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biero/Desktop/SL work/"/>
    </mc:Choice>
  </mc:AlternateContent>
  <xr:revisionPtr revIDLastSave="0" documentId="8_{34E1E6F7-B3C4-1B4D-B53A-8CA81D305D92}" xr6:coauthVersionLast="47" xr6:coauthVersionMax="47" xr10:uidLastSave="{00000000-0000-0000-0000-000000000000}"/>
  <bookViews>
    <workbookView xWindow="4600" yWindow="5680" windowWidth="16000" windowHeight="11500" tabRatio="836" firstSheet="1" activeTab="2" xr2:uid="{00000000-000D-0000-FFFF-FFFF00000000}"/>
  </bookViews>
  <sheets>
    <sheet name="Title" sheetId="62" r:id="rId1"/>
    <sheet name="Menu" sheetId="1" r:id="rId2"/>
    <sheet name="Dashboard" sheetId="42" r:id="rId3"/>
    <sheet name="Country details" sheetId="49" r:id="rId4"/>
    <sheet name="Personnel" sheetId="57" r:id="rId5"/>
    <sheet name="Capital Costs" sheetId="58" r:id="rId6"/>
    <sheet name="Consumables" sheetId="59" r:id="rId7"/>
    <sheet name="Operations" sheetId="60" r:id="rId8"/>
    <sheet name="Meetings" sheetId="61" r:id="rId9"/>
    <sheet name="TAS" sheetId="63" r:id="rId10"/>
    <sheet name="Assumptions" sheetId="43" r:id="rId11"/>
    <sheet name="Parameters" sheetId="44" r:id="rId12"/>
    <sheet name="Economic Costs" sheetId="54" r:id="rId13"/>
    <sheet name="Disease Projections" sheetId="53" r:id="rId14"/>
    <sheet name="pop_calc" sheetId="52" r:id="rId15"/>
    <sheet name="Life_Years_Elimination" sheetId="28" state="hidden" r:id="rId16"/>
    <sheet name="Additional Calculations" sheetId="30" r:id="rId17"/>
    <sheet name="Uncertainty Analyses" sheetId="31" r:id="rId18"/>
    <sheet name="baseline" sheetId="46" state="hidden" r:id="rId19"/>
    <sheet name="new program" sheetId="47" state="hidden" r:id="rId20"/>
    <sheet name="Forecasts" sheetId="50" r:id="rId21"/>
    <sheet name="baseline_probs" sheetId="55" state="hidden" r:id="rId22"/>
    <sheet name="scenario_prob" sheetId="56" r:id="rId23"/>
    <sheet name="Notes" sheetId="21" r:id="rId24"/>
    <sheet name="SL Population" sheetId="38" r:id="rId25"/>
  </sheets>
  <externalReferences>
    <externalReference r:id="rId26"/>
    <externalReference r:id="rId27"/>
  </externalReferences>
  <definedNames>
    <definedName name="adl_episode_duration">Assumptions!$E$43</definedName>
    <definedName name="age">baseline!$B$13:$B$103</definedName>
    <definedName name="age_cycle">baseline!$B$13:$B$103</definedName>
    <definedName name="alpha">#REF!</definedName>
    <definedName name="alt_prog_effectiveness">Assumptions!$E$23</definedName>
    <definedName name="annual_adl_episodes">Assumptions!$E$37</definedName>
    <definedName name="annual_hydrocele_visits">Assumptions!$E$39</definedName>
    <definedName name="annual_lymphedema_visits">Assumptions!$E$41</definedName>
    <definedName name="Average_household_size">pop_calc!$C$34</definedName>
    <definedName name="avg_clinic_visit">'Economic Costs'!$U$18</definedName>
    <definedName name="beta">#REF!</definedName>
    <definedName name="ccc_adl">Assumptions!$E$5</definedName>
    <definedName name="ccc_hydrocele">Assumptions!$E$9</definedName>
    <definedName name="ccc_le">Assumptions!$E$7</definedName>
    <definedName name="cost_adl">Assumptions!$E$5</definedName>
    <definedName name="cost_le">Assumptions!$E$7</definedName>
    <definedName name="costs_current_prog">Assumptions!$E$25</definedName>
    <definedName name="costs_wo_current_prog">Assumptions!$E$27</definedName>
    <definedName name="cycle">baseline!$D$13:$D$103</definedName>
    <definedName name="daily_wage">Assumptions!#REF!</definedName>
    <definedName name="discount_cost">Assumptions!$E$29</definedName>
    <definedName name="discount_effects">Assumptions!$E$31</definedName>
    <definedName name="disease_type">Parameters!$C$93</definedName>
    <definedName name="exchange_rate">'Country details'!$C$6</definedName>
    <definedName name="hh_costs_adl">Assumptions!$E$51</definedName>
    <definedName name="hh_costs_hydrocele">Assumptions!$E$53</definedName>
    <definedName name="hh_costs_lymphedema">Assumptions!$E$55</definedName>
    <definedName name="inc_cost">'Additional Calculations'!$R$4:$R$1003</definedName>
    <definedName name="inc_effect">'Additional Calculations'!$U$4:$U$1003</definedName>
    <definedName name="mda_efficacy">Assumptions!$E$21</definedName>
    <definedName name="min_annual_wage">Assumptions!$E$35</definedName>
    <definedName name="min_daily_wage">Assumptions!$E$33</definedName>
    <definedName name="mortality_prob_no_rx">Parameters!$H$3:$I$94</definedName>
    <definedName name="mortality_prob_program">Parameters!$E$3:$F$94</definedName>
    <definedName name="pop_adl">'Disease Projections'!$G$11:$G$91</definedName>
    <definedName name="pop_hydrocele">'Disease Projections'!$I$11:$I$91</definedName>
    <definedName name="pop_lymphedema">'Disease Projections'!$K$11:$K$91</definedName>
    <definedName name="Population_over_65">pop_calc!$C$26</definedName>
    <definedName name="prob">Parameters!$C$7</definedName>
    <definedName name="prob_adl_age">Parameters!$N$3:$O$94</definedName>
    <definedName name="prob_hydrocele_age">Parameters!$Q$3:$R$94</definedName>
    <definedName name="prob_lf_death">Assumptions!$E$61</definedName>
    <definedName name="prob_lf_infection">Parameters!$K$3:$L$94</definedName>
    <definedName name="prob_lymphedema_age">Parameters!$T$3:$U$94</definedName>
    <definedName name="prod_loss_adl">Assumptions!$E$45</definedName>
    <definedName name="prod_loss_hydrocele">Assumptions!$E$47</definedName>
    <definedName name="prod_loss_lymphedema">Assumptions!$E$49</definedName>
    <definedName name="Productive_pop_based_on_starting_age">pop_calc!$C$28</definedName>
    <definedName name="solver_eng" localSheetId="16" hidden="1">1</definedName>
    <definedName name="solver_lin" localSheetId="16" hidden="1">2</definedName>
    <definedName name="solver_neg" localSheetId="16" hidden="1">1</definedName>
    <definedName name="solver_num" localSheetId="16" hidden="1">0</definedName>
    <definedName name="solver_opt" localSheetId="16" hidden="1">'Additional Calculations'!$Y$1</definedName>
    <definedName name="solver_typ" localSheetId="16" hidden="1">1</definedName>
    <definedName name="solver_val" localSheetId="16" hidden="1">0</definedName>
    <definedName name="solver_ver" localSheetId="16" hidden="1">2</definedName>
    <definedName name="start_age">Parameters!$C$12</definedName>
    <definedName name="start_ageset">pop_calc!$O$6:$O$26</definedName>
    <definedName name="study_perspective">Parameters!$C$25</definedName>
    <definedName name="surg_cost_hydrocele">Assumptions!$E$11</definedName>
    <definedName name="tab_prod_loss_adl">Parameters!$AE$3:$AF$94</definedName>
    <definedName name="table_consumption">#REF!</definedName>
    <definedName name="Target_Population">pop_calc!$C$32</definedName>
    <definedName name="tbl_prodloss_hydrocele">Parameters!$AI$3:$AJ$94</definedName>
    <definedName name="tbl_prodloss_lymphedema">Parameters!$AG$3:$AH$94</definedName>
    <definedName name="time_horizon">Parameters!$C$20</definedName>
    <definedName name="tot_population">pop_calc!$M$6:$M$26</definedName>
    <definedName name="total_costs_current">baseline!$AO$9</definedName>
    <definedName name="total_costs_govt">'new program'!$AO$9</definedName>
    <definedName name="Total_Population">pop_calc!$C$20</definedName>
    <definedName name="total_qalys_current">baseline!$BA$9</definedName>
    <definedName name="total_qalys_govt">'new program'!$BA$9</definedName>
    <definedName name="util_adl">Assumptions!$E$19</definedName>
    <definedName name="util_healthy">Assumptions!$E$13</definedName>
    <definedName name="util_hydrocele">Assumptions!$E$17</definedName>
    <definedName name="util_lymphedema">Assumptions!$E$15</definedName>
    <definedName name="yearly_horizon">Parameters!$C$29</definedName>
    <definedName name="yll">Assumptions!$E$59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6" i="52" l="1"/>
  <c r="C17" i="52"/>
  <c r="C49" i="49"/>
  <c r="C47" i="49"/>
  <c r="C45" i="49"/>
  <c r="D44" i="49"/>
  <c r="C44" i="49"/>
  <c r="D43" i="49"/>
  <c r="C43" i="49"/>
  <c r="D51" i="49"/>
  <c r="D14" i="59"/>
  <c r="D15" i="59"/>
  <c r="D16" i="59"/>
  <c r="H32" i="58"/>
  <c r="H31" i="58"/>
  <c r="C40" i="49"/>
  <c r="G56" i="60"/>
  <c r="G52" i="60"/>
  <c r="G19" i="60"/>
  <c r="G28" i="60" s="1"/>
  <c r="C46" i="49" s="1"/>
  <c r="F19" i="60"/>
  <c r="H19" i="60" s="1"/>
  <c r="D29" i="59"/>
  <c r="D31" i="59"/>
  <c r="D35" i="59"/>
  <c r="D39" i="59"/>
  <c r="D17" i="59"/>
  <c r="L27" i="52"/>
  <c r="K27" i="52"/>
  <c r="H42" i="63"/>
  <c r="G72" i="63"/>
  <c r="H72" i="63" s="1"/>
  <c r="G73" i="63"/>
  <c r="H73" i="63" s="1"/>
  <c r="G74" i="63"/>
  <c r="H74" i="63" s="1"/>
  <c r="G75" i="63"/>
  <c r="H75" i="63" s="1"/>
  <c r="G76" i="63"/>
  <c r="H76" i="63" s="1"/>
  <c r="G77" i="63"/>
  <c r="H77" i="63" s="1"/>
  <c r="G71" i="63"/>
  <c r="H71" i="63" s="1"/>
  <c r="G63" i="63"/>
  <c r="H63" i="63" s="1"/>
  <c r="G64" i="63"/>
  <c r="H64" i="63" s="1"/>
  <c r="G65" i="63"/>
  <c r="H65" i="63" s="1"/>
  <c r="G66" i="63"/>
  <c r="H66" i="63" s="1"/>
  <c r="G67" i="63"/>
  <c r="H67" i="63" s="1"/>
  <c r="G62" i="63"/>
  <c r="H62" i="63" s="1"/>
  <c r="G18" i="63"/>
  <c r="H18" i="63" s="1"/>
  <c r="G19" i="63"/>
  <c r="H19" i="63" s="1"/>
  <c r="G20" i="63"/>
  <c r="H20" i="63" s="1"/>
  <c r="G21" i="63"/>
  <c r="H21" i="63" s="1"/>
  <c r="G17" i="63"/>
  <c r="G27" i="63"/>
  <c r="H27" i="63" s="1"/>
  <c r="G28" i="63"/>
  <c r="H28" i="63" s="1"/>
  <c r="G29" i="63"/>
  <c r="H29" i="63" s="1"/>
  <c r="G26" i="63"/>
  <c r="G52" i="63"/>
  <c r="H52" i="63" s="1"/>
  <c r="G53" i="63"/>
  <c r="H53" i="63" s="1"/>
  <c r="G54" i="63"/>
  <c r="H54" i="63" s="1"/>
  <c r="G55" i="63"/>
  <c r="H55" i="63" s="1"/>
  <c r="G56" i="63"/>
  <c r="H56" i="63" s="1"/>
  <c r="G57" i="63"/>
  <c r="H57" i="63" s="1"/>
  <c r="G58" i="63"/>
  <c r="H58" i="63" s="1"/>
  <c r="G51" i="63"/>
  <c r="H51" i="63" s="1"/>
  <c r="G35" i="63"/>
  <c r="H35" i="63" s="1"/>
  <c r="G36" i="63"/>
  <c r="H36" i="63" s="1"/>
  <c r="G37" i="63"/>
  <c r="H37" i="63" s="1"/>
  <c r="G38" i="63"/>
  <c r="H38" i="63" s="1"/>
  <c r="G39" i="63"/>
  <c r="H39" i="63" s="1"/>
  <c r="G40" i="63"/>
  <c r="H40" i="63" s="1"/>
  <c r="G41" i="63"/>
  <c r="H41" i="63" s="1"/>
  <c r="G42" i="63"/>
  <c r="G43" i="63"/>
  <c r="H43" i="63" s="1"/>
  <c r="G44" i="63"/>
  <c r="H44" i="63" s="1"/>
  <c r="G45" i="63"/>
  <c r="H45" i="63" s="1"/>
  <c r="G46" i="63"/>
  <c r="H46" i="63" s="1"/>
  <c r="G34" i="63"/>
  <c r="H34" i="63" s="1"/>
  <c r="G7" i="63"/>
  <c r="H7" i="63" s="1"/>
  <c r="G8" i="63"/>
  <c r="H8" i="63" s="1"/>
  <c r="G9" i="63"/>
  <c r="H9" i="63" s="1"/>
  <c r="G10" i="63"/>
  <c r="H10" i="63" s="1"/>
  <c r="G11" i="63"/>
  <c r="H11" i="63" s="1"/>
  <c r="G6" i="63"/>
  <c r="H6" i="63" s="1"/>
  <c r="H47" i="63" l="1"/>
  <c r="G47" i="63"/>
  <c r="H78" i="63"/>
  <c r="G78" i="63"/>
  <c r="H68" i="63"/>
  <c r="G68" i="63"/>
  <c r="H59" i="63"/>
  <c r="G59" i="63"/>
  <c r="G30" i="63"/>
  <c r="H26" i="63"/>
  <c r="H30" i="63" s="1"/>
  <c r="G22" i="63"/>
  <c r="H17" i="63"/>
  <c r="H22" i="63" s="1"/>
  <c r="H12" i="63"/>
  <c r="G12" i="63"/>
  <c r="G50" i="57"/>
  <c r="G51" i="57"/>
  <c r="G52" i="57"/>
  <c r="G53" i="57"/>
  <c r="G49" i="57"/>
  <c r="G41" i="57"/>
  <c r="G42" i="57"/>
  <c r="G43" i="57"/>
  <c r="G44" i="57"/>
  <c r="G45" i="57"/>
  <c r="G40" i="57"/>
  <c r="G32" i="57"/>
  <c r="G33" i="57"/>
  <c r="G34" i="57"/>
  <c r="G35" i="57"/>
  <c r="G36" i="57"/>
  <c r="G31" i="57"/>
  <c r="G22" i="57"/>
  <c r="G23" i="57"/>
  <c r="G24" i="57"/>
  <c r="G25" i="57"/>
  <c r="G26" i="57"/>
  <c r="G27" i="57"/>
  <c r="G21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5" i="57"/>
  <c r="F50" i="57"/>
  <c r="F51" i="57"/>
  <c r="F52" i="57"/>
  <c r="F53" i="57"/>
  <c r="F49" i="57"/>
  <c r="F41" i="57"/>
  <c r="F42" i="57"/>
  <c r="F43" i="57"/>
  <c r="F44" i="57"/>
  <c r="F45" i="57"/>
  <c r="F40" i="57"/>
  <c r="F32" i="57"/>
  <c r="F33" i="57"/>
  <c r="F34" i="57"/>
  <c r="F35" i="57"/>
  <c r="F36" i="57"/>
  <c r="F31" i="57"/>
  <c r="F22" i="57"/>
  <c r="F23" i="57"/>
  <c r="F24" i="57"/>
  <c r="F25" i="57"/>
  <c r="F26" i="57"/>
  <c r="F27" i="57"/>
  <c r="F21" i="57"/>
  <c r="F14" i="57"/>
  <c r="F15" i="57"/>
  <c r="F16" i="57"/>
  <c r="F17" i="57"/>
  <c r="F13" i="57"/>
  <c r="E32" i="58"/>
  <c r="I32" i="58" s="1"/>
  <c r="E31" i="58"/>
  <c r="I31" i="58" s="1"/>
  <c r="E25" i="58"/>
  <c r="I25" i="58" s="1"/>
  <c r="E26" i="58"/>
  <c r="I26" i="58" s="1"/>
  <c r="E27" i="58"/>
  <c r="I27" i="58" s="1"/>
  <c r="E24" i="58"/>
  <c r="I24" i="58" s="1"/>
  <c r="E18" i="58"/>
  <c r="I18" i="58" s="1"/>
  <c r="E19" i="58"/>
  <c r="E20" i="58"/>
  <c r="I20" i="58" s="1"/>
  <c r="E17" i="58"/>
  <c r="I17" i="58" s="1"/>
  <c r="E12" i="58"/>
  <c r="I12" i="58" s="1"/>
  <c r="E13" i="58"/>
  <c r="I13" i="58" s="1"/>
  <c r="E11" i="58"/>
  <c r="I11" i="58" s="1"/>
  <c r="E6" i="58"/>
  <c r="I6" i="58" s="1"/>
  <c r="E7" i="58"/>
  <c r="I7" i="58" s="1"/>
  <c r="E5" i="58"/>
  <c r="L28" i="61"/>
  <c r="M28" i="61" s="1"/>
  <c r="L27" i="61"/>
  <c r="M27" i="61" s="1"/>
  <c r="L26" i="61"/>
  <c r="M26" i="61" s="1"/>
  <c r="L25" i="61"/>
  <c r="M25" i="61" s="1"/>
  <c r="L24" i="61"/>
  <c r="M24" i="61" s="1"/>
  <c r="L23" i="61"/>
  <c r="J35" i="61"/>
  <c r="K35" i="61" s="1"/>
  <c r="J34" i="61"/>
  <c r="K34" i="61" s="1"/>
  <c r="J33" i="61"/>
  <c r="L33" i="61" s="1"/>
  <c r="M33" i="61" s="1"/>
  <c r="J32" i="61"/>
  <c r="L32" i="61" s="1"/>
  <c r="J28" i="61"/>
  <c r="J27" i="61"/>
  <c r="J26" i="61"/>
  <c r="K26" i="61" s="1"/>
  <c r="J25" i="61"/>
  <c r="J24" i="61"/>
  <c r="J23" i="61"/>
  <c r="K23" i="61" s="1"/>
  <c r="J19" i="61"/>
  <c r="L19" i="61" s="1"/>
  <c r="M19" i="61" s="1"/>
  <c r="J18" i="61"/>
  <c r="K18" i="61" s="1"/>
  <c r="J17" i="61"/>
  <c r="L17" i="61" s="1"/>
  <c r="M17" i="61" s="1"/>
  <c r="J16" i="61"/>
  <c r="L16" i="61" s="1"/>
  <c r="J12" i="61"/>
  <c r="L12" i="61" s="1"/>
  <c r="M12" i="61" s="1"/>
  <c r="J11" i="61"/>
  <c r="L11" i="61" s="1"/>
  <c r="M11" i="61" s="1"/>
  <c r="J10" i="61"/>
  <c r="L10" i="61" s="1"/>
  <c r="J6" i="61"/>
  <c r="J5" i="61"/>
  <c r="H38" i="61"/>
  <c r="F36" i="61"/>
  <c r="F29" i="61"/>
  <c r="F20" i="61"/>
  <c r="F13" i="61"/>
  <c r="G35" i="61"/>
  <c r="G34" i="61"/>
  <c r="G33" i="61"/>
  <c r="G32" i="61"/>
  <c r="G28" i="61"/>
  <c r="G27" i="61"/>
  <c r="G26" i="61"/>
  <c r="G25" i="61"/>
  <c r="G24" i="61"/>
  <c r="G23" i="61"/>
  <c r="G19" i="61"/>
  <c r="G18" i="61"/>
  <c r="G17" i="61"/>
  <c r="G16" i="61"/>
  <c r="G12" i="61"/>
  <c r="G11" i="61"/>
  <c r="G10" i="61"/>
  <c r="G13" i="61" s="1"/>
  <c r="F35" i="61"/>
  <c r="F34" i="61"/>
  <c r="F33" i="61"/>
  <c r="F32" i="61"/>
  <c r="F28" i="61"/>
  <c r="F27" i="61"/>
  <c r="F26" i="61"/>
  <c r="F25" i="61"/>
  <c r="F24" i="61"/>
  <c r="F23" i="61"/>
  <c r="F19" i="61"/>
  <c r="F18" i="61"/>
  <c r="F17" i="61"/>
  <c r="F16" i="61"/>
  <c r="F12" i="61"/>
  <c r="F11" i="61"/>
  <c r="K11" i="61" s="1"/>
  <c r="F10" i="61"/>
  <c r="H36" i="61"/>
  <c r="H29" i="61"/>
  <c r="H20" i="61"/>
  <c r="H13" i="61"/>
  <c r="H7" i="61"/>
  <c r="K33" i="61"/>
  <c r="K28" i="61"/>
  <c r="K27" i="61"/>
  <c r="K25" i="61"/>
  <c r="K24" i="61"/>
  <c r="K19" i="61"/>
  <c r="K17" i="61"/>
  <c r="K16" i="61"/>
  <c r="I35" i="61"/>
  <c r="I34" i="61"/>
  <c r="I33" i="61"/>
  <c r="I32" i="61"/>
  <c r="I28" i="61"/>
  <c r="I27" i="61"/>
  <c r="I26" i="61"/>
  <c r="I25" i="61"/>
  <c r="I24" i="61"/>
  <c r="I23" i="61"/>
  <c r="I19" i="61"/>
  <c r="I18" i="61"/>
  <c r="I17" i="61"/>
  <c r="I16" i="61"/>
  <c r="I12" i="61"/>
  <c r="I11" i="61"/>
  <c r="I10" i="61"/>
  <c r="I13" i="61" s="1"/>
  <c r="I6" i="61"/>
  <c r="I5" i="61"/>
  <c r="E35" i="61"/>
  <c r="E34" i="61"/>
  <c r="E33" i="61"/>
  <c r="E32" i="61"/>
  <c r="E28" i="61"/>
  <c r="E27" i="61"/>
  <c r="E26" i="61"/>
  <c r="E25" i="61"/>
  <c r="E24" i="61"/>
  <c r="E23" i="61"/>
  <c r="E19" i="61"/>
  <c r="E18" i="61"/>
  <c r="E17" i="61"/>
  <c r="E16" i="61"/>
  <c r="E12" i="61"/>
  <c r="E11" i="61"/>
  <c r="E5" i="61"/>
  <c r="E6" i="61"/>
  <c r="E10" i="61"/>
  <c r="F5" i="61"/>
  <c r="G5" i="61" s="1"/>
  <c r="F6" i="61"/>
  <c r="G6" i="61" s="1"/>
  <c r="F26" i="60"/>
  <c r="H26" i="60" s="1"/>
  <c r="G26" i="60"/>
  <c r="F25" i="60"/>
  <c r="H25" i="60" s="1"/>
  <c r="G25" i="60"/>
  <c r="H16" i="59"/>
  <c r="F16" i="59"/>
  <c r="I16" i="59" s="1"/>
  <c r="F15" i="59"/>
  <c r="I15" i="59" s="1"/>
  <c r="H15" i="59"/>
  <c r="G57" i="60"/>
  <c r="F56" i="60"/>
  <c r="H56" i="60" s="1"/>
  <c r="H57" i="60" s="1"/>
  <c r="G53" i="60"/>
  <c r="F52" i="60"/>
  <c r="H52" i="60" s="1"/>
  <c r="G48" i="60"/>
  <c r="F48" i="60"/>
  <c r="H48" i="60" s="1"/>
  <c r="G47" i="60"/>
  <c r="F47" i="60"/>
  <c r="H47" i="60" s="1"/>
  <c r="G43" i="60"/>
  <c r="F43" i="60"/>
  <c r="H43" i="60" s="1"/>
  <c r="G42" i="60"/>
  <c r="F42" i="60"/>
  <c r="H42" i="60" s="1"/>
  <c r="G41" i="60"/>
  <c r="F41" i="60"/>
  <c r="H41" i="60" s="1"/>
  <c r="G40" i="60"/>
  <c r="F40" i="60"/>
  <c r="H40" i="60" s="1"/>
  <c r="G36" i="60"/>
  <c r="F36" i="60"/>
  <c r="H36" i="60" s="1"/>
  <c r="G35" i="60"/>
  <c r="F35" i="60"/>
  <c r="H35" i="60" s="1"/>
  <c r="G34" i="60"/>
  <c r="F34" i="60"/>
  <c r="H34" i="60" s="1"/>
  <c r="G33" i="60"/>
  <c r="F33" i="60"/>
  <c r="H33" i="60" s="1"/>
  <c r="G32" i="60"/>
  <c r="F32" i="60"/>
  <c r="H32" i="60" s="1"/>
  <c r="G31" i="60"/>
  <c r="F31" i="60"/>
  <c r="H31" i="60" s="1"/>
  <c r="G27" i="60"/>
  <c r="F27" i="60"/>
  <c r="H27" i="60" s="1"/>
  <c r="G24" i="60"/>
  <c r="F24" i="60"/>
  <c r="H24" i="60" s="1"/>
  <c r="G23" i="60"/>
  <c r="F23" i="60"/>
  <c r="H23" i="60" s="1"/>
  <c r="G22" i="60"/>
  <c r="F22" i="60"/>
  <c r="H22" i="60" s="1"/>
  <c r="G21" i="60"/>
  <c r="F21" i="60"/>
  <c r="H21" i="60" s="1"/>
  <c r="G20" i="60"/>
  <c r="F20" i="60"/>
  <c r="H20" i="60" s="1"/>
  <c r="G15" i="60"/>
  <c r="F15" i="60"/>
  <c r="H15" i="60" s="1"/>
  <c r="G14" i="60"/>
  <c r="F14" i="60"/>
  <c r="H14" i="60" s="1"/>
  <c r="G13" i="60"/>
  <c r="F13" i="60"/>
  <c r="H13" i="60" s="1"/>
  <c r="G12" i="60"/>
  <c r="F12" i="60"/>
  <c r="H12" i="60" s="1"/>
  <c r="G11" i="60"/>
  <c r="F11" i="60"/>
  <c r="H11" i="60" s="1"/>
  <c r="G10" i="60"/>
  <c r="F10" i="60"/>
  <c r="H10" i="60" s="1"/>
  <c r="G9" i="60"/>
  <c r="F9" i="60"/>
  <c r="H9" i="60" s="1"/>
  <c r="G8" i="60"/>
  <c r="F8" i="60"/>
  <c r="H8" i="60" s="1"/>
  <c r="G7" i="60"/>
  <c r="F7" i="60"/>
  <c r="H7" i="60" s="1"/>
  <c r="G4" i="60"/>
  <c r="F4" i="60"/>
  <c r="H4" i="60" s="1"/>
  <c r="H41" i="59"/>
  <c r="F41" i="59"/>
  <c r="I41" i="59" s="1"/>
  <c r="H40" i="59"/>
  <c r="F40" i="59"/>
  <c r="I40" i="59" s="1"/>
  <c r="H39" i="59"/>
  <c r="F39" i="59"/>
  <c r="I39" i="59" s="1"/>
  <c r="H38" i="59"/>
  <c r="F38" i="59"/>
  <c r="I38" i="59" s="1"/>
  <c r="H37" i="59"/>
  <c r="F37" i="59"/>
  <c r="I37" i="59" s="1"/>
  <c r="H36" i="59"/>
  <c r="F36" i="59"/>
  <c r="I36" i="59" s="1"/>
  <c r="H35" i="59"/>
  <c r="F35" i="59"/>
  <c r="I35" i="59" s="1"/>
  <c r="H34" i="59"/>
  <c r="F34" i="59"/>
  <c r="I34" i="59" s="1"/>
  <c r="H33" i="59"/>
  <c r="F33" i="59"/>
  <c r="I33" i="59" s="1"/>
  <c r="H32" i="59"/>
  <c r="F32" i="59"/>
  <c r="I32" i="59" s="1"/>
  <c r="H31" i="59"/>
  <c r="F31" i="59"/>
  <c r="I31" i="59" s="1"/>
  <c r="H30" i="59"/>
  <c r="F30" i="59"/>
  <c r="I30" i="59" s="1"/>
  <c r="H29" i="59"/>
  <c r="F29" i="59"/>
  <c r="I29" i="59" s="1"/>
  <c r="H28" i="59"/>
  <c r="F28" i="59"/>
  <c r="I28" i="59" s="1"/>
  <c r="H23" i="59"/>
  <c r="F23" i="59"/>
  <c r="I23" i="59" s="1"/>
  <c r="H22" i="59"/>
  <c r="F22" i="59"/>
  <c r="I22" i="59" s="1"/>
  <c r="H21" i="59"/>
  <c r="F21" i="59"/>
  <c r="I21" i="59" s="1"/>
  <c r="H17" i="59"/>
  <c r="F17" i="59"/>
  <c r="I17" i="59" s="1"/>
  <c r="H14" i="59"/>
  <c r="F14" i="59"/>
  <c r="I14" i="59" s="1"/>
  <c r="F11" i="59"/>
  <c r="F10" i="59"/>
  <c r="F9" i="59"/>
  <c r="F8" i="59"/>
  <c r="F7" i="59"/>
  <c r="F6" i="59"/>
  <c r="F5" i="59"/>
  <c r="F4" i="59"/>
  <c r="H33" i="58"/>
  <c r="H27" i="58"/>
  <c r="H26" i="58"/>
  <c r="H25" i="58"/>
  <c r="H24" i="58"/>
  <c r="H20" i="58"/>
  <c r="I19" i="58"/>
  <c r="H19" i="58"/>
  <c r="H18" i="58"/>
  <c r="H17" i="58"/>
  <c r="H13" i="58"/>
  <c r="H12" i="58"/>
  <c r="H11" i="58"/>
  <c r="H7" i="58"/>
  <c r="H6" i="58"/>
  <c r="I5" i="58"/>
  <c r="H5" i="58"/>
  <c r="H53" i="57"/>
  <c r="K53" i="57" s="1"/>
  <c r="H52" i="57"/>
  <c r="I52" i="57" s="1"/>
  <c r="H51" i="57"/>
  <c r="K51" i="57" s="1"/>
  <c r="H50" i="57"/>
  <c r="K50" i="57" s="1"/>
  <c r="H49" i="57"/>
  <c r="I49" i="57" s="1"/>
  <c r="H45" i="57"/>
  <c r="K45" i="57" s="1"/>
  <c r="H44" i="57"/>
  <c r="H43" i="57"/>
  <c r="I43" i="57" s="1"/>
  <c r="H42" i="57"/>
  <c r="I42" i="57" s="1"/>
  <c r="H41" i="57"/>
  <c r="H40" i="57"/>
  <c r="K40" i="57" s="1"/>
  <c r="H36" i="57"/>
  <c r="K36" i="57" s="1"/>
  <c r="H35" i="57"/>
  <c r="I35" i="57" s="1"/>
  <c r="H34" i="57"/>
  <c r="I34" i="57" s="1"/>
  <c r="K33" i="57"/>
  <c r="H33" i="57"/>
  <c r="H32" i="57"/>
  <c r="H31" i="57"/>
  <c r="I31" i="57" s="1"/>
  <c r="H27" i="57"/>
  <c r="K27" i="57" s="1"/>
  <c r="H26" i="57"/>
  <c r="I26" i="57" s="1"/>
  <c r="H25" i="57"/>
  <c r="H24" i="57"/>
  <c r="H23" i="57"/>
  <c r="K23" i="57" s="1"/>
  <c r="H22" i="57"/>
  <c r="K22" i="57" s="1"/>
  <c r="H21" i="57"/>
  <c r="I21" i="57" s="1"/>
  <c r="H17" i="57"/>
  <c r="I17" i="57" s="1"/>
  <c r="H16" i="57"/>
  <c r="H15" i="57"/>
  <c r="I15" i="57" s="1"/>
  <c r="H14" i="57"/>
  <c r="K14" i="57" s="1"/>
  <c r="H13" i="57"/>
  <c r="K13" i="57" s="1"/>
  <c r="H12" i="57"/>
  <c r="I12" i="57" s="1"/>
  <c r="F12" i="57"/>
  <c r="H11" i="57"/>
  <c r="I11" i="57" s="1"/>
  <c r="F11" i="57"/>
  <c r="H10" i="57"/>
  <c r="K10" i="57" s="1"/>
  <c r="F10" i="57"/>
  <c r="H9" i="57"/>
  <c r="F9" i="57"/>
  <c r="H8" i="57"/>
  <c r="I8" i="57" s="1"/>
  <c r="F8" i="57"/>
  <c r="H7" i="57"/>
  <c r="I7" i="57" s="1"/>
  <c r="F7" i="57"/>
  <c r="H6" i="57"/>
  <c r="K6" i="57" s="1"/>
  <c r="F6" i="57"/>
  <c r="H5" i="57"/>
  <c r="K5" i="57" s="1"/>
  <c r="F5" i="57"/>
  <c r="H28" i="60" l="1"/>
  <c r="G80" i="63"/>
  <c r="C50" i="49" s="1"/>
  <c r="H42" i="59"/>
  <c r="H24" i="59"/>
  <c r="K49" i="57"/>
  <c r="H37" i="57"/>
  <c r="I53" i="57"/>
  <c r="L53" i="57" s="1"/>
  <c r="I51" i="57"/>
  <c r="I50" i="57"/>
  <c r="L50" i="57" s="1"/>
  <c r="I40" i="57"/>
  <c r="L40" i="57" s="1"/>
  <c r="K42" i="57"/>
  <c r="K44" i="57"/>
  <c r="H46" i="57"/>
  <c r="I45" i="57"/>
  <c r="L42" i="57"/>
  <c r="I44" i="57"/>
  <c r="L44" i="57" s="1"/>
  <c r="I41" i="57"/>
  <c r="L41" i="57" s="1"/>
  <c r="I36" i="57"/>
  <c r="L36" i="57" s="1"/>
  <c r="I33" i="57"/>
  <c r="L33" i="57" s="1"/>
  <c r="L35" i="57"/>
  <c r="K35" i="57"/>
  <c r="I32" i="57"/>
  <c r="L32" i="57" s="1"/>
  <c r="K31" i="57"/>
  <c r="I27" i="57"/>
  <c r="L27" i="57" s="1"/>
  <c r="K24" i="57"/>
  <c r="I25" i="57"/>
  <c r="L25" i="57" s="1"/>
  <c r="L26" i="57"/>
  <c r="I24" i="57"/>
  <c r="L24" i="57" s="1"/>
  <c r="K26" i="57"/>
  <c r="I23" i="57"/>
  <c r="L23" i="57" s="1"/>
  <c r="I22" i="57"/>
  <c r="L22" i="57" s="1"/>
  <c r="K11" i="57"/>
  <c r="I13" i="57"/>
  <c r="K9" i="57"/>
  <c r="K7" i="57"/>
  <c r="I10" i="57"/>
  <c r="L10" i="57" s="1"/>
  <c r="K15" i="57"/>
  <c r="I9" i="57"/>
  <c r="L9" i="57" s="1"/>
  <c r="I16" i="57"/>
  <c r="L16" i="57" s="1"/>
  <c r="L17" i="57"/>
  <c r="L8" i="57"/>
  <c r="L12" i="57"/>
  <c r="K17" i="57"/>
  <c r="I14" i="57"/>
  <c r="L14" i="57" s="1"/>
  <c r="I6" i="57"/>
  <c r="L6" i="57" s="1"/>
  <c r="I5" i="57"/>
  <c r="L5" i="57" s="1"/>
  <c r="K32" i="61"/>
  <c r="L7" i="57"/>
  <c r="J20" i="61"/>
  <c r="L15" i="57"/>
  <c r="G7" i="61"/>
  <c r="L29" i="61"/>
  <c r="I20" i="61"/>
  <c r="G20" i="61"/>
  <c r="I36" i="61"/>
  <c r="I7" i="61"/>
  <c r="G36" i="61"/>
  <c r="I29" i="61"/>
  <c r="L5" i="61"/>
  <c r="G29" i="61"/>
  <c r="L34" i="61"/>
  <c r="M34" i="61" s="1"/>
  <c r="L13" i="61"/>
  <c r="M10" i="61"/>
  <c r="M13" i="61" s="1"/>
  <c r="M16" i="61"/>
  <c r="M32" i="61"/>
  <c r="M5" i="61"/>
  <c r="L35" i="61"/>
  <c r="M35" i="61" s="1"/>
  <c r="L6" i="61"/>
  <c r="M6" i="61" s="1"/>
  <c r="L13" i="57"/>
  <c r="F7" i="61"/>
  <c r="F38" i="61" s="1"/>
  <c r="M23" i="61"/>
  <c r="M29" i="61" s="1"/>
  <c r="K12" i="61"/>
  <c r="L18" i="61"/>
  <c r="M18" i="61" s="1"/>
  <c r="L52" i="57"/>
  <c r="L43" i="57"/>
  <c r="L34" i="57"/>
  <c r="L11" i="57"/>
  <c r="I33" i="58"/>
  <c r="H28" i="58"/>
  <c r="H21" i="58"/>
  <c r="H14" i="58"/>
  <c r="H8" i="58"/>
  <c r="J36" i="61"/>
  <c r="K36" i="61"/>
  <c r="K29" i="61"/>
  <c r="J29" i="61"/>
  <c r="K20" i="61"/>
  <c r="K10" i="61"/>
  <c r="K13" i="61" s="1"/>
  <c r="K6" i="61"/>
  <c r="K5" i="61"/>
  <c r="J13" i="61"/>
  <c r="G37" i="60"/>
  <c r="G49" i="60"/>
  <c r="G44" i="60"/>
  <c r="H44" i="60"/>
  <c r="G16" i="60"/>
  <c r="H18" i="59"/>
  <c r="C52" i="49" s="1"/>
  <c r="I8" i="58"/>
  <c r="I14" i="58"/>
  <c r="I21" i="58"/>
  <c r="I42" i="59"/>
  <c r="D45" i="49" s="1"/>
  <c r="I24" i="59"/>
  <c r="H49" i="60"/>
  <c r="D47" i="49" s="1"/>
  <c r="I28" i="58"/>
  <c r="H16" i="60"/>
  <c r="D46" i="49" s="1"/>
  <c r="H37" i="60"/>
  <c r="D49" i="49" s="1"/>
  <c r="H53" i="60"/>
  <c r="I18" i="59"/>
  <c r="L21" i="57"/>
  <c r="L31" i="57"/>
  <c r="L49" i="57"/>
  <c r="K52" i="57"/>
  <c r="H54" i="57"/>
  <c r="K8" i="57"/>
  <c r="K12" i="57"/>
  <c r="K16" i="57"/>
  <c r="H18" i="57"/>
  <c r="K21" i="57"/>
  <c r="K25" i="57"/>
  <c r="K34" i="57"/>
  <c r="K43" i="57"/>
  <c r="L51" i="57"/>
  <c r="L45" i="57"/>
  <c r="K32" i="57"/>
  <c r="K41" i="57"/>
  <c r="K46" i="57" s="1"/>
  <c r="H28" i="57"/>
  <c r="D52" i="49" l="1"/>
  <c r="H80" i="63"/>
  <c r="D50" i="49" s="1"/>
  <c r="G58" i="60"/>
  <c r="K54" i="57"/>
  <c r="K37" i="57"/>
  <c r="M36" i="61"/>
  <c r="G38" i="61"/>
  <c r="L20" i="61"/>
  <c r="I38" i="61"/>
  <c r="M20" i="61"/>
  <c r="K7" i="61"/>
  <c r="M7" i="61"/>
  <c r="M38" i="61" s="1"/>
  <c r="L36" i="61"/>
  <c r="L7" i="61"/>
  <c r="K28" i="57"/>
  <c r="K18" i="57"/>
  <c r="H35" i="58"/>
  <c r="C41" i="49" s="1"/>
  <c r="J7" i="61"/>
  <c r="J38" i="61"/>
  <c r="K38" i="61"/>
  <c r="I35" i="58"/>
  <c r="D41" i="49" s="1"/>
  <c r="H58" i="60"/>
  <c r="I54" i="57"/>
  <c r="L54" i="57"/>
  <c r="I18" i="57"/>
  <c r="L46" i="57"/>
  <c r="L18" i="57"/>
  <c r="H56" i="57"/>
  <c r="I46" i="57"/>
  <c r="L37" i="57"/>
  <c r="I37" i="57"/>
  <c r="L28" i="57"/>
  <c r="I28" i="57"/>
  <c r="I57" i="60" l="1"/>
  <c r="I56" i="60"/>
  <c r="I48" i="60"/>
  <c r="I52" i="60"/>
  <c r="I53" i="60"/>
  <c r="I43" i="60"/>
  <c r="I47" i="60"/>
  <c r="I49" i="60"/>
  <c r="I41" i="60"/>
  <c r="I42" i="60"/>
  <c r="I44" i="60"/>
  <c r="I36" i="60"/>
  <c r="I40" i="60"/>
  <c r="I34" i="60"/>
  <c r="I35" i="60"/>
  <c r="I32" i="60"/>
  <c r="I33" i="60"/>
  <c r="I19" i="60"/>
  <c r="I31" i="60"/>
  <c r="I37" i="60"/>
  <c r="I26" i="60"/>
  <c r="I27" i="60"/>
  <c r="I24" i="60"/>
  <c r="I25" i="60"/>
  <c r="I22" i="60"/>
  <c r="I23" i="60"/>
  <c r="I20" i="60"/>
  <c r="I21" i="60"/>
  <c r="I28" i="60"/>
  <c r="I14" i="60"/>
  <c r="I15" i="60"/>
  <c r="I12" i="60"/>
  <c r="I13" i="60"/>
  <c r="I10" i="60"/>
  <c r="I11" i="60"/>
  <c r="I8" i="60"/>
  <c r="I9" i="60"/>
  <c r="I4" i="60"/>
  <c r="I7" i="60"/>
  <c r="I16" i="60"/>
  <c r="K56" i="57"/>
  <c r="L38" i="61"/>
  <c r="I56" i="57"/>
  <c r="L56" i="57"/>
  <c r="D40" i="49" s="1"/>
  <c r="AS13" i="56" l="1"/>
  <c r="AF13" i="56"/>
  <c r="AS13" i="55"/>
  <c r="AF13" i="55"/>
  <c r="G57" i="43" l="1"/>
  <c r="C6" i="52"/>
  <c r="C8" i="52"/>
  <c r="C9" i="52"/>
  <c r="C10" i="52"/>
  <c r="C11" i="52"/>
  <c r="C12" i="52"/>
  <c r="C13" i="52"/>
  <c r="C14" i="52"/>
  <c r="C15" i="52"/>
  <c r="C5" i="52"/>
  <c r="U21" i="54"/>
  <c r="L7" i="52"/>
  <c r="L8" i="52"/>
  <c r="L9" i="52"/>
  <c r="L10" i="52"/>
  <c r="L11" i="52"/>
  <c r="L12" i="52"/>
  <c r="L13" i="52"/>
  <c r="L14" i="52"/>
  <c r="L15" i="52"/>
  <c r="L16" i="52"/>
  <c r="L17" i="52"/>
  <c r="L18" i="52"/>
  <c r="L19" i="52"/>
  <c r="L20" i="52"/>
  <c r="L21" i="52"/>
  <c r="L22" i="52"/>
  <c r="L23" i="52"/>
  <c r="L24" i="52"/>
  <c r="L25" i="52"/>
  <c r="L26" i="52"/>
  <c r="L6" i="52"/>
  <c r="K7" i="52"/>
  <c r="K8" i="52"/>
  <c r="K9" i="52"/>
  <c r="K10" i="52"/>
  <c r="K11" i="52"/>
  <c r="K12" i="52"/>
  <c r="K13" i="52"/>
  <c r="K14" i="52"/>
  <c r="K15" i="52"/>
  <c r="K16" i="52"/>
  <c r="K17" i="52"/>
  <c r="K18" i="52"/>
  <c r="K19" i="52"/>
  <c r="K20" i="52"/>
  <c r="K21" i="52"/>
  <c r="K22" i="52"/>
  <c r="K23" i="52"/>
  <c r="K24" i="52"/>
  <c r="K25" i="52"/>
  <c r="K26" i="52"/>
  <c r="K6" i="52"/>
  <c r="G29" i="43"/>
  <c r="G31" i="43" s="1"/>
  <c r="M61" i="43" l="1"/>
  <c r="K61" i="43"/>
  <c r="M59" i="43"/>
  <c r="K59" i="43"/>
  <c r="Q59" i="43" s="1"/>
  <c r="E59" i="43" s="1"/>
  <c r="V23" i="54"/>
  <c r="M7" i="52"/>
  <c r="M8" i="52"/>
  <c r="M9" i="52"/>
  <c r="M10" i="52"/>
  <c r="M11" i="52"/>
  <c r="M12" i="52"/>
  <c r="M13" i="52"/>
  <c r="M14" i="52"/>
  <c r="M15" i="52"/>
  <c r="M16" i="52"/>
  <c r="M17" i="52"/>
  <c r="M18" i="52"/>
  <c r="M19" i="52"/>
  <c r="M20" i="52"/>
  <c r="M21" i="52"/>
  <c r="M22" i="52"/>
  <c r="M23" i="52"/>
  <c r="M24" i="52"/>
  <c r="M25" i="52"/>
  <c r="M26" i="52"/>
  <c r="M6" i="52"/>
  <c r="L5" i="44"/>
  <c r="L6" i="44"/>
  <c r="L7" i="44"/>
  <c r="L8" i="44"/>
  <c r="L9" i="44"/>
  <c r="L10" i="44"/>
  <c r="L11" i="44"/>
  <c r="L12" i="44"/>
  <c r="L13" i="44"/>
  <c r="L14" i="44"/>
  <c r="L15" i="44"/>
  <c r="L16" i="44"/>
  <c r="L17" i="44"/>
  <c r="L18" i="44"/>
  <c r="L19" i="44"/>
  <c r="L20" i="44"/>
  <c r="L21" i="44"/>
  <c r="L22" i="44"/>
  <c r="L23" i="44"/>
  <c r="L24" i="44"/>
  <c r="L25" i="44"/>
  <c r="L26" i="44"/>
  <c r="L27" i="44"/>
  <c r="L28" i="44"/>
  <c r="L29" i="44"/>
  <c r="L30" i="44"/>
  <c r="L31" i="44"/>
  <c r="L32" i="44"/>
  <c r="L33" i="44"/>
  <c r="L34" i="44"/>
  <c r="L35" i="44"/>
  <c r="L36" i="44"/>
  <c r="L37" i="44"/>
  <c r="L38" i="44"/>
  <c r="L39" i="44"/>
  <c r="L40" i="44"/>
  <c r="L41" i="44"/>
  <c r="L42" i="44"/>
  <c r="L43" i="44"/>
  <c r="L44" i="44"/>
  <c r="L45" i="44"/>
  <c r="L46" i="44"/>
  <c r="L47" i="44"/>
  <c r="L48" i="44"/>
  <c r="L49" i="44"/>
  <c r="L50" i="44"/>
  <c r="L51" i="44"/>
  <c r="L52" i="44"/>
  <c r="L53" i="44"/>
  <c r="L54" i="44"/>
  <c r="L55" i="44"/>
  <c r="L56" i="44"/>
  <c r="L57" i="44"/>
  <c r="L58" i="44"/>
  <c r="L59" i="44"/>
  <c r="L60" i="44"/>
  <c r="L61" i="44"/>
  <c r="L62" i="44"/>
  <c r="L63" i="44"/>
  <c r="L64" i="44"/>
  <c r="L65" i="44"/>
  <c r="L66" i="44"/>
  <c r="L67" i="44"/>
  <c r="L68" i="44"/>
  <c r="L69" i="44"/>
  <c r="L70" i="44"/>
  <c r="L71" i="44"/>
  <c r="L72" i="44"/>
  <c r="L73" i="44"/>
  <c r="L74" i="44"/>
  <c r="L75" i="44"/>
  <c r="L76" i="44"/>
  <c r="L77" i="44"/>
  <c r="L78" i="44"/>
  <c r="L79" i="44"/>
  <c r="L80" i="44"/>
  <c r="L81" i="44"/>
  <c r="L82" i="44"/>
  <c r="L83" i="44"/>
  <c r="L84" i="44"/>
  <c r="L85" i="44"/>
  <c r="L86" i="44"/>
  <c r="L87" i="44"/>
  <c r="L88" i="44"/>
  <c r="L89" i="44"/>
  <c r="L90" i="44"/>
  <c r="L91" i="44"/>
  <c r="L92" i="44"/>
  <c r="L93" i="44"/>
  <c r="L94" i="44"/>
  <c r="L4" i="44"/>
  <c r="Q61" i="43" l="1"/>
  <c r="E61" i="43" s="1"/>
  <c r="C26" i="52"/>
  <c r="C20" i="52"/>
  <c r="D7" i="53"/>
  <c r="D6" i="53"/>
  <c r="D5" i="53"/>
  <c r="D4" i="53"/>
  <c r="N19" i="52" l="1"/>
  <c r="C8" i="49"/>
  <c r="C11" i="53"/>
  <c r="N13" i="52"/>
  <c r="N21" i="52"/>
  <c r="N10" i="52"/>
  <c r="N18" i="52"/>
  <c r="N26" i="52"/>
  <c r="N16" i="52"/>
  <c r="N24" i="52"/>
  <c r="N9" i="52"/>
  <c r="N17" i="52"/>
  <c r="N25" i="52"/>
  <c r="N23" i="52"/>
  <c r="N8" i="52"/>
  <c r="N6" i="52"/>
  <c r="N11" i="52"/>
  <c r="N12" i="52"/>
  <c r="N14" i="52"/>
  <c r="N15" i="52"/>
  <c r="N22" i="52"/>
  <c r="N7" i="52"/>
  <c r="N20" i="52"/>
  <c r="C89" i="53"/>
  <c r="C82" i="53"/>
  <c r="C45" i="53"/>
  <c r="C53" i="53"/>
  <c r="C61" i="53"/>
  <c r="C69" i="53"/>
  <c r="C90" i="53"/>
  <c r="C83" i="53"/>
  <c r="C46" i="53"/>
  <c r="C54" i="53"/>
  <c r="C62" i="53"/>
  <c r="C70" i="53"/>
  <c r="C78" i="53"/>
  <c r="C91" i="53"/>
  <c r="C84" i="53"/>
  <c r="C47" i="53"/>
  <c r="C55" i="53"/>
  <c r="C71" i="53"/>
  <c r="C87" i="53"/>
  <c r="C85" i="53"/>
  <c r="C48" i="53"/>
  <c r="C56" i="53"/>
  <c r="C64" i="53"/>
  <c r="C72" i="53"/>
  <c r="C49" i="53"/>
  <c r="C65" i="53"/>
  <c r="C74" i="53"/>
  <c r="C63" i="53"/>
  <c r="C88" i="53"/>
  <c r="C86" i="53"/>
  <c r="C57" i="53"/>
  <c r="C73" i="53"/>
  <c r="C68" i="53"/>
  <c r="C79" i="53"/>
  <c r="C42" i="53"/>
  <c r="C50" i="53"/>
  <c r="C58" i="53"/>
  <c r="C66" i="53"/>
  <c r="C77" i="53"/>
  <c r="C80" i="53"/>
  <c r="C43" i="53"/>
  <c r="C51" i="53"/>
  <c r="C59" i="53"/>
  <c r="C67" i="53"/>
  <c r="C75" i="53"/>
  <c r="C44" i="53"/>
  <c r="C52" i="53"/>
  <c r="C60" i="53"/>
  <c r="C76" i="53"/>
  <c r="C81" i="53"/>
  <c r="C12" i="53"/>
  <c r="C33" i="53"/>
  <c r="C40" i="53"/>
  <c r="C35" i="53"/>
  <c r="C27" i="53"/>
  <c r="C19" i="53"/>
  <c r="C34" i="53"/>
  <c r="C26" i="53"/>
  <c r="C18" i="53"/>
  <c r="C17" i="53"/>
  <c r="C16" i="53"/>
  <c r="C23" i="53"/>
  <c r="C15" i="53"/>
  <c r="C38" i="53"/>
  <c r="C30" i="53"/>
  <c r="C22" i="53"/>
  <c r="C14" i="53"/>
  <c r="C41" i="53"/>
  <c r="C25" i="53"/>
  <c r="C32" i="53"/>
  <c r="C24" i="53"/>
  <c r="C39" i="53"/>
  <c r="C31" i="53"/>
  <c r="C37" i="53"/>
  <c r="C21" i="53"/>
  <c r="C13" i="53"/>
  <c r="C29" i="53"/>
  <c r="C36" i="53"/>
  <c r="C28" i="53"/>
  <c r="C20" i="53"/>
  <c r="K17" i="42"/>
  <c r="X16" i="53" l="1" a="1"/>
  <c r="X16" i="53" s="1"/>
  <c r="X20" i="53" s="1"/>
  <c r="G7" i="52"/>
  <c r="G8" i="52" s="1"/>
  <c r="G9" i="52" s="1"/>
  <c r="G10" i="52" s="1"/>
  <c r="G11" i="52" s="1"/>
  <c r="G12" i="52" s="1"/>
  <c r="G13" i="52" s="1"/>
  <c r="G14" i="52" s="1"/>
  <c r="G15" i="52" s="1"/>
  <c r="G16" i="52" s="1"/>
  <c r="G17" i="52" s="1"/>
  <c r="G18" i="52" s="1"/>
  <c r="G19" i="52" s="1"/>
  <c r="G20" i="52" s="1"/>
  <c r="G21" i="52" s="1"/>
  <c r="G22" i="52" s="1"/>
  <c r="G23" i="52" s="1"/>
  <c r="G24" i="52" s="1"/>
  <c r="I27" i="43"/>
  <c r="D6" i="52"/>
  <c r="D8" i="52"/>
  <c r="D9" i="52"/>
  <c r="D10" i="52"/>
  <c r="D11" i="52"/>
  <c r="D12" i="52"/>
  <c r="D13" i="52"/>
  <c r="D14" i="52"/>
  <c r="D15" i="52"/>
  <c r="D16" i="52"/>
  <c r="D17" i="52"/>
  <c r="D5" i="52"/>
  <c r="K18" i="42" l="1"/>
  <c r="AE108" i="50"/>
  <c r="AE107" i="50"/>
  <c r="AE106" i="50"/>
  <c r="E106" i="50"/>
  <c r="W106" i="50" s="1"/>
  <c r="AE105" i="50"/>
  <c r="E105" i="50"/>
  <c r="W105" i="50" s="1"/>
  <c r="AE104" i="50"/>
  <c r="E104" i="50"/>
  <c r="W104" i="50" s="1"/>
  <c r="AE103" i="50"/>
  <c r="E103" i="50"/>
  <c r="W103" i="50" s="1"/>
  <c r="AE102" i="50"/>
  <c r="E102" i="50"/>
  <c r="W102" i="50" s="1"/>
  <c r="AE101" i="50"/>
  <c r="E101" i="50"/>
  <c r="W101" i="50" s="1"/>
  <c r="AE100" i="50"/>
  <c r="E100" i="50"/>
  <c r="W100" i="50" s="1"/>
  <c r="AE99" i="50"/>
  <c r="E99" i="50"/>
  <c r="W99" i="50" s="1"/>
  <c r="AE98" i="50"/>
  <c r="E98" i="50"/>
  <c r="W98" i="50" s="1"/>
  <c r="AE97" i="50"/>
  <c r="E97" i="50"/>
  <c r="W97" i="50" s="1"/>
  <c r="AE96" i="50"/>
  <c r="E96" i="50"/>
  <c r="W96" i="50" s="1"/>
  <c r="AE95" i="50"/>
  <c r="E95" i="50"/>
  <c r="W95" i="50" s="1"/>
  <c r="AE94" i="50"/>
  <c r="E94" i="50"/>
  <c r="W94" i="50" s="1"/>
  <c r="AE93" i="50"/>
  <c r="E93" i="50"/>
  <c r="W93" i="50" s="1"/>
  <c r="AE92" i="50"/>
  <c r="E92" i="50"/>
  <c r="W92" i="50" s="1"/>
  <c r="AE91" i="50"/>
  <c r="E91" i="50"/>
  <c r="W91" i="50" s="1"/>
  <c r="AE90" i="50"/>
  <c r="E90" i="50"/>
  <c r="W90" i="50" s="1"/>
  <c r="AE89" i="50"/>
  <c r="E89" i="50"/>
  <c r="W89" i="50" s="1"/>
  <c r="AE88" i="50"/>
  <c r="E88" i="50"/>
  <c r="W88" i="50" s="1"/>
  <c r="AE87" i="50"/>
  <c r="E87" i="50"/>
  <c r="W87" i="50" s="1"/>
  <c r="AE86" i="50"/>
  <c r="E86" i="50"/>
  <c r="W86" i="50" s="1"/>
  <c r="AE85" i="50"/>
  <c r="E85" i="50"/>
  <c r="W85" i="50" s="1"/>
  <c r="AE84" i="50"/>
  <c r="E84" i="50"/>
  <c r="W84" i="50" s="1"/>
  <c r="AE83" i="50"/>
  <c r="E83" i="50"/>
  <c r="W83" i="50" s="1"/>
  <c r="AE82" i="50"/>
  <c r="E82" i="50"/>
  <c r="W82" i="50" s="1"/>
  <c r="AE81" i="50"/>
  <c r="E81" i="50"/>
  <c r="W81" i="50" s="1"/>
  <c r="AE80" i="50"/>
  <c r="E80" i="50"/>
  <c r="W80" i="50" s="1"/>
  <c r="AE79" i="50"/>
  <c r="E79" i="50"/>
  <c r="W79" i="50" s="1"/>
  <c r="AE78" i="50"/>
  <c r="E78" i="50"/>
  <c r="W78" i="50" s="1"/>
  <c r="AE77" i="50"/>
  <c r="E77" i="50"/>
  <c r="W77" i="50" s="1"/>
  <c r="AE76" i="50"/>
  <c r="E76" i="50"/>
  <c r="W76" i="50" s="1"/>
  <c r="AE75" i="50"/>
  <c r="E75" i="50"/>
  <c r="W75" i="50" s="1"/>
  <c r="AE74" i="50"/>
  <c r="E74" i="50"/>
  <c r="W74" i="50" s="1"/>
  <c r="AE73" i="50"/>
  <c r="E73" i="50"/>
  <c r="W73" i="50" s="1"/>
  <c r="AE72" i="50"/>
  <c r="E72" i="50"/>
  <c r="W72" i="50" s="1"/>
  <c r="AE71" i="50"/>
  <c r="W71" i="50"/>
  <c r="E71" i="50"/>
  <c r="AE70" i="50"/>
  <c r="E70" i="50"/>
  <c r="W70" i="50" s="1"/>
  <c r="AE69" i="50"/>
  <c r="E69" i="50"/>
  <c r="W69" i="50" s="1"/>
  <c r="AE68" i="50"/>
  <c r="W68" i="50"/>
  <c r="E68" i="50"/>
  <c r="AE67" i="50"/>
  <c r="E67" i="50"/>
  <c r="W67" i="50" s="1"/>
  <c r="AE66" i="50"/>
  <c r="E66" i="50"/>
  <c r="W66" i="50" s="1"/>
  <c r="AE65" i="50"/>
  <c r="E65" i="50"/>
  <c r="W65" i="50" s="1"/>
  <c r="AE64" i="50"/>
  <c r="E64" i="50"/>
  <c r="W64" i="50" s="1"/>
  <c r="AE63" i="50"/>
  <c r="E63" i="50"/>
  <c r="W63" i="50" s="1"/>
  <c r="AE62" i="50"/>
  <c r="E62" i="50"/>
  <c r="W62" i="50" s="1"/>
  <c r="AE61" i="50"/>
  <c r="E61" i="50"/>
  <c r="W61" i="50" s="1"/>
  <c r="AE60" i="50"/>
  <c r="E60" i="50"/>
  <c r="W60" i="50" s="1"/>
  <c r="AE59" i="50"/>
  <c r="E59" i="50"/>
  <c r="W59" i="50" s="1"/>
  <c r="AE58" i="50"/>
  <c r="E58" i="50"/>
  <c r="AE57" i="50"/>
  <c r="W57" i="50"/>
  <c r="E57" i="50"/>
  <c r="AE56" i="50"/>
  <c r="E56" i="50"/>
  <c r="W56" i="50" s="1"/>
  <c r="AE55" i="50"/>
  <c r="E55" i="50"/>
  <c r="W55" i="50" s="1"/>
  <c r="AE54" i="50"/>
  <c r="E54" i="50"/>
  <c r="W54" i="50" s="1"/>
  <c r="AE53" i="50"/>
  <c r="E53" i="50"/>
  <c r="W53" i="50" s="1"/>
  <c r="AE52" i="50"/>
  <c r="E52" i="50"/>
  <c r="W52" i="50" s="1"/>
  <c r="AE51" i="50"/>
  <c r="E51" i="50"/>
  <c r="W51" i="50" s="1"/>
  <c r="AE50" i="50"/>
  <c r="E50" i="50"/>
  <c r="AE49" i="50"/>
  <c r="E49" i="50"/>
  <c r="W49" i="50" s="1"/>
  <c r="AE48" i="50"/>
  <c r="E48" i="50"/>
  <c r="W48" i="50" s="1"/>
  <c r="AE47" i="50"/>
  <c r="E47" i="50"/>
  <c r="W47" i="50" s="1"/>
  <c r="AE46" i="50"/>
  <c r="E46" i="50"/>
  <c r="W46" i="50" s="1"/>
  <c r="AE45" i="50"/>
  <c r="E45" i="50"/>
  <c r="W45" i="50" s="1"/>
  <c r="AE44" i="50"/>
  <c r="E44" i="50"/>
  <c r="W44" i="50" s="1"/>
  <c r="AE43" i="50"/>
  <c r="E43" i="50"/>
  <c r="W43" i="50" s="1"/>
  <c r="AE42" i="50"/>
  <c r="E42" i="50"/>
  <c r="W42" i="50" s="1"/>
  <c r="AE41" i="50"/>
  <c r="E41" i="50"/>
  <c r="W41" i="50" s="1"/>
  <c r="AE40" i="50"/>
  <c r="E40" i="50"/>
  <c r="W40" i="50" s="1"/>
  <c r="AE39" i="50"/>
  <c r="E39" i="50"/>
  <c r="W39" i="50" s="1"/>
  <c r="AE38" i="50"/>
  <c r="E38" i="50"/>
  <c r="AE37" i="50"/>
  <c r="E37" i="50"/>
  <c r="W37" i="50" s="1"/>
  <c r="AE36" i="50"/>
  <c r="E36" i="50"/>
  <c r="W36" i="50" s="1"/>
  <c r="AE35" i="50"/>
  <c r="E35" i="50"/>
  <c r="W35" i="50" s="1"/>
  <c r="AE34" i="50"/>
  <c r="E34" i="50"/>
  <c r="W34" i="50" s="1"/>
  <c r="AE33" i="50"/>
  <c r="E33" i="50"/>
  <c r="W33" i="50" s="1"/>
  <c r="AE32" i="50"/>
  <c r="E32" i="50"/>
  <c r="W32" i="50" s="1"/>
  <c r="AE31" i="50"/>
  <c r="E31" i="50"/>
  <c r="W31" i="50" s="1"/>
  <c r="AE30" i="50"/>
  <c r="E30" i="50"/>
  <c r="W30" i="50" s="1"/>
  <c r="AE29" i="50"/>
  <c r="E29" i="50"/>
  <c r="AE28" i="50"/>
  <c r="E28" i="50"/>
  <c r="W28" i="50" s="1"/>
  <c r="AE27" i="50"/>
  <c r="E27" i="50"/>
  <c r="W27" i="50" s="1"/>
  <c r="AE26" i="50"/>
  <c r="E26" i="50"/>
  <c r="W26" i="50" s="1"/>
  <c r="AE25" i="50"/>
  <c r="E25" i="50"/>
  <c r="W25" i="50" s="1"/>
  <c r="AE24" i="50"/>
  <c r="E24" i="50"/>
  <c r="W24" i="50" s="1"/>
  <c r="AE23" i="50"/>
  <c r="E23" i="50"/>
  <c r="W23" i="50" s="1"/>
  <c r="AE22" i="50"/>
  <c r="E22" i="50"/>
  <c r="AE21" i="50"/>
  <c r="E21" i="50"/>
  <c r="W21" i="50" s="1"/>
  <c r="AE20" i="50"/>
  <c r="E20" i="50"/>
  <c r="W20" i="50" s="1"/>
  <c r="AE19" i="50"/>
  <c r="E19" i="50"/>
  <c r="W19" i="50" s="1"/>
  <c r="AE18" i="50"/>
  <c r="E18" i="50"/>
  <c r="AE17" i="50"/>
  <c r="E17" i="50"/>
  <c r="AE16" i="50"/>
  <c r="L16" i="50"/>
  <c r="L17" i="50" s="1"/>
  <c r="L18" i="50" s="1"/>
  <c r="L19" i="50" s="1"/>
  <c r="E16" i="50"/>
  <c r="W16" i="50" s="1"/>
  <c r="AE15" i="50"/>
  <c r="M15" i="50" a="1"/>
  <c r="E15" i="50"/>
  <c r="W15" i="50" s="1"/>
  <c r="AE14" i="50"/>
  <c r="E14" i="50"/>
  <c r="W14" i="50" s="1"/>
  <c r="AE13" i="50"/>
  <c r="E13" i="50"/>
  <c r="AE12" i="50"/>
  <c r="E12" i="50"/>
  <c r="W12" i="50" s="1"/>
  <c r="AE11" i="50"/>
  <c r="AD11" i="50"/>
  <c r="AD12" i="50" s="1"/>
  <c r="AD13" i="50" s="1"/>
  <c r="AD14" i="50" s="1"/>
  <c r="AD15" i="50" s="1"/>
  <c r="AD16" i="50" s="1"/>
  <c r="AD17" i="50" s="1"/>
  <c r="AD18" i="50" s="1"/>
  <c r="AD19" i="50" s="1"/>
  <c r="AD20" i="50" s="1"/>
  <c r="AD21" i="50" s="1"/>
  <c r="AD22" i="50" s="1"/>
  <c r="AD23" i="50" s="1"/>
  <c r="AD24" i="50" s="1"/>
  <c r="AD25" i="50" s="1"/>
  <c r="AD26" i="50" s="1"/>
  <c r="AD27" i="50" s="1"/>
  <c r="AD28" i="50" s="1"/>
  <c r="AD29" i="50" s="1"/>
  <c r="AD30" i="50" s="1"/>
  <c r="AD31" i="50" s="1"/>
  <c r="AD32" i="50" s="1"/>
  <c r="AD33" i="50" s="1"/>
  <c r="AD34" i="50" s="1"/>
  <c r="AD35" i="50" s="1"/>
  <c r="AD36" i="50" s="1"/>
  <c r="AD37" i="50" s="1"/>
  <c r="AD38" i="50" s="1"/>
  <c r="AD39" i="50" s="1"/>
  <c r="AD40" i="50" s="1"/>
  <c r="AD41" i="50" s="1"/>
  <c r="AD42" i="50" s="1"/>
  <c r="AD43" i="50" s="1"/>
  <c r="AD44" i="50" s="1"/>
  <c r="AD45" i="50" s="1"/>
  <c r="AD46" i="50" s="1"/>
  <c r="AD47" i="50" s="1"/>
  <c r="AD48" i="50" s="1"/>
  <c r="AD49" i="50" s="1"/>
  <c r="AD50" i="50" s="1"/>
  <c r="AD51" i="50" s="1"/>
  <c r="AD52" i="50" s="1"/>
  <c r="AD53" i="50" s="1"/>
  <c r="AD54" i="50" s="1"/>
  <c r="AD55" i="50" s="1"/>
  <c r="AD56" i="50" s="1"/>
  <c r="AD57" i="50" s="1"/>
  <c r="AD58" i="50" s="1"/>
  <c r="AD59" i="50" s="1"/>
  <c r="AD60" i="50" s="1"/>
  <c r="AD61" i="50" s="1"/>
  <c r="AD62" i="50" s="1"/>
  <c r="AD63" i="50" s="1"/>
  <c r="AD64" i="50" s="1"/>
  <c r="AD65" i="50" s="1"/>
  <c r="AD66" i="50" s="1"/>
  <c r="AD67" i="50" s="1"/>
  <c r="AD68" i="50" s="1"/>
  <c r="AD69" i="50" s="1"/>
  <c r="AD70" i="50" s="1"/>
  <c r="AD71" i="50" s="1"/>
  <c r="AD72" i="50" s="1"/>
  <c r="AD73" i="50" s="1"/>
  <c r="AD74" i="50" s="1"/>
  <c r="AD75" i="50" s="1"/>
  <c r="AD76" i="50" s="1"/>
  <c r="AD77" i="50" s="1"/>
  <c r="AD78" i="50" s="1"/>
  <c r="AD79" i="50" s="1"/>
  <c r="AD80" i="50" s="1"/>
  <c r="AD81" i="50" s="1"/>
  <c r="AD82" i="50" s="1"/>
  <c r="AD83" i="50" s="1"/>
  <c r="AD84" i="50" s="1"/>
  <c r="AD85" i="50" s="1"/>
  <c r="AD86" i="50" s="1"/>
  <c r="AD87" i="50" s="1"/>
  <c r="AD88" i="50" s="1"/>
  <c r="AD89" i="50" s="1"/>
  <c r="AD90" i="50" s="1"/>
  <c r="AD91" i="50" s="1"/>
  <c r="AD92" i="50" s="1"/>
  <c r="AD93" i="50" s="1"/>
  <c r="AD94" i="50" s="1"/>
  <c r="AD95" i="50" s="1"/>
  <c r="AD96" i="50" s="1"/>
  <c r="AD97" i="50" s="1"/>
  <c r="AD98" i="50" s="1"/>
  <c r="AD99" i="50" s="1"/>
  <c r="AD100" i="50" s="1"/>
  <c r="AD101" i="50" s="1"/>
  <c r="AD102" i="50" s="1"/>
  <c r="AD103" i="50" s="1"/>
  <c r="AD104" i="50" s="1"/>
  <c r="AD105" i="50" s="1"/>
  <c r="AD106" i="50" s="1"/>
  <c r="AD107" i="50" s="1"/>
  <c r="AD108" i="50" s="1"/>
  <c r="AD109" i="50" s="1"/>
  <c r="AD110" i="50" s="1"/>
  <c r="AD111" i="50" s="1"/>
  <c r="AD112" i="50" s="1"/>
  <c r="AD113" i="50" s="1"/>
  <c r="E11" i="50"/>
  <c r="W11" i="50" s="1"/>
  <c r="AE10" i="50"/>
  <c r="L10" i="50" a="1"/>
  <c r="E10" i="50"/>
  <c r="AE9" i="50"/>
  <c r="E9" i="50"/>
  <c r="W9" i="50" s="1"/>
  <c r="AE8" i="50"/>
  <c r="W8" i="50"/>
  <c r="E8" i="50"/>
  <c r="AE7" i="50"/>
  <c r="AD7" i="50"/>
  <c r="AD8" i="50" s="1"/>
  <c r="AD9" i="50" s="1"/>
  <c r="AD10" i="50" s="1"/>
  <c r="E7" i="50"/>
  <c r="W7" i="50" s="1"/>
  <c r="AE6" i="50"/>
  <c r="AD6" i="50"/>
  <c r="I6" i="50"/>
  <c r="E6" i="50"/>
  <c r="D6" i="50"/>
  <c r="AE5" i="50"/>
  <c r="AD5" i="50"/>
  <c r="X5" i="50"/>
  <c r="H5" i="50"/>
  <c r="E5" i="50"/>
  <c r="W5" i="50" s="1"/>
  <c r="Y5" i="50" s="1"/>
  <c r="D5" i="50"/>
  <c r="V5" i="50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A43" i="50" s="1"/>
  <c r="A44" i="50" s="1"/>
  <c r="A45" i="50" s="1"/>
  <c r="A46" i="50" s="1"/>
  <c r="A47" i="50" s="1"/>
  <c r="A48" i="50" s="1"/>
  <c r="A49" i="50" s="1"/>
  <c r="A50" i="50" s="1"/>
  <c r="A51" i="50" s="1"/>
  <c r="A52" i="50" s="1"/>
  <c r="A53" i="50" s="1"/>
  <c r="A54" i="50" s="1"/>
  <c r="A55" i="50" s="1"/>
  <c r="A56" i="50" s="1"/>
  <c r="A57" i="50" s="1"/>
  <c r="A58" i="50" s="1"/>
  <c r="A59" i="50" s="1"/>
  <c r="A60" i="50" s="1"/>
  <c r="A61" i="50" s="1"/>
  <c r="A62" i="50" s="1"/>
  <c r="A63" i="50" s="1"/>
  <c r="A64" i="50" s="1"/>
  <c r="A65" i="50" s="1"/>
  <c r="A66" i="50" s="1"/>
  <c r="A67" i="50" s="1"/>
  <c r="A68" i="50" s="1"/>
  <c r="A69" i="50" s="1"/>
  <c r="A70" i="50" s="1"/>
  <c r="A71" i="50" s="1"/>
  <c r="A72" i="50" s="1"/>
  <c r="A73" i="50" s="1"/>
  <c r="A74" i="50" s="1"/>
  <c r="A75" i="50" s="1"/>
  <c r="A76" i="50" s="1"/>
  <c r="A77" i="50" s="1"/>
  <c r="A78" i="50" s="1"/>
  <c r="A79" i="50" s="1"/>
  <c r="A80" i="50" s="1"/>
  <c r="A81" i="50" s="1"/>
  <c r="A82" i="50" s="1"/>
  <c r="A83" i="50" s="1"/>
  <c r="A84" i="50" s="1"/>
  <c r="A85" i="50" s="1"/>
  <c r="A86" i="50" s="1"/>
  <c r="A87" i="50" s="1"/>
  <c r="A88" i="50" s="1"/>
  <c r="A89" i="50" s="1"/>
  <c r="A90" i="50" s="1"/>
  <c r="A91" i="50" s="1"/>
  <c r="A92" i="50" s="1"/>
  <c r="A93" i="50" s="1"/>
  <c r="A94" i="50" s="1"/>
  <c r="A95" i="50" s="1"/>
  <c r="A96" i="50" s="1"/>
  <c r="A97" i="50" s="1"/>
  <c r="A98" i="50" s="1"/>
  <c r="A99" i="50" s="1"/>
  <c r="A100" i="50" s="1"/>
  <c r="A101" i="50" s="1"/>
  <c r="A102" i="50" s="1"/>
  <c r="A103" i="50" s="1"/>
  <c r="A104" i="50" s="1"/>
  <c r="A105" i="50" s="1"/>
  <c r="A106" i="50" s="1"/>
  <c r="A107" i="50" s="1"/>
  <c r="A108" i="50" s="1"/>
  <c r="AE4" i="50"/>
  <c r="X4" i="50"/>
  <c r="V4" i="50"/>
  <c r="L4" i="50" a="1"/>
  <c r="M5" i="50" s="1"/>
  <c r="E4" i="50"/>
  <c r="W4" i="50" s="1"/>
  <c r="Y4" i="50" s="1"/>
  <c r="M4" i="50" l="1"/>
  <c r="L4" i="50"/>
  <c r="N10" i="50"/>
  <c r="M10" i="50"/>
  <c r="L10" i="50"/>
  <c r="W38" i="50"/>
  <c r="W22" i="50"/>
  <c r="F6" i="50"/>
  <c r="W6" i="50"/>
  <c r="J18" i="50"/>
  <c r="J16" i="50"/>
  <c r="Q4" i="50" s="1"/>
  <c r="J17" i="50"/>
  <c r="M19" i="50"/>
  <c r="M15" i="50"/>
  <c r="M18" i="50"/>
  <c r="M17" i="50"/>
  <c r="M16" i="50"/>
  <c r="W18" i="50"/>
  <c r="D7" i="50"/>
  <c r="V6" i="50"/>
  <c r="W29" i="50"/>
  <c r="W17" i="50"/>
  <c r="N4" i="50"/>
  <c r="W50" i="50"/>
  <c r="N5" i="50"/>
  <c r="L5" i="50"/>
  <c r="W10" i="50"/>
  <c r="W13" i="50"/>
  <c r="W58" i="50"/>
  <c r="D8" i="50" l="1"/>
  <c r="V7" i="50"/>
  <c r="R4" i="50"/>
  <c r="S4" i="50" s="1"/>
  <c r="T4" i="50" s="1"/>
  <c r="X6" i="50"/>
  <c r="Y6" i="50" s="1"/>
  <c r="F7" i="50"/>
  <c r="X7" i="50" l="1"/>
  <c r="Y7" i="50" s="1"/>
  <c r="F8" i="50"/>
  <c r="V8" i="50"/>
  <c r="D9" i="50"/>
  <c r="D10" i="50" l="1"/>
  <c r="V9" i="50"/>
  <c r="X8" i="50"/>
  <c r="Y8" i="50" s="1"/>
  <c r="F9" i="50"/>
  <c r="X9" i="50" l="1"/>
  <c r="Y9" i="50" s="1"/>
  <c r="F10" i="50"/>
  <c r="D11" i="50"/>
  <c r="V10" i="50"/>
  <c r="D12" i="50" l="1"/>
  <c r="V11" i="50"/>
  <c r="X10" i="50"/>
  <c r="Y10" i="50" s="1"/>
  <c r="F11" i="50"/>
  <c r="B75" i="44"/>
  <c r="B76" i="44"/>
  <c r="B77" i="44"/>
  <c r="B78" i="44"/>
  <c r="B79" i="44"/>
  <c r="B80" i="44"/>
  <c r="B81" i="44"/>
  <c r="B82" i="44"/>
  <c r="B83" i="44"/>
  <c r="B84" i="44"/>
  <c r="B85" i="44"/>
  <c r="B86" i="44"/>
  <c r="B87" i="44"/>
  <c r="B88" i="44"/>
  <c r="B89" i="44"/>
  <c r="B49" i="44"/>
  <c r="B50" i="44"/>
  <c r="B51" i="44"/>
  <c r="B52" i="44"/>
  <c r="B53" i="44"/>
  <c r="B54" i="44"/>
  <c r="B55" i="44"/>
  <c r="B56" i="44"/>
  <c r="B57" i="44"/>
  <c r="B58" i="44"/>
  <c r="B59" i="44"/>
  <c r="B60" i="44"/>
  <c r="B61" i="44"/>
  <c r="B62" i="44"/>
  <c r="B63" i="44"/>
  <c r="B64" i="44"/>
  <c r="B65" i="44"/>
  <c r="B66" i="44"/>
  <c r="B67" i="44"/>
  <c r="B68" i="44"/>
  <c r="B69" i="44"/>
  <c r="B70" i="44"/>
  <c r="B71" i="44"/>
  <c r="B72" i="44"/>
  <c r="B73" i="44"/>
  <c r="B74" i="44"/>
  <c r="B40" i="44"/>
  <c r="B41" i="44"/>
  <c r="B42" i="44"/>
  <c r="B43" i="44"/>
  <c r="B44" i="44"/>
  <c r="B45" i="44"/>
  <c r="B46" i="44"/>
  <c r="B47" i="44"/>
  <c r="B48" i="44"/>
  <c r="B31" i="44"/>
  <c r="B32" i="44"/>
  <c r="B33" i="44"/>
  <c r="B34" i="44"/>
  <c r="B35" i="44"/>
  <c r="B36" i="44"/>
  <c r="B37" i="44"/>
  <c r="B38" i="44"/>
  <c r="B39" i="44"/>
  <c r="B30" i="44"/>
  <c r="X11" i="50" l="1"/>
  <c r="Y11" i="50" s="1"/>
  <c r="F12" i="50"/>
  <c r="V12" i="50"/>
  <c r="D13" i="50"/>
  <c r="AE5" i="30"/>
  <c r="AE6" i="30" s="1"/>
  <c r="AE7" i="30" s="1"/>
  <c r="AE8" i="30" s="1"/>
  <c r="AE9" i="30" s="1"/>
  <c r="AE10" i="30" s="1"/>
  <c r="AE11" i="30" s="1"/>
  <c r="AE12" i="30" s="1"/>
  <c r="AE13" i="30" s="1"/>
  <c r="AE14" i="30" s="1"/>
  <c r="AE15" i="30" s="1"/>
  <c r="AE16" i="30" s="1"/>
  <c r="AE17" i="30" s="1"/>
  <c r="AE18" i="30" s="1"/>
  <c r="AE19" i="30" s="1"/>
  <c r="AE20" i="30" s="1"/>
  <c r="AE21" i="30" s="1"/>
  <c r="AE22" i="30" s="1"/>
  <c r="AE23" i="30" s="1"/>
  <c r="AE24" i="30" s="1"/>
  <c r="AE25" i="30" s="1"/>
  <c r="AE26" i="30" s="1"/>
  <c r="AE27" i="30" s="1"/>
  <c r="AE28" i="30" s="1"/>
  <c r="AE29" i="30" s="1"/>
  <c r="AE30" i="30" s="1"/>
  <c r="AE31" i="30" s="1"/>
  <c r="AE32" i="30" s="1"/>
  <c r="AE33" i="30" s="1"/>
  <c r="AE34" i="30" s="1"/>
  <c r="AE35" i="30" s="1"/>
  <c r="AE36" i="30" s="1"/>
  <c r="AE37" i="30" s="1"/>
  <c r="AE38" i="30" s="1"/>
  <c r="AE39" i="30" s="1"/>
  <c r="AE40" i="30" s="1"/>
  <c r="AE41" i="30" s="1"/>
  <c r="AE42" i="30" s="1"/>
  <c r="AE43" i="30" s="1"/>
  <c r="AE44" i="30" s="1"/>
  <c r="AE45" i="30" s="1"/>
  <c r="AE46" i="30" s="1"/>
  <c r="AE47" i="30" s="1"/>
  <c r="AE48" i="30" s="1"/>
  <c r="AE49" i="30" s="1"/>
  <c r="AE50" i="30" s="1"/>
  <c r="AE51" i="30" s="1"/>
  <c r="AE52" i="30" s="1"/>
  <c r="AE53" i="30" s="1"/>
  <c r="AE54" i="30" s="1"/>
  <c r="AE55" i="30" s="1"/>
  <c r="AE56" i="30" s="1"/>
  <c r="AE57" i="30" s="1"/>
  <c r="AE58" i="30" s="1"/>
  <c r="AE59" i="30" s="1"/>
  <c r="AE60" i="30" s="1"/>
  <c r="AE61" i="30" s="1"/>
  <c r="AE62" i="30" s="1"/>
  <c r="AE63" i="30" s="1"/>
  <c r="AE64" i="30" s="1"/>
  <c r="AE65" i="30" s="1"/>
  <c r="AE66" i="30" s="1"/>
  <c r="AE67" i="30" s="1"/>
  <c r="AE68" i="30" s="1"/>
  <c r="AE69" i="30" s="1"/>
  <c r="AE70" i="30" s="1"/>
  <c r="AE71" i="30" s="1"/>
  <c r="AE72" i="30" s="1"/>
  <c r="AE73" i="30" s="1"/>
  <c r="AE74" i="30" s="1"/>
  <c r="AE75" i="30" s="1"/>
  <c r="AE76" i="30" s="1"/>
  <c r="AE77" i="30" s="1"/>
  <c r="AE78" i="30" s="1"/>
  <c r="AE79" i="30" s="1"/>
  <c r="AE80" i="30" s="1"/>
  <c r="AE81" i="30" s="1"/>
  <c r="AE82" i="30" s="1"/>
  <c r="AE83" i="30" s="1"/>
  <c r="AE84" i="30" s="1"/>
  <c r="AE85" i="30" s="1"/>
  <c r="AE86" i="30" s="1"/>
  <c r="AE87" i="30" s="1"/>
  <c r="AE88" i="30" s="1"/>
  <c r="AE89" i="30" s="1"/>
  <c r="AE90" i="30" s="1"/>
  <c r="AE91" i="30" s="1"/>
  <c r="AE92" i="30" s="1"/>
  <c r="AE93" i="30" s="1"/>
  <c r="AE94" i="30" s="1"/>
  <c r="AE95" i="30" s="1"/>
  <c r="AE96" i="30" s="1"/>
  <c r="AE97" i="30" s="1"/>
  <c r="AE98" i="30" s="1"/>
  <c r="AE99" i="30" s="1"/>
  <c r="AE100" i="30" s="1"/>
  <c r="AE101" i="30" s="1"/>
  <c r="AE102" i="30" s="1"/>
  <c r="AE103" i="30" s="1"/>
  <c r="AE104" i="30" s="1"/>
  <c r="AE105" i="30" s="1"/>
  <c r="AE106" i="30" s="1"/>
  <c r="AE107" i="30" s="1"/>
  <c r="AE108" i="30" s="1"/>
  <c r="AE109" i="30" s="1"/>
  <c r="AE110" i="30" s="1"/>
  <c r="AE111" i="30" s="1"/>
  <c r="AE112" i="30" s="1"/>
  <c r="AE113" i="30" s="1"/>
  <c r="AE114" i="30" s="1"/>
  <c r="AE115" i="30" s="1"/>
  <c r="AE116" i="30" s="1"/>
  <c r="AE117" i="30" s="1"/>
  <c r="AE118" i="30" s="1"/>
  <c r="AE119" i="30" s="1"/>
  <c r="AE120" i="30" s="1"/>
  <c r="AE121" i="30" s="1"/>
  <c r="AE122" i="30" s="1"/>
  <c r="AE123" i="30" s="1"/>
  <c r="AE124" i="30" s="1"/>
  <c r="AE125" i="30" s="1"/>
  <c r="AE126" i="30" s="1"/>
  <c r="AE127" i="30" s="1"/>
  <c r="AE128" i="30" s="1"/>
  <c r="AE129" i="30" s="1"/>
  <c r="AE130" i="30" s="1"/>
  <c r="AE131" i="30" s="1"/>
  <c r="AE132" i="30" s="1"/>
  <c r="AE133" i="30" s="1"/>
  <c r="AE134" i="30" s="1"/>
  <c r="AE135" i="30" s="1"/>
  <c r="AE136" i="30" s="1"/>
  <c r="AE137" i="30" s="1"/>
  <c r="AE138" i="30" s="1"/>
  <c r="AE139" i="30" s="1"/>
  <c r="AE140" i="30" s="1"/>
  <c r="AE141" i="30" s="1"/>
  <c r="AE142" i="30" s="1"/>
  <c r="AE143" i="30" s="1"/>
  <c r="AE144" i="30" s="1"/>
  <c r="AE145" i="30" s="1"/>
  <c r="AE146" i="30" s="1"/>
  <c r="AE147" i="30" s="1"/>
  <c r="AE148" i="30" s="1"/>
  <c r="AE149" i="30" s="1"/>
  <c r="AE150" i="30" s="1"/>
  <c r="AE151" i="30" s="1"/>
  <c r="AE152" i="30" s="1"/>
  <c r="AE153" i="30" s="1"/>
  <c r="AE154" i="30" s="1"/>
  <c r="AE155" i="30" s="1"/>
  <c r="AE156" i="30" s="1"/>
  <c r="AE157" i="30" s="1"/>
  <c r="AE158" i="30" s="1"/>
  <c r="AE159" i="30" s="1"/>
  <c r="AE160" i="30" s="1"/>
  <c r="AE161" i="30" s="1"/>
  <c r="AE162" i="30" s="1"/>
  <c r="AE163" i="30" s="1"/>
  <c r="AE164" i="30" s="1"/>
  <c r="AE165" i="30" s="1"/>
  <c r="AE166" i="30" s="1"/>
  <c r="AE167" i="30" s="1"/>
  <c r="AE168" i="30" s="1"/>
  <c r="AE169" i="30" s="1"/>
  <c r="AE170" i="30" s="1"/>
  <c r="AE171" i="30" s="1"/>
  <c r="AE172" i="30" s="1"/>
  <c r="AE173" i="30" s="1"/>
  <c r="AE174" i="30" s="1"/>
  <c r="AE175" i="30" s="1"/>
  <c r="AE176" i="30" s="1"/>
  <c r="AE177" i="30" s="1"/>
  <c r="AE178" i="30" s="1"/>
  <c r="AE179" i="30" s="1"/>
  <c r="AE180" i="30" s="1"/>
  <c r="AE181" i="30" s="1"/>
  <c r="AE182" i="30" s="1"/>
  <c r="AE183" i="30" s="1"/>
  <c r="AE184" i="30" s="1"/>
  <c r="AE185" i="30" s="1"/>
  <c r="AE186" i="30" s="1"/>
  <c r="AE187" i="30" s="1"/>
  <c r="AE188" i="30" s="1"/>
  <c r="AE189" i="30" s="1"/>
  <c r="AE190" i="30" s="1"/>
  <c r="AE191" i="30" s="1"/>
  <c r="AE192" i="30" s="1"/>
  <c r="AE193" i="30" s="1"/>
  <c r="AE194" i="30" s="1"/>
  <c r="AE195" i="30" s="1"/>
  <c r="AE196" i="30" s="1"/>
  <c r="AE197" i="30" s="1"/>
  <c r="AE198" i="30" s="1"/>
  <c r="AE199" i="30" s="1"/>
  <c r="AE200" i="30" s="1"/>
  <c r="AE201" i="30" s="1"/>
  <c r="AE202" i="30" s="1"/>
  <c r="AE203" i="30" s="1"/>
  <c r="AE204" i="30" s="1"/>
  <c r="AE205" i="30" s="1"/>
  <c r="AE206" i="30" s="1"/>
  <c r="AE207" i="30" s="1"/>
  <c r="AE208" i="30" s="1"/>
  <c r="AE209" i="30" s="1"/>
  <c r="AE210" i="30" s="1"/>
  <c r="AE211" i="30" s="1"/>
  <c r="AE212" i="30" s="1"/>
  <c r="AE213" i="30" s="1"/>
  <c r="AE214" i="30" s="1"/>
  <c r="AE215" i="30" s="1"/>
  <c r="AE216" i="30" s="1"/>
  <c r="AE217" i="30" s="1"/>
  <c r="AE218" i="30" s="1"/>
  <c r="AE219" i="30" s="1"/>
  <c r="AE220" i="30" s="1"/>
  <c r="AE221" i="30" s="1"/>
  <c r="AE222" i="30" s="1"/>
  <c r="AE223" i="30" s="1"/>
  <c r="AE224" i="30" s="1"/>
  <c r="AE225" i="30" s="1"/>
  <c r="AE226" i="30" s="1"/>
  <c r="AE227" i="30" s="1"/>
  <c r="AE228" i="30" s="1"/>
  <c r="AE229" i="30" s="1"/>
  <c r="AE230" i="30" s="1"/>
  <c r="AE231" i="30" s="1"/>
  <c r="AE232" i="30" s="1"/>
  <c r="AE233" i="30" s="1"/>
  <c r="AE234" i="30" s="1"/>
  <c r="AE235" i="30" s="1"/>
  <c r="AE236" i="30" s="1"/>
  <c r="AE237" i="30" s="1"/>
  <c r="AE238" i="30" s="1"/>
  <c r="AE239" i="30" s="1"/>
  <c r="AE240" i="30" s="1"/>
  <c r="AE241" i="30" s="1"/>
  <c r="AE242" i="30" s="1"/>
  <c r="AE243" i="30" s="1"/>
  <c r="AE244" i="30" s="1"/>
  <c r="AE245" i="30" s="1"/>
  <c r="AE246" i="30" s="1"/>
  <c r="AE247" i="30" s="1"/>
  <c r="AE248" i="30" s="1"/>
  <c r="AE249" i="30" s="1"/>
  <c r="AE250" i="30" s="1"/>
  <c r="AE251" i="30" s="1"/>
  <c r="AE252" i="30" s="1"/>
  <c r="AE253" i="30" s="1"/>
  <c r="AE254" i="30" s="1"/>
  <c r="AE255" i="30" s="1"/>
  <c r="AE256" i="30" s="1"/>
  <c r="AE257" i="30" s="1"/>
  <c r="AE258" i="30" s="1"/>
  <c r="AE259" i="30" s="1"/>
  <c r="AE260" i="30" s="1"/>
  <c r="AE261" i="30" s="1"/>
  <c r="AE262" i="30" s="1"/>
  <c r="AE263" i="30" s="1"/>
  <c r="AE264" i="30" s="1"/>
  <c r="AE265" i="30" s="1"/>
  <c r="AE266" i="30" s="1"/>
  <c r="AE267" i="30" s="1"/>
  <c r="AE268" i="30" s="1"/>
  <c r="AE269" i="30" s="1"/>
  <c r="AE270" i="30" s="1"/>
  <c r="AE271" i="30" s="1"/>
  <c r="AE272" i="30" s="1"/>
  <c r="AE273" i="30" s="1"/>
  <c r="AE274" i="30" s="1"/>
  <c r="AE275" i="30" s="1"/>
  <c r="AE276" i="30" s="1"/>
  <c r="AE277" i="30" s="1"/>
  <c r="AE278" i="30" s="1"/>
  <c r="AE279" i="30" s="1"/>
  <c r="AE280" i="30" s="1"/>
  <c r="AE281" i="30" s="1"/>
  <c r="AE282" i="30" s="1"/>
  <c r="AE283" i="30" s="1"/>
  <c r="AE284" i="30" s="1"/>
  <c r="AE285" i="30" s="1"/>
  <c r="AE286" i="30" s="1"/>
  <c r="AE287" i="30" s="1"/>
  <c r="AE288" i="30" s="1"/>
  <c r="AE289" i="30" s="1"/>
  <c r="AE290" i="30" s="1"/>
  <c r="AE291" i="30" s="1"/>
  <c r="AE292" i="30" s="1"/>
  <c r="AE293" i="30" s="1"/>
  <c r="AE294" i="30" s="1"/>
  <c r="AE295" i="30" s="1"/>
  <c r="AE296" i="30" s="1"/>
  <c r="AE297" i="30" s="1"/>
  <c r="AE298" i="30" s="1"/>
  <c r="AE299" i="30" s="1"/>
  <c r="AE300" i="30" s="1"/>
  <c r="AE301" i="30" s="1"/>
  <c r="AE302" i="30" s="1"/>
  <c r="AE303" i="30" s="1"/>
  <c r="AE304" i="30" s="1"/>
  <c r="AE305" i="30" s="1"/>
  <c r="AE306" i="30" s="1"/>
  <c r="AE307" i="30" s="1"/>
  <c r="AE308" i="30" s="1"/>
  <c r="AE309" i="30" s="1"/>
  <c r="AE310" i="30" s="1"/>
  <c r="AE311" i="30" s="1"/>
  <c r="AE312" i="30" s="1"/>
  <c r="AE313" i="30" s="1"/>
  <c r="AE314" i="30" s="1"/>
  <c r="AE315" i="30" s="1"/>
  <c r="AE316" i="30" s="1"/>
  <c r="AE317" i="30" s="1"/>
  <c r="AE318" i="30" s="1"/>
  <c r="AE319" i="30" s="1"/>
  <c r="AE320" i="30" s="1"/>
  <c r="AE321" i="30" s="1"/>
  <c r="AE322" i="30" s="1"/>
  <c r="AE323" i="30" s="1"/>
  <c r="AE324" i="30" s="1"/>
  <c r="AE325" i="30" s="1"/>
  <c r="AE326" i="30" s="1"/>
  <c r="AE327" i="30" s="1"/>
  <c r="AE328" i="30" s="1"/>
  <c r="AE329" i="30" s="1"/>
  <c r="AE330" i="30" s="1"/>
  <c r="AE331" i="30" s="1"/>
  <c r="AE332" i="30" s="1"/>
  <c r="AE333" i="30" s="1"/>
  <c r="AE334" i="30" s="1"/>
  <c r="AE335" i="30" s="1"/>
  <c r="AE336" i="30" s="1"/>
  <c r="AE337" i="30" s="1"/>
  <c r="AE338" i="30" s="1"/>
  <c r="AE339" i="30" s="1"/>
  <c r="AE340" i="30" s="1"/>
  <c r="AE341" i="30" s="1"/>
  <c r="AE342" i="30" s="1"/>
  <c r="AE343" i="30" s="1"/>
  <c r="AE344" i="30" s="1"/>
  <c r="AE345" i="30" s="1"/>
  <c r="AE346" i="30" s="1"/>
  <c r="AE347" i="30" s="1"/>
  <c r="AE348" i="30" s="1"/>
  <c r="AE349" i="30" s="1"/>
  <c r="AE350" i="30" s="1"/>
  <c r="AE351" i="30" s="1"/>
  <c r="AE352" i="30" s="1"/>
  <c r="AE353" i="30" s="1"/>
  <c r="AE354" i="30" s="1"/>
  <c r="AE355" i="30" s="1"/>
  <c r="AE356" i="30" s="1"/>
  <c r="AE357" i="30" s="1"/>
  <c r="AE358" i="30" s="1"/>
  <c r="AE359" i="30" s="1"/>
  <c r="AE360" i="30" s="1"/>
  <c r="AE361" i="30" s="1"/>
  <c r="AE362" i="30" s="1"/>
  <c r="AE363" i="30" s="1"/>
  <c r="AE364" i="30" s="1"/>
  <c r="AE365" i="30" s="1"/>
  <c r="AE366" i="30" s="1"/>
  <c r="AE367" i="30" s="1"/>
  <c r="AE368" i="30" s="1"/>
  <c r="AE369" i="30" s="1"/>
  <c r="AE370" i="30" s="1"/>
  <c r="AE371" i="30" s="1"/>
  <c r="AE372" i="30" s="1"/>
  <c r="AE373" i="30" s="1"/>
  <c r="AE374" i="30" s="1"/>
  <c r="AE375" i="30" s="1"/>
  <c r="AE376" i="30" s="1"/>
  <c r="AE377" i="30" s="1"/>
  <c r="AE378" i="30" s="1"/>
  <c r="AE379" i="30" s="1"/>
  <c r="AE380" i="30" s="1"/>
  <c r="AE381" i="30" s="1"/>
  <c r="AE382" i="30" s="1"/>
  <c r="AE383" i="30" s="1"/>
  <c r="AE384" i="30" s="1"/>
  <c r="AE385" i="30" s="1"/>
  <c r="AE386" i="30" s="1"/>
  <c r="AE387" i="30" s="1"/>
  <c r="AE388" i="30" s="1"/>
  <c r="AE389" i="30" s="1"/>
  <c r="AE390" i="30" s="1"/>
  <c r="AE391" i="30" s="1"/>
  <c r="AE392" i="30" s="1"/>
  <c r="AE393" i="30" s="1"/>
  <c r="AE394" i="30" s="1"/>
  <c r="AE395" i="30" s="1"/>
  <c r="AE396" i="30" s="1"/>
  <c r="AE397" i="30" s="1"/>
  <c r="AE398" i="30" s="1"/>
  <c r="AE399" i="30" s="1"/>
  <c r="AE400" i="30" s="1"/>
  <c r="AE401" i="30" s="1"/>
  <c r="AE402" i="30" s="1"/>
  <c r="AE403" i="30" s="1"/>
  <c r="AE404" i="30" s="1"/>
  <c r="AE405" i="30" s="1"/>
  <c r="AE406" i="30" s="1"/>
  <c r="AE407" i="30" s="1"/>
  <c r="AE408" i="30" s="1"/>
  <c r="AE409" i="30" s="1"/>
  <c r="AE410" i="30" s="1"/>
  <c r="AE411" i="30" s="1"/>
  <c r="AE412" i="30" s="1"/>
  <c r="AE413" i="30" s="1"/>
  <c r="AE414" i="30" s="1"/>
  <c r="AE415" i="30" s="1"/>
  <c r="AE416" i="30" s="1"/>
  <c r="AE417" i="30" s="1"/>
  <c r="AE418" i="30" s="1"/>
  <c r="AE419" i="30" s="1"/>
  <c r="AE420" i="30" s="1"/>
  <c r="AE421" i="30" s="1"/>
  <c r="AE422" i="30" s="1"/>
  <c r="AE423" i="30" s="1"/>
  <c r="AE424" i="30" s="1"/>
  <c r="AE425" i="30" s="1"/>
  <c r="AE426" i="30" s="1"/>
  <c r="AE427" i="30" s="1"/>
  <c r="AE428" i="30" s="1"/>
  <c r="AE429" i="30" s="1"/>
  <c r="AE430" i="30" s="1"/>
  <c r="AE431" i="30" s="1"/>
  <c r="AE432" i="30" s="1"/>
  <c r="AE433" i="30" s="1"/>
  <c r="AE434" i="30" s="1"/>
  <c r="AE435" i="30" s="1"/>
  <c r="AE436" i="30" s="1"/>
  <c r="AE437" i="30" s="1"/>
  <c r="AE438" i="30" s="1"/>
  <c r="AE439" i="30" s="1"/>
  <c r="AE440" i="30" s="1"/>
  <c r="AE441" i="30" s="1"/>
  <c r="AE442" i="30" s="1"/>
  <c r="AE443" i="30" s="1"/>
  <c r="AE444" i="30" s="1"/>
  <c r="AE445" i="30" s="1"/>
  <c r="AE446" i="30" s="1"/>
  <c r="AE447" i="30" s="1"/>
  <c r="AE448" i="30" s="1"/>
  <c r="AE449" i="30" s="1"/>
  <c r="AE450" i="30" s="1"/>
  <c r="AE451" i="30" s="1"/>
  <c r="AE452" i="30" s="1"/>
  <c r="AE453" i="30" s="1"/>
  <c r="AE454" i="30" s="1"/>
  <c r="AE455" i="30" s="1"/>
  <c r="AE456" i="30" s="1"/>
  <c r="AE457" i="30" s="1"/>
  <c r="AE458" i="30" s="1"/>
  <c r="AE459" i="30" s="1"/>
  <c r="AE460" i="30" s="1"/>
  <c r="AE461" i="30" s="1"/>
  <c r="AE462" i="30" s="1"/>
  <c r="AE463" i="30" s="1"/>
  <c r="AE464" i="30" s="1"/>
  <c r="AE465" i="30" s="1"/>
  <c r="AE466" i="30" s="1"/>
  <c r="AE467" i="30" s="1"/>
  <c r="AE468" i="30" s="1"/>
  <c r="AE469" i="30" s="1"/>
  <c r="AE470" i="30" s="1"/>
  <c r="AE471" i="30" s="1"/>
  <c r="AE472" i="30" s="1"/>
  <c r="AE473" i="30" s="1"/>
  <c r="AE474" i="30" s="1"/>
  <c r="AE475" i="30" s="1"/>
  <c r="AE476" i="30" s="1"/>
  <c r="AE477" i="30" s="1"/>
  <c r="AE478" i="30" s="1"/>
  <c r="AE479" i="30" s="1"/>
  <c r="AE480" i="30" s="1"/>
  <c r="AE481" i="30" s="1"/>
  <c r="AE482" i="30" s="1"/>
  <c r="AE483" i="30" s="1"/>
  <c r="AE484" i="30" s="1"/>
  <c r="AE485" i="30" s="1"/>
  <c r="AE486" i="30" s="1"/>
  <c r="AE487" i="30" s="1"/>
  <c r="AE488" i="30" s="1"/>
  <c r="AE489" i="30" s="1"/>
  <c r="AE490" i="30" s="1"/>
  <c r="AE491" i="30" s="1"/>
  <c r="AE492" i="30" s="1"/>
  <c r="AE493" i="30" s="1"/>
  <c r="AE494" i="30" s="1"/>
  <c r="AE495" i="30" s="1"/>
  <c r="AE496" i="30" s="1"/>
  <c r="AE497" i="30" s="1"/>
  <c r="AE498" i="30" s="1"/>
  <c r="AE499" i="30" s="1"/>
  <c r="AE500" i="30" s="1"/>
  <c r="AE501" i="30" s="1"/>
  <c r="AE502" i="30" s="1"/>
  <c r="AE503" i="30" s="1"/>
  <c r="AE504" i="30" s="1"/>
  <c r="AE505" i="30" s="1"/>
  <c r="AE506" i="30" s="1"/>
  <c r="AE507" i="30" s="1"/>
  <c r="AE508" i="30" s="1"/>
  <c r="AE509" i="30" s="1"/>
  <c r="AE510" i="30" s="1"/>
  <c r="AE511" i="30" s="1"/>
  <c r="AE512" i="30" s="1"/>
  <c r="AE513" i="30" s="1"/>
  <c r="AE514" i="30" s="1"/>
  <c r="AE515" i="30" s="1"/>
  <c r="AE516" i="30" s="1"/>
  <c r="AE517" i="30" s="1"/>
  <c r="AE518" i="30" s="1"/>
  <c r="AE519" i="30" s="1"/>
  <c r="AE520" i="30" s="1"/>
  <c r="AE521" i="30" s="1"/>
  <c r="AE522" i="30" s="1"/>
  <c r="AE523" i="30" s="1"/>
  <c r="AE524" i="30" s="1"/>
  <c r="AE525" i="30" s="1"/>
  <c r="AE526" i="30" s="1"/>
  <c r="AE527" i="30" s="1"/>
  <c r="AE528" i="30" s="1"/>
  <c r="AE529" i="30" s="1"/>
  <c r="AE530" i="30" s="1"/>
  <c r="AE531" i="30" s="1"/>
  <c r="AE532" i="30" s="1"/>
  <c r="AE533" i="30" s="1"/>
  <c r="AE534" i="30" s="1"/>
  <c r="AE535" i="30" s="1"/>
  <c r="AE536" i="30" s="1"/>
  <c r="AE537" i="30" s="1"/>
  <c r="AE538" i="30" s="1"/>
  <c r="AE539" i="30" s="1"/>
  <c r="AE540" i="30" s="1"/>
  <c r="AE541" i="30" s="1"/>
  <c r="AE542" i="30" s="1"/>
  <c r="AE543" i="30" s="1"/>
  <c r="AE544" i="30" s="1"/>
  <c r="AE545" i="30" s="1"/>
  <c r="AE546" i="30" s="1"/>
  <c r="AE547" i="30" s="1"/>
  <c r="AE548" i="30" s="1"/>
  <c r="AE549" i="30" s="1"/>
  <c r="AE550" i="30" s="1"/>
  <c r="AE551" i="30" s="1"/>
  <c r="AE552" i="30" s="1"/>
  <c r="AE553" i="30" s="1"/>
  <c r="AE554" i="30" s="1"/>
  <c r="AE555" i="30" s="1"/>
  <c r="AE556" i="30" s="1"/>
  <c r="AE557" i="30" s="1"/>
  <c r="AE558" i="30" s="1"/>
  <c r="AE559" i="30" s="1"/>
  <c r="AE560" i="30" s="1"/>
  <c r="AE561" i="30" s="1"/>
  <c r="AE562" i="30" s="1"/>
  <c r="AE563" i="30" s="1"/>
  <c r="AE564" i="30" s="1"/>
  <c r="AE565" i="30" s="1"/>
  <c r="AE566" i="30" s="1"/>
  <c r="AE567" i="30" s="1"/>
  <c r="AE568" i="30" s="1"/>
  <c r="AE569" i="30" s="1"/>
  <c r="AE570" i="30" s="1"/>
  <c r="AE571" i="30" s="1"/>
  <c r="AE572" i="30" s="1"/>
  <c r="AE573" i="30" s="1"/>
  <c r="AE574" i="30" s="1"/>
  <c r="AE575" i="30" s="1"/>
  <c r="AE576" i="30" s="1"/>
  <c r="AE577" i="30" s="1"/>
  <c r="AE578" i="30" s="1"/>
  <c r="AE579" i="30" s="1"/>
  <c r="AE580" i="30" s="1"/>
  <c r="AE581" i="30" s="1"/>
  <c r="AE582" i="30" s="1"/>
  <c r="AE583" i="30" s="1"/>
  <c r="AE584" i="30" s="1"/>
  <c r="AE585" i="30" s="1"/>
  <c r="AE586" i="30" s="1"/>
  <c r="AE587" i="30" s="1"/>
  <c r="AE588" i="30" s="1"/>
  <c r="AE589" i="30" s="1"/>
  <c r="AE590" i="30" s="1"/>
  <c r="AE591" i="30" s="1"/>
  <c r="AE592" i="30" s="1"/>
  <c r="AE593" i="30" s="1"/>
  <c r="AE594" i="30" s="1"/>
  <c r="AE595" i="30" s="1"/>
  <c r="AE596" i="30" s="1"/>
  <c r="AE597" i="30" s="1"/>
  <c r="AE598" i="30" s="1"/>
  <c r="AE599" i="30" s="1"/>
  <c r="AE600" i="30" s="1"/>
  <c r="AE601" i="30" s="1"/>
  <c r="AE602" i="30" s="1"/>
  <c r="AE603" i="30" s="1"/>
  <c r="AE604" i="30" s="1"/>
  <c r="AE605" i="30" s="1"/>
  <c r="AE606" i="30" s="1"/>
  <c r="AE607" i="30" s="1"/>
  <c r="AE608" i="30" s="1"/>
  <c r="AE609" i="30" s="1"/>
  <c r="AE610" i="30" s="1"/>
  <c r="AE611" i="30" s="1"/>
  <c r="AE612" i="30" s="1"/>
  <c r="AE613" i="30" s="1"/>
  <c r="AE614" i="30" s="1"/>
  <c r="AE615" i="30" s="1"/>
  <c r="AE616" i="30" s="1"/>
  <c r="AE617" i="30" s="1"/>
  <c r="AE618" i="30" s="1"/>
  <c r="AE619" i="30" s="1"/>
  <c r="AE620" i="30" s="1"/>
  <c r="AE621" i="30" s="1"/>
  <c r="AE622" i="30" s="1"/>
  <c r="AE623" i="30" s="1"/>
  <c r="AE624" i="30" s="1"/>
  <c r="AE625" i="30" s="1"/>
  <c r="AE626" i="30" s="1"/>
  <c r="AE627" i="30" s="1"/>
  <c r="AE628" i="30" s="1"/>
  <c r="AE629" i="30" s="1"/>
  <c r="AE630" i="30" s="1"/>
  <c r="AE631" i="30" s="1"/>
  <c r="AE632" i="30" s="1"/>
  <c r="AE633" i="30" s="1"/>
  <c r="AE634" i="30" s="1"/>
  <c r="AE635" i="30" s="1"/>
  <c r="AE636" i="30" s="1"/>
  <c r="AE637" i="30" s="1"/>
  <c r="AE638" i="30" s="1"/>
  <c r="AE639" i="30" s="1"/>
  <c r="AE640" i="30" s="1"/>
  <c r="AE641" i="30" s="1"/>
  <c r="AE642" i="30" s="1"/>
  <c r="AE643" i="30" s="1"/>
  <c r="AE644" i="30" s="1"/>
  <c r="AE645" i="30" s="1"/>
  <c r="AE646" i="30" s="1"/>
  <c r="AE647" i="30" s="1"/>
  <c r="AE648" i="30" s="1"/>
  <c r="AE649" i="30" s="1"/>
  <c r="AE650" i="30" s="1"/>
  <c r="AE651" i="30" s="1"/>
  <c r="AE652" i="30" s="1"/>
  <c r="AE653" i="30" s="1"/>
  <c r="AE654" i="30" s="1"/>
  <c r="AE655" i="30" s="1"/>
  <c r="AE656" i="30" s="1"/>
  <c r="AE657" i="30" s="1"/>
  <c r="AE658" i="30" s="1"/>
  <c r="AE659" i="30" s="1"/>
  <c r="AE660" i="30" s="1"/>
  <c r="AE661" i="30" s="1"/>
  <c r="AE662" i="30" s="1"/>
  <c r="AE663" i="30" s="1"/>
  <c r="AE664" i="30" s="1"/>
  <c r="AE665" i="30" s="1"/>
  <c r="AE666" i="30" s="1"/>
  <c r="AE667" i="30" s="1"/>
  <c r="AE668" i="30" s="1"/>
  <c r="AE669" i="30" s="1"/>
  <c r="AE670" i="30" s="1"/>
  <c r="AE671" i="30" s="1"/>
  <c r="AE672" i="30" s="1"/>
  <c r="AE673" i="30" s="1"/>
  <c r="AE674" i="30" s="1"/>
  <c r="AE675" i="30" s="1"/>
  <c r="AE676" i="30" s="1"/>
  <c r="AE677" i="30" s="1"/>
  <c r="AE678" i="30" s="1"/>
  <c r="AE679" i="30" s="1"/>
  <c r="AE680" i="30" s="1"/>
  <c r="AE681" i="30" s="1"/>
  <c r="AE682" i="30" s="1"/>
  <c r="AE683" i="30" s="1"/>
  <c r="AE684" i="30" s="1"/>
  <c r="AE685" i="30" s="1"/>
  <c r="AE686" i="30" s="1"/>
  <c r="AE687" i="30" s="1"/>
  <c r="AE688" i="30" s="1"/>
  <c r="AE689" i="30" s="1"/>
  <c r="AE690" i="30" s="1"/>
  <c r="AE691" i="30" s="1"/>
  <c r="AE692" i="30" s="1"/>
  <c r="AE693" i="30" s="1"/>
  <c r="AE694" i="30" s="1"/>
  <c r="AE695" i="30" s="1"/>
  <c r="AE696" i="30" s="1"/>
  <c r="AE697" i="30" s="1"/>
  <c r="AE698" i="30" s="1"/>
  <c r="AE699" i="30" s="1"/>
  <c r="AE700" i="30" s="1"/>
  <c r="AE701" i="30" s="1"/>
  <c r="AE702" i="30" s="1"/>
  <c r="AE703" i="30" s="1"/>
  <c r="AE704" i="30" s="1"/>
  <c r="AE705" i="30" s="1"/>
  <c r="AE706" i="30" s="1"/>
  <c r="AE707" i="30" s="1"/>
  <c r="AE708" i="30" s="1"/>
  <c r="AE709" i="30" s="1"/>
  <c r="AE710" i="30" s="1"/>
  <c r="AE711" i="30" s="1"/>
  <c r="AE712" i="30" s="1"/>
  <c r="AE713" i="30" s="1"/>
  <c r="AE714" i="30" s="1"/>
  <c r="AE715" i="30" s="1"/>
  <c r="AE716" i="30" s="1"/>
  <c r="AE717" i="30" s="1"/>
  <c r="AE718" i="30" s="1"/>
  <c r="AE719" i="30" s="1"/>
  <c r="AE720" i="30" s="1"/>
  <c r="AE721" i="30" s="1"/>
  <c r="AE722" i="30" s="1"/>
  <c r="AE723" i="30" s="1"/>
  <c r="AE724" i="30" s="1"/>
  <c r="AE725" i="30" s="1"/>
  <c r="AE726" i="30" s="1"/>
  <c r="AE727" i="30" s="1"/>
  <c r="AE728" i="30" s="1"/>
  <c r="AE729" i="30" s="1"/>
  <c r="AE730" i="30" s="1"/>
  <c r="AE731" i="30" s="1"/>
  <c r="AE732" i="30" s="1"/>
  <c r="AE733" i="30" s="1"/>
  <c r="AE734" i="30" s="1"/>
  <c r="AE735" i="30" s="1"/>
  <c r="AE736" i="30" s="1"/>
  <c r="AE737" i="30" s="1"/>
  <c r="AE738" i="30" s="1"/>
  <c r="AE739" i="30" s="1"/>
  <c r="AE740" i="30" s="1"/>
  <c r="AE741" i="30" s="1"/>
  <c r="AE742" i="30" s="1"/>
  <c r="AE743" i="30" s="1"/>
  <c r="AE744" i="30" s="1"/>
  <c r="AE745" i="30" s="1"/>
  <c r="AE746" i="30" s="1"/>
  <c r="AE747" i="30" s="1"/>
  <c r="AE748" i="30" s="1"/>
  <c r="AE749" i="30" s="1"/>
  <c r="AE750" i="30" s="1"/>
  <c r="AE751" i="30" s="1"/>
  <c r="AE752" i="30" s="1"/>
  <c r="AE753" i="30" s="1"/>
  <c r="AE754" i="30" s="1"/>
  <c r="AE755" i="30" s="1"/>
  <c r="AE756" i="30" s="1"/>
  <c r="AE757" i="30" s="1"/>
  <c r="AE758" i="30" s="1"/>
  <c r="AE759" i="30" s="1"/>
  <c r="AE760" i="30" s="1"/>
  <c r="AE761" i="30" s="1"/>
  <c r="AE762" i="30" s="1"/>
  <c r="AE763" i="30" s="1"/>
  <c r="AE764" i="30" s="1"/>
  <c r="AE765" i="30" s="1"/>
  <c r="AE766" i="30" s="1"/>
  <c r="AE767" i="30" s="1"/>
  <c r="AE768" i="30" s="1"/>
  <c r="AE769" i="30" s="1"/>
  <c r="AE770" i="30" s="1"/>
  <c r="AE771" i="30" s="1"/>
  <c r="AE772" i="30" s="1"/>
  <c r="AE773" i="30" s="1"/>
  <c r="AE774" i="30" s="1"/>
  <c r="AE775" i="30" s="1"/>
  <c r="AE776" i="30" s="1"/>
  <c r="AE777" i="30" s="1"/>
  <c r="AE778" i="30" s="1"/>
  <c r="AE779" i="30" s="1"/>
  <c r="AE780" i="30" s="1"/>
  <c r="AE781" i="30" s="1"/>
  <c r="AE782" i="30" s="1"/>
  <c r="AE783" i="30" s="1"/>
  <c r="AE784" i="30" s="1"/>
  <c r="AE785" i="30" s="1"/>
  <c r="AE786" i="30" s="1"/>
  <c r="AE787" i="30" s="1"/>
  <c r="AE788" i="30" s="1"/>
  <c r="AE789" i="30" s="1"/>
  <c r="AE790" i="30" s="1"/>
  <c r="AE791" i="30" s="1"/>
  <c r="AE792" i="30" s="1"/>
  <c r="AE793" i="30" s="1"/>
  <c r="AE794" i="30" s="1"/>
  <c r="AE795" i="30" s="1"/>
  <c r="AE796" i="30" s="1"/>
  <c r="AE797" i="30" s="1"/>
  <c r="AE798" i="30" s="1"/>
  <c r="AE799" i="30" s="1"/>
  <c r="AE800" i="30" s="1"/>
  <c r="AE801" i="30" s="1"/>
  <c r="AE802" i="30" s="1"/>
  <c r="AE803" i="30" s="1"/>
  <c r="AE804" i="30" s="1"/>
  <c r="AE805" i="30" s="1"/>
  <c r="AE806" i="30" s="1"/>
  <c r="AE807" i="30" s="1"/>
  <c r="AE808" i="30" s="1"/>
  <c r="AE809" i="30" s="1"/>
  <c r="AE810" i="30" s="1"/>
  <c r="AE811" i="30" s="1"/>
  <c r="AE812" i="30" s="1"/>
  <c r="AE813" i="30" s="1"/>
  <c r="AE814" i="30" s="1"/>
  <c r="AE815" i="30" s="1"/>
  <c r="AE816" i="30" s="1"/>
  <c r="AE817" i="30" s="1"/>
  <c r="AE818" i="30" s="1"/>
  <c r="AE819" i="30" s="1"/>
  <c r="AE820" i="30" s="1"/>
  <c r="AE821" i="30" s="1"/>
  <c r="AE822" i="30" s="1"/>
  <c r="AE823" i="30" s="1"/>
  <c r="AE824" i="30" s="1"/>
  <c r="AE825" i="30" s="1"/>
  <c r="AE826" i="30" s="1"/>
  <c r="AE827" i="30" s="1"/>
  <c r="AE828" i="30" s="1"/>
  <c r="AE829" i="30" s="1"/>
  <c r="AE830" i="30" s="1"/>
  <c r="AE831" i="30" s="1"/>
  <c r="AE832" i="30" s="1"/>
  <c r="AE833" i="30" s="1"/>
  <c r="AE834" i="30" s="1"/>
  <c r="AE835" i="30" s="1"/>
  <c r="AE836" i="30" s="1"/>
  <c r="AE837" i="30" s="1"/>
  <c r="AE838" i="30" s="1"/>
  <c r="AE839" i="30" s="1"/>
  <c r="AE840" i="30" s="1"/>
  <c r="AE841" i="30" s="1"/>
  <c r="AE842" i="30" s="1"/>
  <c r="AE843" i="30" s="1"/>
  <c r="AE844" i="30" s="1"/>
  <c r="AE845" i="30" s="1"/>
  <c r="AE846" i="30" s="1"/>
  <c r="AE847" i="30" s="1"/>
  <c r="AE848" i="30" s="1"/>
  <c r="AE849" i="30" s="1"/>
  <c r="AE850" i="30" s="1"/>
  <c r="AE851" i="30" s="1"/>
  <c r="AE852" i="30" s="1"/>
  <c r="AE853" i="30" s="1"/>
  <c r="AE854" i="30" s="1"/>
  <c r="AE855" i="30" s="1"/>
  <c r="AE856" i="30" s="1"/>
  <c r="AE857" i="30" s="1"/>
  <c r="AE858" i="30" s="1"/>
  <c r="AE859" i="30" s="1"/>
  <c r="AE860" i="30" s="1"/>
  <c r="AE861" i="30" s="1"/>
  <c r="AE862" i="30" s="1"/>
  <c r="AE863" i="30" s="1"/>
  <c r="AE864" i="30" s="1"/>
  <c r="AE865" i="30" s="1"/>
  <c r="AE866" i="30" s="1"/>
  <c r="AE867" i="30" s="1"/>
  <c r="AE868" i="30" s="1"/>
  <c r="AE869" i="30" s="1"/>
  <c r="AE870" i="30" s="1"/>
  <c r="AE871" i="30" s="1"/>
  <c r="AE872" i="30" s="1"/>
  <c r="AE873" i="30" s="1"/>
  <c r="AE874" i="30" s="1"/>
  <c r="AE875" i="30" s="1"/>
  <c r="AE876" i="30" s="1"/>
  <c r="AE877" i="30" s="1"/>
  <c r="AE878" i="30" s="1"/>
  <c r="AE879" i="30" s="1"/>
  <c r="AE880" i="30" s="1"/>
  <c r="AE881" i="30" s="1"/>
  <c r="AE882" i="30" s="1"/>
  <c r="AE883" i="30" s="1"/>
  <c r="AE884" i="30" s="1"/>
  <c r="AE885" i="30" s="1"/>
  <c r="AE886" i="30" s="1"/>
  <c r="AE887" i="30" s="1"/>
  <c r="AE888" i="30" s="1"/>
  <c r="AE889" i="30" s="1"/>
  <c r="AE890" i="30" s="1"/>
  <c r="AE891" i="30" s="1"/>
  <c r="AE892" i="30" s="1"/>
  <c r="AE893" i="30" s="1"/>
  <c r="AE894" i="30" s="1"/>
  <c r="AE895" i="30" s="1"/>
  <c r="AE896" i="30" s="1"/>
  <c r="AE897" i="30" s="1"/>
  <c r="AE898" i="30" s="1"/>
  <c r="AE899" i="30" s="1"/>
  <c r="AE900" i="30" s="1"/>
  <c r="AE901" i="30" s="1"/>
  <c r="AE902" i="30" s="1"/>
  <c r="AE903" i="30" s="1"/>
  <c r="AE904" i="30" s="1"/>
  <c r="AE905" i="30" s="1"/>
  <c r="AE906" i="30" s="1"/>
  <c r="AE907" i="30" s="1"/>
  <c r="AE908" i="30" s="1"/>
  <c r="AE909" i="30" s="1"/>
  <c r="AE910" i="30" s="1"/>
  <c r="AE911" i="30" s="1"/>
  <c r="AE912" i="30" s="1"/>
  <c r="AE913" i="30" s="1"/>
  <c r="AE914" i="30" s="1"/>
  <c r="AE915" i="30" s="1"/>
  <c r="AE916" i="30" s="1"/>
  <c r="AE917" i="30" s="1"/>
  <c r="AE918" i="30" s="1"/>
  <c r="AE919" i="30" s="1"/>
  <c r="AE920" i="30" s="1"/>
  <c r="AE921" i="30" s="1"/>
  <c r="AE922" i="30" s="1"/>
  <c r="AE923" i="30" s="1"/>
  <c r="AE924" i="30" s="1"/>
  <c r="AE925" i="30" s="1"/>
  <c r="AE926" i="30" s="1"/>
  <c r="AE927" i="30" s="1"/>
  <c r="AE928" i="30" s="1"/>
  <c r="AE929" i="30" s="1"/>
  <c r="AE930" i="30" s="1"/>
  <c r="AE931" i="30" s="1"/>
  <c r="AE932" i="30" s="1"/>
  <c r="AE933" i="30" s="1"/>
  <c r="AE934" i="30" s="1"/>
  <c r="AE935" i="30" s="1"/>
  <c r="AE936" i="30" s="1"/>
  <c r="AE937" i="30" s="1"/>
  <c r="AE938" i="30" s="1"/>
  <c r="AE939" i="30" s="1"/>
  <c r="AE940" i="30" s="1"/>
  <c r="AE941" i="30" s="1"/>
  <c r="AE942" i="30" s="1"/>
  <c r="AE943" i="30" s="1"/>
  <c r="AE944" i="30" s="1"/>
  <c r="AE945" i="30" s="1"/>
  <c r="AE946" i="30" s="1"/>
  <c r="AE947" i="30" s="1"/>
  <c r="AE948" i="30" s="1"/>
  <c r="AE949" i="30" s="1"/>
  <c r="AE950" i="30" s="1"/>
  <c r="AE951" i="30" s="1"/>
  <c r="AE952" i="30" s="1"/>
  <c r="AE953" i="30" s="1"/>
  <c r="AE954" i="30" s="1"/>
  <c r="AE955" i="30" s="1"/>
  <c r="AE956" i="30" s="1"/>
  <c r="AE957" i="30" s="1"/>
  <c r="AE958" i="30" s="1"/>
  <c r="AE959" i="30" s="1"/>
  <c r="AE960" i="30" s="1"/>
  <c r="AE961" i="30" s="1"/>
  <c r="AE962" i="30" s="1"/>
  <c r="AE963" i="30" s="1"/>
  <c r="AE964" i="30" s="1"/>
  <c r="AE965" i="30" s="1"/>
  <c r="AE966" i="30" s="1"/>
  <c r="AE967" i="30" s="1"/>
  <c r="AE968" i="30" s="1"/>
  <c r="AE969" i="30" s="1"/>
  <c r="AE970" i="30" s="1"/>
  <c r="AE971" i="30" s="1"/>
  <c r="AE972" i="30" s="1"/>
  <c r="AE973" i="30" s="1"/>
  <c r="AE974" i="30" s="1"/>
  <c r="AE975" i="30" s="1"/>
  <c r="AE976" i="30" s="1"/>
  <c r="AE977" i="30" s="1"/>
  <c r="AE978" i="30" s="1"/>
  <c r="AE979" i="30" s="1"/>
  <c r="AE980" i="30" s="1"/>
  <c r="AE981" i="30" s="1"/>
  <c r="AE982" i="30" s="1"/>
  <c r="AE983" i="30" s="1"/>
  <c r="AE984" i="30" s="1"/>
  <c r="AE985" i="30" s="1"/>
  <c r="AE986" i="30" s="1"/>
  <c r="AE987" i="30" s="1"/>
  <c r="AE988" i="30" s="1"/>
  <c r="AE989" i="30" s="1"/>
  <c r="AE990" i="30" s="1"/>
  <c r="AE991" i="30" s="1"/>
  <c r="AE992" i="30" s="1"/>
  <c r="AE993" i="30" s="1"/>
  <c r="AE994" i="30" s="1"/>
  <c r="AE995" i="30" s="1"/>
  <c r="AE996" i="30" s="1"/>
  <c r="AE997" i="30" s="1"/>
  <c r="AE998" i="30" s="1"/>
  <c r="AE999" i="30" s="1"/>
  <c r="AE1000" i="30" s="1"/>
  <c r="AE1001" i="30" s="1"/>
  <c r="AE1002" i="30" s="1"/>
  <c r="AE1003" i="30" s="1"/>
  <c r="AE1004" i="30" s="1"/>
  <c r="Z5" i="30"/>
  <c r="D14" i="50" l="1"/>
  <c r="V13" i="50"/>
  <c r="X12" i="50"/>
  <c r="Y12" i="50" s="1"/>
  <c r="F13" i="50"/>
  <c r="AI5" i="30"/>
  <c r="AJ5" i="30"/>
  <c r="AI6" i="30"/>
  <c r="AJ6" i="30"/>
  <c r="AI7" i="30"/>
  <c r="AJ7" i="30"/>
  <c r="AI8" i="30"/>
  <c r="AJ8" i="30"/>
  <c r="AI9" i="30"/>
  <c r="AJ9" i="30"/>
  <c r="AI10" i="30"/>
  <c r="AJ10" i="30"/>
  <c r="AI11" i="30"/>
  <c r="AJ11" i="30"/>
  <c r="AI12" i="30"/>
  <c r="AJ12" i="30"/>
  <c r="AI13" i="30"/>
  <c r="AJ13" i="30"/>
  <c r="AI14" i="30"/>
  <c r="AJ14" i="30"/>
  <c r="AI15" i="30"/>
  <c r="AJ15" i="30"/>
  <c r="AI16" i="30"/>
  <c r="AJ16" i="30"/>
  <c r="AI17" i="30"/>
  <c r="AJ17" i="30"/>
  <c r="AI18" i="30"/>
  <c r="AJ18" i="30"/>
  <c r="AI19" i="30"/>
  <c r="AJ19" i="30"/>
  <c r="AI20" i="30"/>
  <c r="AJ20" i="30"/>
  <c r="AI21" i="30"/>
  <c r="AJ21" i="30"/>
  <c r="AI22" i="30"/>
  <c r="AJ22" i="30"/>
  <c r="AI23" i="30"/>
  <c r="AJ23" i="30"/>
  <c r="AI24" i="30"/>
  <c r="AJ24" i="30"/>
  <c r="AI25" i="30"/>
  <c r="AJ25" i="30"/>
  <c r="AI26" i="30"/>
  <c r="AJ26" i="30"/>
  <c r="AI27" i="30"/>
  <c r="AJ27" i="30"/>
  <c r="AI28" i="30"/>
  <c r="AJ28" i="30"/>
  <c r="AI29" i="30"/>
  <c r="AJ29" i="30"/>
  <c r="AI30" i="30"/>
  <c r="AJ30" i="30"/>
  <c r="AI31" i="30"/>
  <c r="AJ31" i="30"/>
  <c r="AI32" i="30"/>
  <c r="AJ32" i="30"/>
  <c r="AI33" i="30"/>
  <c r="AJ33" i="30"/>
  <c r="AI34" i="30"/>
  <c r="AJ34" i="30"/>
  <c r="AI35" i="30"/>
  <c r="AJ35" i="30"/>
  <c r="AI36" i="30"/>
  <c r="AJ36" i="30"/>
  <c r="AI37" i="30"/>
  <c r="AJ37" i="30"/>
  <c r="AI38" i="30"/>
  <c r="AJ38" i="30"/>
  <c r="AI39" i="30"/>
  <c r="AJ39" i="30"/>
  <c r="AI40" i="30"/>
  <c r="AJ40" i="30"/>
  <c r="AI41" i="30"/>
  <c r="AJ41" i="30"/>
  <c r="AI42" i="30"/>
  <c r="AJ42" i="30"/>
  <c r="AI43" i="30"/>
  <c r="AJ43" i="30"/>
  <c r="AI44" i="30"/>
  <c r="AJ44" i="30"/>
  <c r="AI45" i="30"/>
  <c r="AJ45" i="30"/>
  <c r="AI46" i="30"/>
  <c r="AJ46" i="30"/>
  <c r="AI47" i="30"/>
  <c r="AJ47" i="30"/>
  <c r="AI48" i="30"/>
  <c r="AJ48" i="30"/>
  <c r="AI49" i="30"/>
  <c r="AJ49" i="30"/>
  <c r="AI50" i="30"/>
  <c r="AJ50" i="30"/>
  <c r="AI51" i="30"/>
  <c r="AJ51" i="30"/>
  <c r="AI52" i="30"/>
  <c r="AJ52" i="30"/>
  <c r="AI53" i="30"/>
  <c r="AJ53" i="30"/>
  <c r="AI54" i="30"/>
  <c r="AJ54" i="30"/>
  <c r="AI55" i="30"/>
  <c r="AJ55" i="30"/>
  <c r="AI56" i="30"/>
  <c r="AJ56" i="30"/>
  <c r="AI57" i="30"/>
  <c r="AJ57" i="30"/>
  <c r="AI58" i="30"/>
  <c r="AJ58" i="30"/>
  <c r="AI59" i="30"/>
  <c r="AJ59" i="30"/>
  <c r="AI60" i="30"/>
  <c r="AJ60" i="30"/>
  <c r="AI61" i="30"/>
  <c r="AJ61" i="30"/>
  <c r="AI62" i="30"/>
  <c r="AJ62" i="30"/>
  <c r="AI63" i="30"/>
  <c r="AJ63" i="30"/>
  <c r="AI64" i="30"/>
  <c r="AJ64" i="30"/>
  <c r="AI65" i="30"/>
  <c r="AJ65" i="30"/>
  <c r="AI66" i="30"/>
  <c r="AJ66" i="30"/>
  <c r="AI67" i="30"/>
  <c r="AJ67" i="30"/>
  <c r="AI68" i="30"/>
  <c r="AJ68" i="30"/>
  <c r="AI69" i="30"/>
  <c r="AJ69" i="30"/>
  <c r="AI70" i="30"/>
  <c r="AJ70" i="30"/>
  <c r="AI71" i="30"/>
  <c r="AJ71" i="30"/>
  <c r="AI72" i="30"/>
  <c r="AJ72" i="30"/>
  <c r="AI73" i="30"/>
  <c r="AJ73" i="30"/>
  <c r="AI74" i="30"/>
  <c r="AJ74" i="30"/>
  <c r="AI75" i="30"/>
  <c r="AJ75" i="30"/>
  <c r="AI76" i="30"/>
  <c r="AJ76" i="30"/>
  <c r="AI77" i="30"/>
  <c r="AJ77" i="30"/>
  <c r="AI78" i="30"/>
  <c r="AJ78" i="30"/>
  <c r="AI79" i="30"/>
  <c r="AJ79" i="30"/>
  <c r="AI80" i="30"/>
  <c r="AJ80" i="30"/>
  <c r="AI81" i="30"/>
  <c r="AJ81" i="30"/>
  <c r="AI82" i="30"/>
  <c r="AJ82" i="30"/>
  <c r="AI83" i="30"/>
  <c r="AJ83" i="30"/>
  <c r="AI84" i="30"/>
  <c r="AJ84" i="30"/>
  <c r="AI85" i="30"/>
  <c r="AJ85" i="30"/>
  <c r="AI86" i="30"/>
  <c r="AJ86" i="30"/>
  <c r="AI87" i="30"/>
  <c r="AJ87" i="30"/>
  <c r="AI88" i="30"/>
  <c r="AJ88" i="30"/>
  <c r="AI89" i="30"/>
  <c r="AJ89" i="30"/>
  <c r="AI90" i="30"/>
  <c r="AJ90" i="30"/>
  <c r="AI91" i="30"/>
  <c r="AJ91" i="30"/>
  <c r="AI92" i="30"/>
  <c r="AJ92" i="30"/>
  <c r="AI93" i="30"/>
  <c r="AJ93" i="30"/>
  <c r="AI94" i="30"/>
  <c r="AJ94" i="30"/>
  <c r="AI95" i="30"/>
  <c r="AJ95" i="30"/>
  <c r="AI96" i="30"/>
  <c r="AJ96" i="30"/>
  <c r="AI97" i="30"/>
  <c r="AJ97" i="30"/>
  <c r="AI98" i="30"/>
  <c r="AJ98" i="30"/>
  <c r="AI99" i="30"/>
  <c r="AJ99" i="30"/>
  <c r="AI100" i="30"/>
  <c r="AJ100" i="30"/>
  <c r="AI101" i="30"/>
  <c r="AJ101" i="30"/>
  <c r="AI102" i="30"/>
  <c r="AJ102" i="30"/>
  <c r="AI103" i="30"/>
  <c r="AJ103" i="30"/>
  <c r="AI104" i="30"/>
  <c r="AJ104" i="30"/>
  <c r="AI105" i="30"/>
  <c r="AJ105" i="30"/>
  <c r="AI106" i="30"/>
  <c r="AJ106" i="30"/>
  <c r="AI107" i="30"/>
  <c r="AJ107" i="30"/>
  <c r="AI108" i="30"/>
  <c r="AJ108" i="30"/>
  <c r="AI109" i="30"/>
  <c r="AJ109" i="30"/>
  <c r="AI110" i="30"/>
  <c r="AJ110" i="30"/>
  <c r="AI111" i="30"/>
  <c r="AJ111" i="30"/>
  <c r="AI112" i="30"/>
  <c r="AJ112" i="30"/>
  <c r="AI113" i="30"/>
  <c r="AJ113" i="30"/>
  <c r="AI114" i="30"/>
  <c r="AJ114" i="30"/>
  <c r="AI115" i="30"/>
  <c r="AJ115" i="30"/>
  <c r="AI116" i="30"/>
  <c r="AJ116" i="30"/>
  <c r="AI117" i="30"/>
  <c r="AJ117" i="30"/>
  <c r="AI118" i="30"/>
  <c r="AJ118" i="30"/>
  <c r="AI119" i="30"/>
  <c r="AJ119" i="30"/>
  <c r="AI120" i="30"/>
  <c r="AJ120" i="30"/>
  <c r="AI121" i="30"/>
  <c r="AJ121" i="30"/>
  <c r="AI122" i="30"/>
  <c r="AJ122" i="30"/>
  <c r="AI123" i="30"/>
  <c r="AJ123" i="30"/>
  <c r="AI124" i="30"/>
  <c r="AJ124" i="30"/>
  <c r="AI125" i="30"/>
  <c r="AJ125" i="30"/>
  <c r="AI126" i="30"/>
  <c r="AJ126" i="30"/>
  <c r="AI127" i="30"/>
  <c r="AJ127" i="30"/>
  <c r="AI128" i="30"/>
  <c r="AJ128" i="30"/>
  <c r="AI129" i="30"/>
  <c r="AJ129" i="30"/>
  <c r="AI130" i="30"/>
  <c r="AJ130" i="30"/>
  <c r="AI131" i="30"/>
  <c r="AJ131" i="30"/>
  <c r="AI132" i="30"/>
  <c r="AJ132" i="30"/>
  <c r="AI133" i="30"/>
  <c r="AJ133" i="30"/>
  <c r="AI134" i="30"/>
  <c r="AJ134" i="30"/>
  <c r="AI135" i="30"/>
  <c r="AJ135" i="30"/>
  <c r="AI136" i="30"/>
  <c r="AJ136" i="30"/>
  <c r="AI137" i="30"/>
  <c r="AJ137" i="30"/>
  <c r="AI138" i="30"/>
  <c r="AJ138" i="30"/>
  <c r="AI139" i="30"/>
  <c r="AJ139" i="30"/>
  <c r="AI140" i="30"/>
  <c r="AJ140" i="30"/>
  <c r="AI141" i="30"/>
  <c r="AJ141" i="30"/>
  <c r="AI142" i="30"/>
  <c r="AJ142" i="30"/>
  <c r="AI143" i="30"/>
  <c r="AJ143" i="30"/>
  <c r="AI144" i="30"/>
  <c r="AJ144" i="30"/>
  <c r="AI145" i="30"/>
  <c r="AJ145" i="30"/>
  <c r="AI146" i="30"/>
  <c r="AJ146" i="30"/>
  <c r="AI147" i="30"/>
  <c r="AJ147" i="30"/>
  <c r="AI148" i="30"/>
  <c r="AJ148" i="30"/>
  <c r="AI149" i="30"/>
  <c r="AJ149" i="30"/>
  <c r="AI150" i="30"/>
  <c r="AJ150" i="30"/>
  <c r="AI151" i="30"/>
  <c r="AJ151" i="30"/>
  <c r="AI152" i="30"/>
  <c r="AJ152" i="30"/>
  <c r="AI153" i="30"/>
  <c r="AJ153" i="30"/>
  <c r="AI154" i="30"/>
  <c r="AJ154" i="30"/>
  <c r="AI155" i="30"/>
  <c r="AJ155" i="30"/>
  <c r="AI156" i="30"/>
  <c r="AJ156" i="30"/>
  <c r="AI157" i="30"/>
  <c r="AJ157" i="30"/>
  <c r="AI158" i="30"/>
  <c r="AJ158" i="30"/>
  <c r="AI159" i="30"/>
  <c r="AJ159" i="30"/>
  <c r="AI160" i="30"/>
  <c r="AJ160" i="30"/>
  <c r="AI161" i="30"/>
  <c r="AJ161" i="30"/>
  <c r="AI162" i="30"/>
  <c r="AJ162" i="30"/>
  <c r="AI163" i="30"/>
  <c r="AJ163" i="30"/>
  <c r="AI164" i="30"/>
  <c r="AJ164" i="30"/>
  <c r="AI165" i="30"/>
  <c r="AJ165" i="30"/>
  <c r="AI166" i="30"/>
  <c r="AJ166" i="30"/>
  <c r="AI167" i="30"/>
  <c r="AJ167" i="30"/>
  <c r="AI168" i="30"/>
  <c r="AJ168" i="30"/>
  <c r="AI169" i="30"/>
  <c r="AJ169" i="30"/>
  <c r="AI170" i="30"/>
  <c r="AJ170" i="30"/>
  <c r="AI171" i="30"/>
  <c r="AJ171" i="30"/>
  <c r="AI172" i="30"/>
  <c r="AJ172" i="30"/>
  <c r="AI173" i="30"/>
  <c r="AJ173" i="30"/>
  <c r="AI174" i="30"/>
  <c r="AJ174" i="30"/>
  <c r="AI175" i="30"/>
  <c r="AJ175" i="30"/>
  <c r="AI176" i="30"/>
  <c r="AJ176" i="30"/>
  <c r="AI177" i="30"/>
  <c r="AJ177" i="30"/>
  <c r="AI178" i="30"/>
  <c r="AJ178" i="30"/>
  <c r="AI179" i="30"/>
  <c r="AJ179" i="30"/>
  <c r="AI180" i="30"/>
  <c r="AJ180" i="30"/>
  <c r="AI181" i="30"/>
  <c r="AJ181" i="30"/>
  <c r="AI182" i="30"/>
  <c r="AJ182" i="30"/>
  <c r="AI183" i="30"/>
  <c r="AJ183" i="30"/>
  <c r="AI184" i="30"/>
  <c r="AJ184" i="30"/>
  <c r="AI185" i="30"/>
  <c r="AJ185" i="30"/>
  <c r="AI186" i="30"/>
  <c r="AJ186" i="30"/>
  <c r="AI187" i="30"/>
  <c r="AJ187" i="30"/>
  <c r="AI188" i="30"/>
  <c r="AJ188" i="30"/>
  <c r="AI189" i="30"/>
  <c r="AJ189" i="30"/>
  <c r="AI190" i="30"/>
  <c r="AJ190" i="30"/>
  <c r="AI191" i="30"/>
  <c r="AJ191" i="30"/>
  <c r="AI192" i="30"/>
  <c r="AJ192" i="30"/>
  <c r="AI193" i="30"/>
  <c r="AJ193" i="30"/>
  <c r="AI194" i="30"/>
  <c r="AJ194" i="30"/>
  <c r="AI195" i="30"/>
  <c r="AJ195" i="30"/>
  <c r="AI196" i="30"/>
  <c r="AJ196" i="30"/>
  <c r="AI197" i="30"/>
  <c r="AJ197" i="30"/>
  <c r="AI198" i="30"/>
  <c r="AJ198" i="30"/>
  <c r="AI199" i="30"/>
  <c r="AJ199" i="30"/>
  <c r="AI200" i="30"/>
  <c r="AJ200" i="30"/>
  <c r="AI201" i="30"/>
  <c r="AJ201" i="30"/>
  <c r="AI202" i="30"/>
  <c r="AJ202" i="30"/>
  <c r="AI203" i="30"/>
  <c r="AJ203" i="30"/>
  <c r="AI204" i="30"/>
  <c r="AJ204" i="30"/>
  <c r="AI205" i="30"/>
  <c r="AJ205" i="30"/>
  <c r="AI206" i="30"/>
  <c r="AJ206" i="30"/>
  <c r="AI207" i="30"/>
  <c r="AJ207" i="30"/>
  <c r="AI208" i="30"/>
  <c r="AJ208" i="30"/>
  <c r="AI209" i="30"/>
  <c r="AJ209" i="30"/>
  <c r="AI210" i="30"/>
  <c r="AJ210" i="30"/>
  <c r="AI211" i="30"/>
  <c r="AJ211" i="30"/>
  <c r="AI212" i="30"/>
  <c r="AJ212" i="30"/>
  <c r="AI213" i="30"/>
  <c r="AJ213" i="30"/>
  <c r="AI214" i="30"/>
  <c r="AJ214" i="30"/>
  <c r="AI215" i="30"/>
  <c r="AJ215" i="30"/>
  <c r="AI216" i="30"/>
  <c r="AJ216" i="30"/>
  <c r="AI217" i="30"/>
  <c r="AJ217" i="30"/>
  <c r="AI218" i="30"/>
  <c r="AJ218" i="30"/>
  <c r="AI219" i="30"/>
  <c r="AJ219" i="30"/>
  <c r="AI220" i="30"/>
  <c r="AJ220" i="30"/>
  <c r="AI221" i="30"/>
  <c r="AJ221" i="30"/>
  <c r="AI222" i="30"/>
  <c r="AJ222" i="30"/>
  <c r="AI223" i="30"/>
  <c r="AJ223" i="30"/>
  <c r="AI224" i="30"/>
  <c r="AJ224" i="30"/>
  <c r="AI225" i="30"/>
  <c r="AJ225" i="30"/>
  <c r="AI226" i="30"/>
  <c r="AJ226" i="30"/>
  <c r="AI227" i="30"/>
  <c r="AJ227" i="30"/>
  <c r="AI228" i="30"/>
  <c r="AJ228" i="30"/>
  <c r="AI229" i="30"/>
  <c r="AJ229" i="30"/>
  <c r="AI230" i="30"/>
  <c r="AJ230" i="30"/>
  <c r="AI231" i="30"/>
  <c r="AJ231" i="30"/>
  <c r="AI232" i="30"/>
  <c r="AJ232" i="30"/>
  <c r="AI233" i="30"/>
  <c r="AJ233" i="30"/>
  <c r="AI234" i="30"/>
  <c r="AJ234" i="30"/>
  <c r="AI235" i="30"/>
  <c r="AJ235" i="30"/>
  <c r="AI236" i="30"/>
  <c r="AJ236" i="30"/>
  <c r="AI237" i="30"/>
  <c r="AJ237" i="30"/>
  <c r="AI238" i="30"/>
  <c r="AJ238" i="30"/>
  <c r="AI239" i="30"/>
  <c r="AJ239" i="30"/>
  <c r="AI240" i="30"/>
  <c r="AJ240" i="30"/>
  <c r="AI241" i="30"/>
  <c r="AJ241" i="30"/>
  <c r="AI242" i="30"/>
  <c r="AJ242" i="30"/>
  <c r="AI243" i="30"/>
  <c r="AJ243" i="30"/>
  <c r="AI244" i="30"/>
  <c r="AJ244" i="30"/>
  <c r="AI245" i="30"/>
  <c r="AJ245" i="30"/>
  <c r="AI246" i="30"/>
  <c r="AJ246" i="30"/>
  <c r="AI247" i="30"/>
  <c r="AJ247" i="30"/>
  <c r="AI248" i="30"/>
  <c r="AJ248" i="30"/>
  <c r="AI249" i="30"/>
  <c r="AJ249" i="30"/>
  <c r="AI250" i="30"/>
  <c r="AJ250" i="30"/>
  <c r="AI251" i="30"/>
  <c r="AJ251" i="30"/>
  <c r="AI252" i="30"/>
  <c r="AJ252" i="30"/>
  <c r="AI253" i="30"/>
  <c r="AJ253" i="30"/>
  <c r="AI254" i="30"/>
  <c r="AJ254" i="30"/>
  <c r="AI255" i="30"/>
  <c r="AJ255" i="30"/>
  <c r="AI256" i="30"/>
  <c r="AJ256" i="30"/>
  <c r="AI257" i="30"/>
  <c r="AJ257" i="30"/>
  <c r="AI258" i="30"/>
  <c r="AJ258" i="30"/>
  <c r="AI259" i="30"/>
  <c r="AJ259" i="30"/>
  <c r="AI260" i="30"/>
  <c r="AJ260" i="30"/>
  <c r="AI261" i="30"/>
  <c r="AJ261" i="30"/>
  <c r="AI262" i="30"/>
  <c r="AJ262" i="30"/>
  <c r="AI263" i="30"/>
  <c r="AJ263" i="30"/>
  <c r="AI264" i="30"/>
  <c r="AJ264" i="30"/>
  <c r="AI265" i="30"/>
  <c r="AJ265" i="30"/>
  <c r="AI266" i="30"/>
  <c r="AJ266" i="30"/>
  <c r="AI267" i="30"/>
  <c r="AJ267" i="30"/>
  <c r="AI268" i="30"/>
  <c r="AJ268" i="30"/>
  <c r="AI269" i="30"/>
  <c r="AJ269" i="30"/>
  <c r="AI270" i="30"/>
  <c r="AJ270" i="30"/>
  <c r="AI271" i="30"/>
  <c r="AJ271" i="30"/>
  <c r="AI272" i="30"/>
  <c r="AJ272" i="30"/>
  <c r="AI273" i="30"/>
  <c r="AJ273" i="30"/>
  <c r="AI274" i="30"/>
  <c r="AJ274" i="30"/>
  <c r="AI275" i="30"/>
  <c r="AJ275" i="30"/>
  <c r="AI276" i="30"/>
  <c r="AJ276" i="30"/>
  <c r="AI277" i="30"/>
  <c r="AJ277" i="30"/>
  <c r="AI278" i="30"/>
  <c r="AJ278" i="30"/>
  <c r="AI279" i="30"/>
  <c r="AJ279" i="30"/>
  <c r="AI280" i="30"/>
  <c r="AJ280" i="30"/>
  <c r="AI281" i="30"/>
  <c r="AJ281" i="30"/>
  <c r="AI282" i="30"/>
  <c r="AJ282" i="30"/>
  <c r="AI283" i="30"/>
  <c r="AJ283" i="30"/>
  <c r="AI284" i="30"/>
  <c r="AJ284" i="30"/>
  <c r="AI285" i="30"/>
  <c r="AJ285" i="30"/>
  <c r="AI286" i="30"/>
  <c r="AJ286" i="30"/>
  <c r="AI287" i="30"/>
  <c r="AJ287" i="30"/>
  <c r="AI288" i="30"/>
  <c r="AJ288" i="30"/>
  <c r="AI289" i="30"/>
  <c r="AJ289" i="30"/>
  <c r="AI290" i="30"/>
  <c r="AJ290" i="30"/>
  <c r="AI291" i="30"/>
  <c r="AJ291" i="30"/>
  <c r="AI292" i="30"/>
  <c r="AJ292" i="30"/>
  <c r="AI293" i="30"/>
  <c r="AJ293" i="30"/>
  <c r="AI294" i="30"/>
  <c r="AJ294" i="30"/>
  <c r="AI295" i="30"/>
  <c r="AJ295" i="30"/>
  <c r="AI296" i="30"/>
  <c r="AJ296" i="30"/>
  <c r="AI297" i="30"/>
  <c r="AJ297" i="30"/>
  <c r="AI298" i="30"/>
  <c r="AJ298" i="30"/>
  <c r="AI299" i="30"/>
  <c r="AJ299" i="30"/>
  <c r="AI300" i="30"/>
  <c r="AJ300" i="30"/>
  <c r="AI301" i="30"/>
  <c r="AJ301" i="30"/>
  <c r="AI302" i="30"/>
  <c r="AJ302" i="30"/>
  <c r="AI303" i="30"/>
  <c r="AJ303" i="30"/>
  <c r="AI304" i="30"/>
  <c r="AJ304" i="30"/>
  <c r="AI305" i="30"/>
  <c r="AJ305" i="30"/>
  <c r="AI306" i="30"/>
  <c r="AJ306" i="30"/>
  <c r="AI307" i="30"/>
  <c r="AJ307" i="30"/>
  <c r="AI308" i="30"/>
  <c r="AJ308" i="30"/>
  <c r="AI309" i="30"/>
  <c r="AJ309" i="30"/>
  <c r="AI310" i="30"/>
  <c r="AJ310" i="30"/>
  <c r="AI311" i="30"/>
  <c r="AJ311" i="30"/>
  <c r="AI312" i="30"/>
  <c r="AJ312" i="30"/>
  <c r="AI313" i="30"/>
  <c r="AJ313" i="30"/>
  <c r="AI314" i="30"/>
  <c r="AJ314" i="30"/>
  <c r="AI315" i="30"/>
  <c r="AJ315" i="30"/>
  <c r="AI316" i="30"/>
  <c r="AJ316" i="30"/>
  <c r="AI317" i="30"/>
  <c r="AJ317" i="30"/>
  <c r="AI318" i="30"/>
  <c r="AJ318" i="30"/>
  <c r="AI319" i="30"/>
  <c r="AJ319" i="30"/>
  <c r="AI320" i="30"/>
  <c r="AJ320" i="30"/>
  <c r="AI321" i="30"/>
  <c r="AJ321" i="30"/>
  <c r="AI322" i="30"/>
  <c r="AJ322" i="30"/>
  <c r="AI323" i="30"/>
  <c r="AJ323" i="30"/>
  <c r="AI324" i="30"/>
  <c r="AJ324" i="30"/>
  <c r="AI325" i="30"/>
  <c r="AJ325" i="30"/>
  <c r="AI326" i="30"/>
  <c r="AJ326" i="30"/>
  <c r="AI327" i="30"/>
  <c r="AJ327" i="30"/>
  <c r="AI328" i="30"/>
  <c r="AJ328" i="30"/>
  <c r="AI329" i="30"/>
  <c r="AJ329" i="30"/>
  <c r="AI330" i="30"/>
  <c r="AJ330" i="30"/>
  <c r="AI331" i="30"/>
  <c r="AJ331" i="30"/>
  <c r="AI332" i="30"/>
  <c r="AJ332" i="30"/>
  <c r="AI333" i="30"/>
  <c r="AJ333" i="30"/>
  <c r="AI334" i="30"/>
  <c r="AJ334" i="30"/>
  <c r="AI335" i="30"/>
  <c r="AJ335" i="30"/>
  <c r="AI336" i="30"/>
  <c r="AJ336" i="30"/>
  <c r="AI337" i="30"/>
  <c r="AJ337" i="30"/>
  <c r="AI338" i="30"/>
  <c r="AJ338" i="30"/>
  <c r="AI339" i="30"/>
  <c r="AJ339" i="30"/>
  <c r="AI340" i="30"/>
  <c r="AJ340" i="30"/>
  <c r="AI341" i="30"/>
  <c r="AJ341" i="30"/>
  <c r="AI342" i="30"/>
  <c r="AJ342" i="30"/>
  <c r="AI343" i="30"/>
  <c r="AJ343" i="30"/>
  <c r="AI344" i="30"/>
  <c r="AJ344" i="30"/>
  <c r="AI345" i="30"/>
  <c r="AJ345" i="30"/>
  <c r="AI346" i="30"/>
  <c r="AJ346" i="30"/>
  <c r="AI347" i="30"/>
  <c r="AJ347" i="30"/>
  <c r="AI348" i="30"/>
  <c r="AJ348" i="30"/>
  <c r="AI349" i="30"/>
  <c r="AJ349" i="30"/>
  <c r="AI350" i="30"/>
  <c r="AJ350" i="30"/>
  <c r="AI351" i="30"/>
  <c r="AJ351" i="30"/>
  <c r="AI352" i="30"/>
  <c r="AJ352" i="30"/>
  <c r="AI353" i="30"/>
  <c r="AJ353" i="30"/>
  <c r="AI354" i="30"/>
  <c r="AJ354" i="30"/>
  <c r="AI355" i="30"/>
  <c r="AJ355" i="30"/>
  <c r="AI356" i="30"/>
  <c r="AJ356" i="30"/>
  <c r="AI357" i="30"/>
  <c r="AJ357" i="30"/>
  <c r="AI358" i="30"/>
  <c r="AJ358" i="30"/>
  <c r="AI359" i="30"/>
  <c r="AJ359" i="30"/>
  <c r="AI360" i="30"/>
  <c r="AJ360" i="30"/>
  <c r="AI361" i="30"/>
  <c r="AJ361" i="30"/>
  <c r="AI362" i="30"/>
  <c r="AJ362" i="30"/>
  <c r="AI363" i="30"/>
  <c r="AJ363" i="30"/>
  <c r="AI364" i="30"/>
  <c r="AJ364" i="30"/>
  <c r="AI365" i="30"/>
  <c r="AJ365" i="30"/>
  <c r="AI366" i="30"/>
  <c r="AJ366" i="30"/>
  <c r="AI367" i="30"/>
  <c r="AJ367" i="30"/>
  <c r="AI368" i="30"/>
  <c r="AJ368" i="30"/>
  <c r="AI369" i="30"/>
  <c r="AJ369" i="30"/>
  <c r="AI370" i="30"/>
  <c r="AJ370" i="30"/>
  <c r="AI371" i="30"/>
  <c r="AJ371" i="30"/>
  <c r="AI372" i="30"/>
  <c r="AJ372" i="30"/>
  <c r="AI373" i="30"/>
  <c r="AJ373" i="30"/>
  <c r="AI374" i="30"/>
  <c r="AJ374" i="30"/>
  <c r="AI375" i="30"/>
  <c r="AJ375" i="30"/>
  <c r="AI376" i="30"/>
  <c r="AJ376" i="30"/>
  <c r="AI377" i="30"/>
  <c r="AJ377" i="30"/>
  <c r="AI378" i="30"/>
  <c r="AJ378" i="30"/>
  <c r="AI379" i="30"/>
  <c r="AJ379" i="30"/>
  <c r="AI380" i="30"/>
  <c r="AJ380" i="30"/>
  <c r="AI381" i="30"/>
  <c r="AJ381" i="30"/>
  <c r="AI382" i="30"/>
  <c r="AJ382" i="30"/>
  <c r="AI383" i="30"/>
  <c r="AJ383" i="30"/>
  <c r="AI384" i="30"/>
  <c r="AJ384" i="30"/>
  <c r="AI385" i="30"/>
  <c r="AJ385" i="30"/>
  <c r="AI386" i="30"/>
  <c r="AJ386" i="30"/>
  <c r="AI387" i="30"/>
  <c r="AJ387" i="30"/>
  <c r="AI388" i="30"/>
  <c r="AJ388" i="30"/>
  <c r="AI389" i="30"/>
  <c r="AJ389" i="30"/>
  <c r="AI390" i="30"/>
  <c r="AJ390" i="30"/>
  <c r="AI391" i="30"/>
  <c r="AJ391" i="30"/>
  <c r="AI392" i="30"/>
  <c r="AJ392" i="30"/>
  <c r="AI393" i="30"/>
  <c r="AJ393" i="30"/>
  <c r="AI394" i="30"/>
  <c r="AJ394" i="30"/>
  <c r="AI395" i="30"/>
  <c r="AJ395" i="30"/>
  <c r="AI396" i="30"/>
  <c r="AJ396" i="30"/>
  <c r="AI397" i="30"/>
  <c r="AJ397" i="30"/>
  <c r="AI398" i="30"/>
  <c r="AJ398" i="30"/>
  <c r="AI399" i="30"/>
  <c r="AJ399" i="30"/>
  <c r="AI400" i="30"/>
  <c r="AJ400" i="30"/>
  <c r="AI401" i="30"/>
  <c r="AJ401" i="30"/>
  <c r="AI402" i="30"/>
  <c r="AJ402" i="30"/>
  <c r="AI403" i="30"/>
  <c r="AJ403" i="30"/>
  <c r="AI404" i="30"/>
  <c r="AJ404" i="30"/>
  <c r="AI405" i="30"/>
  <c r="AJ405" i="30"/>
  <c r="AI406" i="30"/>
  <c r="AJ406" i="30"/>
  <c r="AI407" i="30"/>
  <c r="AJ407" i="30"/>
  <c r="AI408" i="30"/>
  <c r="AJ408" i="30"/>
  <c r="AI409" i="30"/>
  <c r="AJ409" i="30"/>
  <c r="AI410" i="30"/>
  <c r="AJ410" i="30"/>
  <c r="AI411" i="30"/>
  <c r="AJ411" i="30"/>
  <c r="AI412" i="30"/>
  <c r="AJ412" i="30"/>
  <c r="AI413" i="30"/>
  <c r="AJ413" i="30"/>
  <c r="AI414" i="30"/>
  <c r="AJ414" i="30"/>
  <c r="AI415" i="30"/>
  <c r="AJ415" i="30"/>
  <c r="AI416" i="30"/>
  <c r="AJ416" i="30"/>
  <c r="AI417" i="30"/>
  <c r="AJ417" i="30"/>
  <c r="AI418" i="30"/>
  <c r="AJ418" i="30"/>
  <c r="AI419" i="30"/>
  <c r="AJ419" i="30"/>
  <c r="AI420" i="30"/>
  <c r="AJ420" i="30"/>
  <c r="AI421" i="30"/>
  <c r="AJ421" i="30"/>
  <c r="AI422" i="30"/>
  <c r="AJ422" i="30"/>
  <c r="AI423" i="30"/>
  <c r="AJ423" i="30"/>
  <c r="AI424" i="30"/>
  <c r="AJ424" i="30"/>
  <c r="AI425" i="30"/>
  <c r="AJ425" i="30"/>
  <c r="AI426" i="30"/>
  <c r="AJ426" i="30"/>
  <c r="AI427" i="30"/>
  <c r="AJ427" i="30"/>
  <c r="AI428" i="30"/>
  <c r="AJ428" i="30"/>
  <c r="AI429" i="30"/>
  <c r="AJ429" i="30"/>
  <c r="AI430" i="30"/>
  <c r="AJ430" i="30"/>
  <c r="AI431" i="30"/>
  <c r="AJ431" i="30"/>
  <c r="AI432" i="30"/>
  <c r="AJ432" i="30"/>
  <c r="AI433" i="30"/>
  <c r="AJ433" i="30"/>
  <c r="AI434" i="30"/>
  <c r="AJ434" i="30"/>
  <c r="AI435" i="30"/>
  <c r="AJ435" i="30"/>
  <c r="AI436" i="30"/>
  <c r="AJ436" i="30"/>
  <c r="AI437" i="30"/>
  <c r="AJ437" i="30"/>
  <c r="AI438" i="30"/>
  <c r="AJ438" i="30"/>
  <c r="AI439" i="30"/>
  <c r="AJ439" i="30"/>
  <c r="AI440" i="30"/>
  <c r="AJ440" i="30"/>
  <c r="AI441" i="30"/>
  <c r="AJ441" i="30"/>
  <c r="AI442" i="30"/>
  <c r="AJ442" i="30"/>
  <c r="AI443" i="30"/>
  <c r="AJ443" i="30"/>
  <c r="AI444" i="30"/>
  <c r="AJ444" i="30"/>
  <c r="AI445" i="30"/>
  <c r="AJ445" i="30"/>
  <c r="AI446" i="30"/>
  <c r="AJ446" i="30"/>
  <c r="AI447" i="30"/>
  <c r="AJ447" i="30"/>
  <c r="AI448" i="30"/>
  <c r="AJ448" i="30"/>
  <c r="AI449" i="30"/>
  <c r="AJ449" i="30"/>
  <c r="AI450" i="30"/>
  <c r="AJ450" i="30"/>
  <c r="AI451" i="30"/>
  <c r="AJ451" i="30"/>
  <c r="AI452" i="30"/>
  <c r="AJ452" i="30"/>
  <c r="AI453" i="30"/>
  <c r="AJ453" i="30"/>
  <c r="AI454" i="30"/>
  <c r="AJ454" i="30"/>
  <c r="AI455" i="30"/>
  <c r="AJ455" i="30"/>
  <c r="AI456" i="30"/>
  <c r="AJ456" i="30"/>
  <c r="AI457" i="30"/>
  <c r="AJ457" i="30"/>
  <c r="AI458" i="30"/>
  <c r="AJ458" i="30"/>
  <c r="AI459" i="30"/>
  <c r="AJ459" i="30"/>
  <c r="AI460" i="30"/>
  <c r="AJ460" i="30"/>
  <c r="AI461" i="30"/>
  <c r="AJ461" i="30"/>
  <c r="AI462" i="30"/>
  <c r="AJ462" i="30"/>
  <c r="AI463" i="30"/>
  <c r="AJ463" i="30"/>
  <c r="AI464" i="30"/>
  <c r="AJ464" i="30"/>
  <c r="AI465" i="30"/>
  <c r="AJ465" i="30"/>
  <c r="AI466" i="30"/>
  <c r="AJ466" i="30"/>
  <c r="AI467" i="30"/>
  <c r="AJ467" i="30"/>
  <c r="AI468" i="30"/>
  <c r="AJ468" i="30"/>
  <c r="AI469" i="30"/>
  <c r="AJ469" i="30"/>
  <c r="AI470" i="30"/>
  <c r="AJ470" i="30"/>
  <c r="AI471" i="30"/>
  <c r="AJ471" i="30"/>
  <c r="AI472" i="30"/>
  <c r="AJ472" i="30"/>
  <c r="AI473" i="30"/>
  <c r="AJ473" i="30"/>
  <c r="AI474" i="30"/>
  <c r="AJ474" i="30"/>
  <c r="AI475" i="30"/>
  <c r="AJ475" i="30"/>
  <c r="AI476" i="30"/>
  <c r="AJ476" i="30"/>
  <c r="AI477" i="30"/>
  <c r="AJ477" i="30"/>
  <c r="AI478" i="30"/>
  <c r="AJ478" i="30"/>
  <c r="AI479" i="30"/>
  <c r="AJ479" i="30"/>
  <c r="AI480" i="30"/>
  <c r="AJ480" i="30"/>
  <c r="AI481" i="30"/>
  <c r="AJ481" i="30"/>
  <c r="AI482" i="30"/>
  <c r="AJ482" i="30"/>
  <c r="AI483" i="30"/>
  <c r="AJ483" i="30"/>
  <c r="AI484" i="30"/>
  <c r="AJ484" i="30"/>
  <c r="AI485" i="30"/>
  <c r="AJ485" i="30"/>
  <c r="AI486" i="30"/>
  <c r="AJ486" i="30"/>
  <c r="AI487" i="30"/>
  <c r="AJ487" i="30"/>
  <c r="AI488" i="30"/>
  <c r="AJ488" i="30"/>
  <c r="AI489" i="30"/>
  <c r="AJ489" i="30"/>
  <c r="AI490" i="30"/>
  <c r="AJ490" i="30"/>
  <c r="AI491" i="30"/>
  <c r="AJ491" i="30"/>
  <c r="AI492" i="30"/>
  <c r="AJ492" i="30"/>
  <c r="AI493" i="30"/>
  <c r="AJ493" i="30"/>
  <c r="AI494" i="30"/>
  <c r="AJ494" i="30"/>
  <c r="AI495" i="30"/>
  <c r="AJ495" i="30"/>
  <c r="AI496" i="30"/>
  <c r="AJ496" i="30"/>
  <c r="AI497" i="30"/>
  <c r="AJ497" i="30"/>
  <c r="AI498" i="30"/>
  <c r="AJ498" i="30"/>
  <c r="AI499" i="30"/>
  <c r="AJ499" i="30"/>
  <c r="AI500" i="30"/>
  <c r="AJ500" i="30"/>
  <c r="AI501" i="30"/>
  <c r="AJ501" i="30"/>
  <c r="AI502" i="30"/>
  <c r="AJ502" i="30"/>
  <c r="AI503" i="30"/>
  <c r="AJ503" i="30"/>
  <c r="AI504" i="30"/>
  <c r="AJ504" i="30"/>
  <c r="AI505" i="30"/>
  <c r="AJ505" i="30"/>
  <c r="AI506" i="30"/>
  <c r="AJ506" i="30"/>
  <c r="AI507" i="30"/>
  <c r="AJ507" i="30"/>
  <c r="AI508" i="30"/>
  <c r="AJ508" i="30"/>
  <c r="AI509" i="30"/>
  <c r="AJ509" i="30"/>
  <c r="AI510" i="30"/>
  <c r="AJ510" i="30"/>
  <c r="AI511" i="30"/>
  <c r="AJ511" i="30"/>
  <c r="AI512" i="30"/>
  <c r="AJ512" i="30"/>
  <c r="AI513" i="30"/>
  <c r="AJ513" i="30"/>
  <c r="AI514" i="30"/>
  <c r="AJ514" i="30"/>
  <c r="AI515" i="30"/>
  <c r="AJ515" i="30"/>
  <c r="AI516" i="30"/>
  <c r="AJ516" i="30"/>
  <c r="AI517" i="30"/>
  <c r="AJ517" i="30"/>
  <c r="AI518" i="30"/>
  <c r="AJ518" i="30"/>
  <c r="AI519" i="30"/>
  <c r="AJ519" i="30"/>
  <c r="AI520" i="30"/>
  <c r="AJ520" i="30"/>
  <c r="AI521" i="30"/>
  <c r="AJ521" i="30"/>
  <c r="AI522" i="30"/>
  <c r="AJ522" i="30"/>
  <c r="AI523" i="30"/>
  <c r="AJ523" i="30"/>
  <c r="AI524" i="30"/>
  <c r="AJ524" i="30"/>
  <c r="AI525" i="30"/>
  <c r="AJ525" i="30"/>
  <c r="AI526" i="30"/>
  <c r="AJ526" i="30"/>
  <c r="AI527" i="30"/>
  <c r="AJ527" i="30"/>
  <c r="AI528" i="30"/>
  <c r="AJ528" i="30"/>
  <c r="AI529" i="30"/>
  <c r="AJ529" i="30"/>
  <c r="AI530" i="30"/>
  <c r="AJ530" i="30"/>
  <c r="AI531" i="30"/>
  <c r="AJ531" i="30"/>
  <c r="AI532" i="30"/>
  <c r="AJ532" i="30"/>
  <c r="AI533" i="30"/>
  <c r="AJ533" i="30"/>
  <c r="AI534" i="30"/>
  <c r="AJ534" i="30"/>
  <c r="AI535" i="30"/>
  <c r="AJ535" i="30"/>
  <c r="AI536" i="30"/>
  <c r="AJ536" i="30"/>
  <c r="AI537" i="30"/>
  <c r="AJ537" i="30"/>
  <c r="AI538" i="30"/>
  <c r="AJ538" i="30"/>
  <c r="AI539" i="30"/>
  <c r="AJ539" i="30"/>
  <c r="AI540" i="30"/>
  <c r="AJ540" i="30"/>
  <c r="AI541" i="30"/>
  <c r="AJ541" i="30"/>
  <c r="AI542" i="30"/>
  <c r="AJ542" i="30"/>
  <c r="AI543" i="30"/>
  <c r="AJ543" i="30"/>
  <c r="AI544" i="30"/>
  <c r="AJ544" i="30"/>
  <c r="AI545" i="30"/>
  <c r="AJ545" i="30"/>
  <c r="AI546" i="30"/>
  <c r="AJ546" i="30"/>
  <c r="AI547" i="30"/>
  <c r="AJ547" i="30"/>
  <c r="AI548" i="30"/>
  <c r="AJ548" i="30"/>
  <c r="AI549" i="30"/>
  <c r="AJ549" i="30"/>
  <c r="AI550" i="30"/>
  <c r="AJ550" i="30"/>
  <c r="AI551" i="30"/>
  <c r="AJ551" i="30"/>
  <c r="AI552" i="30"/>
  <c r="AJ552" i="30"/>
  <c r="AI553" i="30"/>
  <c r="AJ553" i="30"/>
  <c r="AI554" i="30"/>
  <c r="AJ554" i="30"/>
  <c r="AI555" i="30"/>
  <c r="AJ555" i="30"/>
  <c r="AI556" i="30"/>
  <c r="AJ556" i="30"/>
  <c r="AI557" i="30"/>
  <c r="AJ557" i="30"/>
  <c r="AI558" i="30"/>
  <c r="AJ558" i="30"/>
  <c r="AI559" i="30"/>
  <c r="AJ559" i="30"/>
  <c r="AI560" i="30"/>
  <c r="AJ560" i="30"/>
  <c r="AI561" i="30"/>
  <c r="AJ561" i="30"/>
  <c r="AI562" i="30"/>
  <c r="AJ562" i="30"/>
  <c r="AI563" i="30"/>
  <c r="AJ563" i="30"/>
  <c r="AI564" i="30"/>
  <c r="AJ564" i="30"/>
  <c r="AI565" i="30"/>
  <c r="AJ565" i="30"/>
  <c r="AI566" i="30"/>
  <c r="AJ566" i="30"/>
  <c r="AI567" i="30"/>
  <c r="AJ567" i="30"/>
  <c r="AI568" i="30"/>
  <c r="AJ568" i="30"/>
  <c r="AI569" i="30"/>
  <c r="AJ569" i="30"/>
  <c r="AI570" i="30"/>
  <c r="AJ570" i="30"/>
  <c r="AI571" i="30"/>
  <c r="AJ571" i="30"/>
  <c r="AI572" i="30"/>
  <c r="AJ572" i="30"/>
  <c r="AI573" i="30"/>
  <c r="AJ573" i="30"/>
  <c r="AI574" i="30"/>
  <c r="AJ574" i="30"/>
  <c r="AI575" i="30"/>
  <c r="AJ575" i="30"/>
  <c r="AI576" i="30"/>
  <c r="AJ576" i="30"/>
  <c r="AI577" i="30"/>
  <c r="AJ577" i="30"/>
  <c r="AI578" i="30"/>
  <c r="AJ578" i="30"/>
  <c r="AI579" i="30"/>
  <c r="AJ579" i="30"/>
  <c r="AI580" i="30"/>
  <c r="AJ580" i="30"/>
  <c r="AI581" i="30"/>
  <c r="AJ581" i="30"/>
  <c r="AI582" i="30"/>
  <c r="AJ582" i="30"/>
  <c r="AI583" i="30"/>
  <c r="AJ583" i="30"/>
  <c r="AI584" i="30"/>
  <c r="AJ584" i="30"/>
  <c r="AI585" i="30"/>
  <c r="AJ585" i="30"/>
  <c r="AI586" i="30"/>
  <c r="AJ586" i="30"/>
  <c r="AI587" i="30"/>
  <c r="AJ587" i="30"/>
  <c r="AI588" i="30"/>
  <c r="AJ588" i="30"/>
  <c r="AI589" i="30"/>
  <c r="AJ589" i="30"/>
  <c r="AI590" i="30"/>
  <c r="AJ590" i="30"/>
  <c r="AI591" i="30"/>
  <c r="AJ591" i="30"/>
  <c r="AI592" i="30"/>
  <c r="AJ592" i="30"/>
  <c r="AI593" i="30"/>
  <c r="AJ593" i="30"/>
  <c r="AI594" i="30"/>
  <c r="AJ594" i="30"/>
  <c r="AI595" i="30"/>
  <c r="AJ595" i="30"/>
  <c r="AI596" i="30"/>
  <c r="AJ596" i="30"/>
  <c r="AI597" i="30"/>
  <c r="AJ597" i="30"/>
  <c r="AI598" i="30"/>
  <c r="AJ598" i="30"/>
  <c r="AI599" i="30"/>
  <c r="AJ599" i="30"/>
  <c r="AI600" i="30"/>
  <c r="AJ600" i="30"/>
  <c r="AI601" i="30"/>
  <c r="AJ601" i="30"/>
  <c r="AI602" i="30"/>
  <c r="AJ602" i="30"/>
  <c r="AI603" i="30"/>
  <c r="AJ603" i="30"/>
  <c r="AI604" i="30"/>
  <c r="AJ604" i="30"/>
  <c r="AI605" i="30"/>
  <c r="AJ605" i="30"/>
  <c r="AI606" i="30"/>
  <c r="AJ606" i="30"/>
  <c r="AI607" i="30"/>
  <c r="AJ607" i="30"/>
  <c r="AI608" i="30"/>
  <c r="AJ608" i="30"/>
  <c r="AI609" i="30"/>
  <c r="AJ609" i="30"/>
  <c r="AI610" i="30"/>
  <c r="AJ610" i="30"/>
  <c r="AI611" i="30"/>
  <c r="AJ611" i="30"/>
  <c r="AI612" i="30"/>
  <c r="AJ612" i="30"/>
  <c r="AI613" i="30"/>
  <c r="AJ613" i="30"/>
  <c r="AI614" i="30"/>
  <c r="AJ614" i="30"/>
  <c r="AI615" i="30"/>
  <c r="AJ615" i="30"/>
  <c r="AI616" i="30"/>
  <c r="AJ616" i="30"/>
  <c r="AI617" i="30"/>
  <c r="AJ617" i="30"/>
  <c r="AI618" i="30"/>
  <c r="AJ618" i="30"/>
  <c r="AI619" i="30"/>
  <c r="AJ619" i="30"/>
  <c r="AI620" i="30"/>
  <c r="AJ620" i="30"/>
  <c r="AI621" i="30"/>
  <c r="AJ621" i="30"/>
  <c r="AI622" i="30"/>
  <c r="AJ622" i="30"/>
  <c r="AI623" i="30"/>
  <c r="AJ623" i="30"/>
  <c r="AI624" i="30"/>
  <c r="AJ624" i="30"/>
  <c r="AI625" i="30"/>
  <c r="AJ625" i="30"/>
  <c r="AI626" i="30"/>
  <c r="AJ626" i="30"/>
  <c r="AI627" i="30"/>
  <c r="AJ627" i="30"/>
  <c r="AI628" i="30"/>
  <c r="AJ628" i="30"/>
  <c r="AI629" i="30"/>
  <c r="AJ629" i="30"/>
  <c r="AI630" i="30"/>
  <c r="AJ630" i="30"/>
  <c r="AI631" i="30"/>
  <c r="AJ631" i="30"/>
  <c r="AI632" i="30"/>
  <c r="AJ632" i="30"/>
  <c r="AI633" i="30"/>
  <c r="AJ633" i="30"/>
  <c r="AI634" i="30"/>
  <c r="AJ634" i="30"/>
  <c r="AI635" i="30"/>
  <c r="AJ635" i="30"/>
  <c r="AI636" i="30"/>
  <c r="AJ636" i="30"/>
  <c r="AI637" i="30"/>
  <c r="AJ637" i="30"/>
  <c r="AI638" i="30"/>
  <c r="AJ638" i="30"/>
  <c r="AI639" i="30"/>
  <c r="AJ639" i="30"/>
  <c r="AI640" i="30"/>
  <c r="AJ640" i="30"/>
  <c r="AI641" i="30"/>
  <c r="AJ641" i="30"/>
  <c r="AI642" i="30"/>
  <c r="AJ642" i="30"/>
  <c r="AI643" i="30"/>
  <c r="AJ643" i="30"/>
  <c r="AI644" i="30"/>
  <c r="AJ644" i="30"/>
  <c r="AI645" i="30"/>
  <c r="AJ645" i="30"/>
  <c r="AI646" i="30"/>
  <c r="AJ646" i="30"/>
  <c r="AI647" i="30"/>
  <c r="AJ647" i="30"/>
  <c r="AI648" i="30"/>
  <c r="AJ648" i="30"/>
  <c r="AI649" i="30"/>
  <c r="AJ649" i="30"/>
  <c r="AI650" i="30"/>
  <c r="AJ650" i="30"/>
  <c r="AI651" i="30"/>
  <c r="AJ651" i="30"/>
  <c r="AI652" i="30"/>
  <c r="AJ652" i="30"/>
  <c r="AI653" i="30"/>
  <c r="AJ653" i="30"/>
  <c r="AI654" i="30"/>
  <c r="AJ654" i="30"/>
  <c r="AI655" i="30"/>
  <c r="AJ655" i="30"/>
  <c r="AI656" i="30"/>
  <c r="AJ656" i="30"/>
  <c r="AI657" i="30"/>
  <c r="AJ657" i="30"/>
  <c r="AI658" i="30"/>
  <c r="AJ658" i="30"/>
  <c r="AI659" i="30"/>
  <c r="AJ659" i="30"/>
  <c r="AI660" i="30"/>
  <c r="AJ660" i="30"/>
  <c r="AI661" i="30"/>
  <c r="AJ661" i="30"/>
  <c r="AI662" i="30"/>
  <c r="AJ662" i="30"/>
  <c r="AI663" i="30"/>
  <c r="AJ663" i="30"/>
  <c r="AI664" i="30"/>
  <c r="AJ664" i="30"/>
  <c r="AI665" i="30"/>
  <c r="AJ665" i="30"/>
  <c r="AI666" i="30"/>
  <c r="AJ666" i="30"/>
  <c r="AI667" i="30"/>
  <c r="AJ667" i="30"/>
  <c r="AI668" i="30"/>
  <c r="AJ668" i="30"/>
  <c r="AI669" i="30"/>
  <c r="AJ669" i="30"/>
  <c r="AI670" i="30"/>
  <c r="AJ670" i="30"/>
  <c r="AI671" i="30"/>
  <c r="AJ671" i="30"/>
  <c r="AI672" i="30"/>
  <c r="AJ672" i="30"/>
  <c r="AI673" i="30"/>
  <c r="AJ673" i="30"/>
  <c r="AI674" i="30"/>
  <c r="AJ674" i="30"/>
  <c r="AI675" i="30"/>
  <c r="AJ675" i="30"/>
  <c r="AI676" i="30"/>
  <c r="AJ676" i="30"/>
  <c r="AI677" i="30"/>
  <c r="AJ677" i="30"/>
  <c r="AI678" i="30"/>
  <c r="AJ678" i="30"/>
  <c r="AI679" i="30"/>
  <c r="AJ679" i="30"/>
  <c r="AI680" i="30"/>
  <c r="AJ680" i="30"/>
  <c r="AI681" i="30"/>
  <c r="AJ681" i="30"/>
  <c r="AI682" i="30"/>
  <c r="AJ682" i="30"/>
  <c r="AI683" i="30"/>
  <c r="AJ683" i="30"/>
  <c r="AI684" i="30"/>
  <c r="AJ684" i="30"/>
  <c r="AI685" i="30"/>
  <c r="AJ685" i="30"/>
  <c r="AI686" i="30"/>
  <c r="AJ686" i="30"/>
  <c r="AI687" i="30"/>
  <c r="AJ687" i="30"/>
  <c r="AI688" i="30"/>
  <c r="AJ688" i="30"/>
  <c r="AI689" i="30"/>
  <c r="AJ689" i="30"/>
  <c r="AI690" i="30"/>
  <c r="AJ690" i="30"/>
  <c r="AI691" i="30"/>
  <c r="AJ691" i="30"/>
  <c r="AI692" i="30"/>
  <c r="AJ692" i="30"/>
  <c r="AI693" i="30"/>
  <c r="AJ693" i="30"/>
  <c r="AI694" i="30"/>
  <c r="AJ694" i="30"/>
  <c r="AI695" i="30"/>
  <c r="AJ695" i="30"/>
  <c r="AI696" i="30"/>
  <c r="AJ696" i="30"/>
  <c r="AI697" i="30"/>
  <c r="AJ697" i="30"/>
  <c r="AI698" i="30"/>
  <c r="AJ698" i="30"/>
  <c r="AI699" i="30"/>
  <c r="AJ699" i="30"/>
  <c r="AI700" i="30"/>
  <c r="AJ700" i="30"/>
  <c r="AI701" i="30"/>
  <c r="AJ701" i="30"/>
  <c r="AI702" i="30"/>
  <c r="AJ702" i="30"/>
  <c r="AI703" i="30"/>
  <c r="AJ703" i="30"/>
  <c r="AI704" i="30"/>
  <c r="AJ704" i="30"/>
  <c r="AI705" i="30"/>
  <c r="AJ705" i="30"/>
  <c r="AI706" i="30"/>
  <c r="AJ706" i="30"/>
  <c r="AI707" i="30"/>
  <c r="AJ707" i="30"/>
  <c r="AI708" i="30"/>
  <c r="AJ708" i="30"/>
  <c r="AI709" i="30"/>
  <c r="AJ709" i="30"/>
  <c r="AI710" i="30"/>
  <c r="AJ710" i="30"/>
  <c r="AI711" i="30"/>
  <c r="AJ711" i="30"/>
  <c r="AI712" i="30"/>
  <c r="AJ712" i="30"/>
  <c r="AI713" i="30"/>
  <c r="AJ713" i="30"/>
  <c r="AI714" i="30"/>
  <c r="AJ714" i="30"/>
  <c r="AI715" i="30"/>
  <c r="AJ715" i="30"/>
  <c r="AI716" i="30"/>
  <c r="AJ716" i="30"/>
  <c r="AI717" i="30"/>
  <c r="AJ717" i="30"/>
  <c r="AI718" i="30"/>
  <c r="AJ718" i="30"/>
  <c r="AI719" i="30"/>
  <c r="AJ719" i="30"/>
  <c r="AI720" i="30"/>
  <c r="AJ720" i="30"/>
  <c r="AI721" i="30"/>
  <c r="AJ721" i="30"/>
  <c r="AI722" i="30"/>
  <c r="AJ722" i="30"/>
  <c r="AI723" i="30"/>
  <c r="AJ723" i="30"/>
  <c r="AI724" i="30"/>
  <c r="AJ724" i="30"/>
  <c r="AI725" i="30"/>
  <c r="AJ725" i="30"/>
  <c r="AI726" i="30"/>
  <c r="AJ726" i="30"/>
  <c r="AI727" i="30"/>
  <c r="AJ727" i="30"/>
  <c r="AI728" i="30"/>
  <c r="AJ728" i="30"/>
  <c r="AI729" i="30"/>
  <c r="AJ729" i="30"/>
  <c r="AI730" i="30"/>
  <c r="AJ730" i="30"/>
  <c r="AI731" i="30"/>
  <c r="AJ731" i="30"/>
  <c r="AI732" i="30"/>
  <c r="AJ732" i="30"/>
  <c r="AI733" i="30"/>
  <c r="AJ733" i="30"/>
  <c r="AI734" i="30"/>
  <c r="AJ734" i="30"/>
  <c r="AI735" i="30"/>
  <c r="AJ735" i="30"/>
  <c r="AI736" i="30"/>
  <c r="AJ736" i="30"/>
  <c r="AI737" i="30"/>
  <c r="AJ737" i="30"/>
  <c r="AI738" i="30"/>
  <c r="AJ738" i="30"/>
  <c r="AI739" i="30"/>
  <c r="AJ739" i="30"/>
  <c r="AI740" i="30"/>
  <c r="AJ740" i="30"/>
  <c r="AI741" i="30"/>
  <c r="AJ741" i="30"/>
  <c r="AI742" i="30"/>
  <c r="AJ742" i="30"/>
  <c r="AI743" i="30"/>
  <c r="AJ743" i="30"/>
  <c r="AI744" i="30"/>
  <c r="AJ744" i="30"/>
  <c r="AI745" i="30"/>
  <c r="AJ745" i="30"/>
  <c r="AI746" i="30"/>
  <c r="AJ746" i="30"/>
  <c r="AI747" i="30"/>
  <c r="AJ747" i="30"/>
  <c r="AI748" i="30"/>
  <c r="AJ748" i="30"/>
  <c r="AI749" i="30"/>
  <c r="AJ749" i="30"/>
  <c r="AI750" i="30"/>
  <c r="AJ750" i="30"/>
  <c r="AI751" i="30"/>
  <c r="AJ751" i="30"/>
  <c r="AI752" i="30"/>
  <c r="AJ752" i="30"/>
  <c r="AI753" i="30"/>
  <c r="AJ753" i="30"/>
  <c r="AI754" i="30"/>
  <c r="AJ754" i="30"/>
  <c r="AI755" i="30"/>
  <c r="AJ755" i="30"/>
  <c r="AI756" i="30"/>
  <c r="AJ756" i="30"/>
  <c r="AI757" i="30"/>
  <c r="AJ757" i="30"/>
  <c r="AI758" i="30"/>
  <c r="AJ758" i="30"/>
  <c r="AI759" i="30"/>
  <c r="AJ759" i="30"/>
  <c r="AI760" i="30"/>
  <c r="AJ760" i="30"/>
  <c r="AI761" i="30"/>
  <c r="AJ761" i="30"/>
  <c r="AI762" i="30"/>
  <c r="AJ762" i="30"/>
  <c r="AI763" i="30"/>
  <c r="AJ763" i="30"/>
  <c r="AI764" i="30"/>
  <c r="AJ764" i="30"/>
  <c r="AI765" i="30"/>
  <c r="AJ765" i="30"/>
  <c r="AI766" i="30"/>
  <c r="AJ766" i="30"/>
  <c r="AI767" i="30"/>
  <c r="AJ767" i="30"/>
  <c r="AI768" i="30"/>
  <c r="AJ768" i="30"/>
  <c r="AI769" i="30"/>
  <c r="AJ769" i="30"/>
  <c r="AI770" i="30"/>
  <c r="AJ770" i="30"/>
  <c r="AI771" i="30"/>
  <c r="AJ771" i="30"/>
  <c r="AI772" i="30"/>
  <c r="AJ772" i="30"/>
  <c r="AI773" i="30"/>
  <c r="AJ773" i="30"/>
  <c r="AI774" i="30"/>
  <c r="AJ774" i="30"/>
  <c r="AI775" i="30"/>
  <c r="AJ775" i="30"/>
  <c r="AI776" i="30"/>
  <c r="AJ776" i="30"/>
  <c r="AI777" i="30"/>
  <c r="AJ777" i="30"/>
  <c r="AI778" i="30"/>
  <c r="AJ778" i="30"/>
  <c r="AI779" i="30"/>
  <c r="AJ779" i="30"/>
  <c r="AI780" i="30"/>
  <c r="AJ780" i="30"/>
  <c r="AI781" i="30"/>
  <c r="AJ781" i="30"/>
  <c r="AI782" i="30"/>
  <c r="AJ782" i="30"/>
  <c r="AI783" i="30"/>
  <c r="AJ783" i="30"/>
  <c r="AI784" i="30"/>
  <c r="AJ784" i="30"/>
  <c r="AI785" i="30"/>
  <c r="AJ785" i="30"/>
  <c r="AI786" i="30"/>
  <c r="AJ786" i="30"/>
  <c r="AI787" i="30"/>
  <c r="AJ787" i="30"/>
  <c r="AI788" i="30"/>
  <c r="AJ788" i="30"/>
  <c r="AI789" i="30"/>
  <c r="AJ789" i="30"/>
  <c r="AI790" i="30"/>
  <c r="AJ790" i="30"/>
  <c r="AI791" i="30"/>
  <c r="AJ791" i="30"/>
  <c r="AI792" i="30"/>
  <c r="AJ792" i="30"/>
  <c r="AI793" i="30"/>
  <c r="AJ793" i="30"/>
  <c r="AI794" i="30"/>
  <c r="AJ794" i="30"/>
  <c r="AI795" i="30"/>
  <c r="AJ795" i="30"/>
  <c r="AI796" i="30"/>
  <c r="AJ796" i="30"/>
  <c r="AI797" i="30"/>
  <c r="AJ797" i="30"/>
  <c r="AI798" i="30"/>
  <c r="AJ798" i="30"/>
  <c r="AI799" i="30"/>
  <c r="AJ799" i="30"/>
  <c r="AI800" i="30"/>
  <c r="AJ800" i="30"/>
  <c r="AI801" i="30"/>
  <c r="AJ801" i="30"/>
  <c r="AI802" i="30"/>
  <c r="AJ802" i="30"/>
  <c r="AI803" i="30"/>
  <c r="AJ803" i="30"/>
  <c r="AI804" i="30"/>
  <c r="AJ804" i="30"/>
  <c r="AI805" i="30"/>
  <c r="AJ805" i="30"/>
  <c r="AI806" i="30"/>
  <c r="AJ806" i="30"/>
  <c r="AI807" i="30"/>
  <c r="AJ807" i="30"/>
  <c r="AI808" i="30"/>
  <c r="AJ808" i="30"/>
  <c r="AI809" i="30"/>
  <c r="AJ809" i="30"/>
  <c r="AI810" i="30"/>
  <c r="AJ810" i="30"/>
  <c r="AI811" i="30"/>
  <c r="AJ811" i="30"/>
  <c r="AI812" i="30"/>
  <c r="AJ812" i="30"/>
  <c r="AI813" i="30"/>
  <c r="AJ813" i="30"/>
  <c r="AI814" i="30"/>
  <c r="AJ814" i="30"/>
  <c r="AI815" i="30"/>
  <c r="AJ815" i="30"/>
  <c r="AI816" i="30"/>
  <c r="AJ816" i="30"/>
  <c r="AI817" i="30"/>
  <c r="AJ817" i="30"/>
  <c r="AI818" i="30"/>
  <c r="AJ818" i="30"/>
  <c r="AI819" i="30"/>
  <c r="AJ819" i="30"/>
  <c r="AI820" i="30"/>
  <c r="AJ820" i="30"/>
  <c r="AI821" i="30"/>
  <c r="AJ821" i="30"/>
  <c r="AI822" i="30"/>
  <c r="AJ822" i="30"/>
  <c r="AI823" i="30"/>
  <c r="AJ823" i="30"/>
  <c r="AI824" i="30"/>
  <c r="AJ824" i="30"/>
  <c r="AI825" i="30"/>
  <c r="AJ825" i="30"/>
  <c r="AI826" i="30"/>
  <c r="AJ826" i="30"/>
  <c r="AI827" i="30"/>
  <c r="AJ827" i="30"/>
  <c r="AI828" i="30"/>
  <c r="AJ828" i="30"/>
  <c r="AI829" i="30"/>
  <c r="AJ829" i="30"/>
  <c r="AI830" i="30"/>
  <c r="AJ830" i="30"/>
  <c r="AI831" i="30"/>
  <c r="AJ831" i="30"/>
  <c r="AI832" i="30"/>
  <c r="AJ832" i="30"/>
  <c r="AI833" i="30"/>
  <c r="AJ833" i="30"/>
  <c r="AI834" i="30"/>
  <c r="AJ834" i="30"/>
  <c r="AI835" i="30"/>
  <c r="AJ835" i="30"/>
  <c r="AI836" i="30"/>
  <c r="AJ836" i="30"/>
  <c r="AI837" i="30"/>
  <c r="AJ837" i="30"/>
  <c r="AI838" i="30"/>
  <c r="AJ838" i="30"/>
  <c r="AI839" i="30"/>
  <c r="AJ839" i="30"/>
  <c r="AI840" i="30"/>
  <c r="AJ840" i="30"/>
  <c r="AI841" i="30"/>
  <c r="AJ841" i="30"/>
  <c r="AI842" i="30"/>
  <c r="AJ842" i="30"/>
  <c r="AI843" i="30"/>
  <c r="AJ843" i="30"/>
  <c r="AI844" i="30"/>
  <c r="AJ844" i="30"/>
  <c r="AI845" i="30"/>
  <c r="AJ845" i="30"/>
  <c r="AI846" i="30"/>
  <c r="AJ846" i="30"/>
  <c r="AI847" i="30"/>
  <c r="AJ847" i="30"/>
  <c r="AI848" i="30"/>
  <c r="AJ848" i="30"/>
  <c r="AI849" i="30"/>
  <c r="AJ849" i="30"/>
  <c r="AI850" i="30"/>
  <c r="AJ850" i="30"/>
  <c r="AI851" i="30"/>
  <c r="AJ851" i="30"/>
  <c r="AI852" i="30"/>
  <c r="AJ852" i="30"/>
  <c r="AI853" i="30"/>
  <c r="AJ853" i="30"/>
  <c r="AI854" i="30"/>
  <c r="AJ854" i="30"/>
  <c r="AI855" i="30"/>
  <c r="AJ855" i="30"/>
  <c r="AI856" i="30"/>
  <c r="AJ856" i="30"/>
  <c r="AI857" i="30"/>
  <c r="AJ857" i="30"/>
  <c r="AI858" i="30"/>
  <c r="AJ858" i="30"/>
  <c r="AI859" i="30"/>
  <c r="AJ859" i="30"/>
  <c r="AI860" i="30"/>
  <c r="AJ860" i="30"/>
  <c r="AI861" i="30"/>
  <c r="AJ861" i="30"/>
  <c r="AI862" i="30"/>
  <c r="AJ862" i="30"/>
  <c r="AI863" i="30"/>
  <c r="AJ863" i="30"/>
  <c r="AI864" i="30"/>
  <c r="AJ864" i="30"/>
  <c r="AI865" i="30"/>
  <c r="AJ865" i="30"/>
  <c r="AI866" i="30"/>
  <c r="AJ866" i="30"/>
  <c r="AI867" i="30"/>
  <c r="AJ867" i="30"/>
  <c r="AI868" i="30"/>
  <c r="AJ868" i="30"/>
  <c r="AI869" i="30"/>
  <c r="AJ869" i="30"/>
  <c r="AI870" i="30"/>
  <c r="AJ870" i="30"/>
  <c r="AI871" i="30"/>
  <c r="AJ871" i="30"/>
  <c r="AI872" i="30"/>
  <c r="AJ872" i="30"/>
  <c r="AI873" i="30"/>
  <c r="AJ873" i="30"/>
  <c r="AI874" i="30"/>
  <c r="AJ874" i="30"/>
  <c r="AI875" i="30"/>
  <c r="AJ875" i="30"/>
  <c r="AI876" i="30"/>
  <c r="AJ876" i="30"/>
  <c r="AI877" i="30"/>
  <c r="AJ877" i="30"/>
  <c r="AI878" i="30"/>
  <c r="AJ878" i="30"/>
  <c r="AI879" i="30"/>
  <c r="AJ879" i="30"/>
  <c r="AI880" i="30"/>
  <c r="AJ880" i="30"/>
  <c r="AI881" i="30"/>
  <c r="AJ881" i="30"/>
  <c r="AI882" i="30"/>
  <c r="AJ882" i="30"/>
  <c r="AI883" i="30"/>
  <c r="AJ883" i="30"/>
  <c r="AI884" i="30"/>
  <c r="AJ884" i="30"/>
  <c r="AI885" i="30"/>
  <c r="AJ885" i="30"/>
  <c r="AI886" i="30"/>
  <c r="AJ886" i="30"/>
  <c r="AI887" i="30"/>
  <c r="AJ887" i="30"/>
  <c r="AI888" i="30"/>
  <c r="AJ888" i="30"/>
  <c r="AI889" i="30"/>
  <c r="AJ889" i="30"/>
  <c r="AI890" i="30"/>
  <c r="AJ890" i="30"/>
  <c r="AI891" i="30"/>
  <c r="AJ891" i="30"/>
  <c r="AI892" i="30"/>
  <c r="AJ892" i="30"/>
  <c r="AI893" i="30"/>
  <c r="AJ893" i="30"/>
  <c r="AI894" i="30"/>
  <c r="AJ894" i="30"/>
  <c r="AI895" i="30"/>
  <c r="AJ895" i="30"/>
  <c r="AI896" i="30"/>
  <c r="AJ896" i="30"/>
  <c r="AI897" i="30"/>
  <c r="AJ897" i="30"/>
  <c r="AI898" i="30"/>
  <c r="AJ898" i="30"/>
  <c r="AI899" i="30"/>
  <c r="AJ899" i="30"/>
  <c r="AI900" i="30"/>
  <c r="AJ900" i="30"/>
  <c r="AI901" i="30"/>
  <c r="AJ901" i="30"/>
  <c r="AI902" i="30"/>
  <c r="AJ902" i="30"/>
  <c r="AI903" i="30"/>
  <c r="AJ903" i="30"/>
  <c r="AI904" i="30"/>
  <c r="AJ904" i="30"/>
  <c r="AI905" i="30"/>
  <c r="AJ905" i="30"/>
  <c r="AI906" i="30"/>
  <c r="AJ906" i="30"/>
  <c r="AI907" i="30"/>
  <c r="AJ907" i="30"/>
  <c r="AI908" i="30"/>
  <c r="AJ908" i="30"/>
  <c r="AI909" i="30"/>
  <c r="AJ909" i="30"/>
  <c r="AI910" i="30"/>
  <c r="AJ910" i="30"/>
  <c r="AI911" i="30"/>
  <c r="AJ911" i="30"/>
  <c r="AI912" i="30"/>
  <c r="AJ912" i="30"/>
  <c r="AI913" i="30"/>
  <c r="AJ913" i="30"/>
  <c r="AI914" i="30"/>
  <c r="AJ914" i="30"/>
  <c r="AI915" i="30"/>
  <c r="AJ915" i="30"/>
  <c r="AI916" i="30"/>
  <c r="AJ916" i="30"/>
  <c r="AI917" i="30"/>
  <c r="AJ917" i="30"/>
  <c r="AI918" i="30"/>
  <c r="AJ918" i="30"/>
  <c r="AI919" i="30"/>
  <c r="AJ919" i="30"/>
  <c r="AI920" i="30"/>
  <c r="AJ920" i="30"/>
  <c r="AI921" i="30"/>
  <c r="AJ921" i="30"/>
  <c r="AI922" i="30"/>
  <c r="AJ922" i="30"/>
  <c r="AI923" i="30"/>
  <c r="AJ923" i="30"/>
  <c r="AI924" i="30"/>
  <c r="AJ924" i="30"/>
  <c r="AI925" i="30"/>
  <c r="AJ925" i="30"/>
  <c r="AI926" i="30"/>
  <c r="AJ926" i="30"/>
  <c r="AI927" i="30"/>
  <c r="AJ927" i="30"/>
  <c r="AI928" i="30"/>
  <c r="AJ928" i="30"/>
  <c r="AI929" i="30"/>
  <c r="AJ929" i="30"/>
  <c r="AI930" i="30"/>
  <c r="AJ930" i="30"/>
  <c r="AI931" i="30"/>
  <c r="AJ931" i="30"/>
  <c r="AI932" i="30"/>
  <c r="AJ932" i="30"/>
  <c r="AI933" i="30"/>
  <c r="AJ933" i="30"/>
  <c r="AI934" i="30"/>
  <c r="AJ934" i="30"/>
  <c r="AI935" i="30"/>
  <c r="AJ935" i="30"/>
  <c r="AI936" i="30"/>
  <c r="AJ936" i="30"/>
  <c r="AI937" i="30"/>
  <c r="AJ937" i="30"/>
  <c r="AI938" i="30"/>
  <c r="AJ938" i="30"/>
  <c r="AI939" i="30"/>
  <c r="AJ939" i="30"/>
  <c r="AI940" i="30"/>
  <c r="AJ940" i="30"/>
  <c r="AI941" i="30"/>
  <c r="AJ941" i="30"/>
  <c r="AI942" i="30"/>
  <c r="AJ942" i="30"/>
  <c r="AI943" i="30"/>
  <c r="AJ943" i="30"/>
  <c r="AI944" i="30"/>
  <c r="AJ944" i="30"/>
  <c r="AI945" i="30"/>
  <c r="AJ945" i="30"/>
  <c r="AI946" i="30"/>
  <c r="AJ946" i="30"/>
  <c r="AI947" i="30"/>
  <c r="AJ947" i="30"/>
  <c r="AI948" i="30"/>
  <c r="AJ948" i="30"/>
  <c r="AI949" i="30"/>
  <c r="AJ949" i="30"/>
  <c r="AI950" i="30"/>
  <c r="AJ950" i="30"/>
  <c r="AI951" i="30"/>
  <c r="AJ951" i="30"/>
  <c r="AI952" i="30"/>
  <c r="AJ952" i="30"/>
  <c r="AI953" i="30"/>
  <c r="AJ953" i="30"/>
  <c r="AI954" i="30"/>
  <c r="AJ954" i="30"/>
  <c r="AI955" i="30"/>
  <c r="AJ955" i="30"/>
  <c r="AI956" i="30"/>
  <c r="AJ956" i="30"/>
  <c r="AI957" i="30"/>
  <c r="AJ957" i="30"/>
  <c r="AI958" i="30"/>
  <c r="AJ958" i="30"/>
  <c r="AI959" i="30"/>
  <c r="AJ959" i="30"/>
  <c r="AI960" i="30"/>
  <c r="AJ960" i="30"/>
  <c r="AI961" i="30"/>
  <c r="AJ961" i="30"/>
  <c r="AI962" i="30"/>
  <c r="AJ962" i="30"/>
  <c r="AI963" i="30"/>
  <c r="AJ963" i="30"/>
  <c r="AI964" i="30"/>
  <c r="AJ964" i="30"/>
  <c r="AI965" i="30"/>
  <c r="AJ965" i="30"/>
  <c r="AI966" i="30"/>
  <c r="AJ966" i="30"/>
  <c r="AI967" i="30"/>
  <c r="AJ967" i="30"/>
  <c r="AI968" i="30"/>
  <c r="AJ968" i="30"/>
  <c r="AI969" i="30"/>
  <c r="AJ969" i="30"/>
  <c r="AI970" i="30"/>
  <c r="AJ970" i="30"/>
  <c r="AI971" i="30"/>
  <c r="AJ971" i="30"/>
  <c r="AI972" i="30"/>
  <c r="AJ972" i="30"/>
  <c r="AI973" i="30"/>
  <c r="AJ973" i="30"/>
  <c r="AI974" i="30"/>
  <c r="AJ974" i="30"/>
  <c r="AI975" i="30"/>
  <c r="AJ975" i="30"/>
  <c r="AI976" i="30"/>
  <c r="AJ976" i="30"/>
  <c r="AI977" i="30"/>
  <c r="AJ977" i="30"/>
  <c r="AI978" i="30"/>
  <c r="AJ978" i="30"/>
  <c r="AI979" i="30"/>
  <c r="AJ979" i="30"/>
  <c r="AI980" i="30"/>
  <c r="AJ980" i="30"/>
  <c r="AI981" i="30"/>
  <c r="AJ981" i="30"/>
  <c r="AI982" i="30"/>
  <c r="AJ982" i="30"/>
  <c r="AI983" i="30"/>
  <c r="AJ983" i="30"/>
  <c r="AI984" i="30"/>
  <c r="AJ984" i="30"/>
  <c r="AI985" i="30"/>
  <c r="AJ985" i="30"/>
  <c r="AI986" i="30"/>
  <c r="AJ986" i="30"/>
  <c r="AI987" i="30"/>
  <c r="AJ987" i="30"/>
  <c r="AI988" i="30"/>
  <c r="AJ988" i="30"/>
  <c r="AI989" i="30"/>
  <c r="AJ989" i="30"/>
  <c r="AI990" i="30"/>
  <c r="AJ990" i="30"/>
  <c r="AI991" i="30"/>
  <c r="AJ991" i="30"/>
  <c r="AI992" i="30"/>
  <c r="AJ992" i="30"/>
  <c r="AI993" i="30"/>
  <c r="AJ993" i="30"/>
  <c r="AI994" i="30"/>
  <c r="AJ994" i="30"/>
  <c r="AI995" i="30"/>
  <c r="AJ995" i="30"/>
  <c r="AI996" i="30"/>
  <c r="AJ996" i="30"/>
  <c r="AI997" i="30"/>
  <c r="AJ997" i="30"/>
  <c r="AI998" i="30"/>
  <c r="AJ998" i="30"/>
  <c r="AI999" i="30"/>
  <c r="AJ999" i="30"/>
  <c r="AI1000" i="30"/>
  <c r="AJ1000" i="30"/>
  <c r="AI1001" i="30"/>
  <c r="AJ1001" i="30"/>
  <c r="AI1002" i="30"/>
  <c r="AJ1002" i="30"/>
  <c r="AI1003" i="30"/>
  <c r="AJ1003" i="30"/>
  <c r="AB9" i="30"/>
  <c r="BB69" i="42"/>
  <c r="E29" i="43"/>
  <c r="AS13" i="47"/>
  <c r="AS13" i="46"/>
  <c r="X13" i="50" l="1"/>
  <c r="Y13" i="50" s="1"/>
  <c r="F14" i="50"/>
  <c r="D15" i="50"/>
  <c r="V14" i="50"/>
  <c r="E57" i="43"/>
  <c r="V15" i="50" l="1"/>
  <c r="D16" i="50"/>
  <c r="X14" i="50"/>
  <c r="Y14" i="50" s="1"/>
  <c r="F15" i="50"/>
  <c r="C12" i="44"/>
  <c r="B13" i="55" l="1" a="1"/>
  <c r="B13" i="56" a="1"/>
  <c r="R9" i="52"/>
  <c r="P6" i="52" a="1"/>
  <c r="P6" i="52" s="1"/>
  <c r="X15" i="50"/>
  <c r="Y15" i="50" s="1"/>
  <c r="F16" i="50"/>
  <c r="V16" i="50"/>
  <c r="D17" i="50"/>
  <c r="C9" i="49"/>
  <c r="C5" i="49"/>
  <c r="R18" i="55" l="1"/>
  <c r="R26" i="55"/>
  <c r="R34" i="55"/>
  <c r="R42" i="55"/>
  <c r="R50" i="55"/>
  <c r="R58" i="55"/>
  <c r="R66" i="55"/>
  <c r="R74" i="55"/>
  <c r="R82" i="55"/>
  <c r="R90" i="55"/>
  <c r="R98" i="55"/>
  <c r="P15" i="55"/>
  <c r="P23" i="55"/>
  <c r="P31" i="55"/>
  <c r="P39" i="55"/>
  <c r="P47" i="55"/>
  <c r="P55" i="55"/>
  <c r="P63" i="55"/>
  <c r="P71" i="55"/>
  <c r="P79" i="55"/>
  <c r="P87" i="55"/>
  <c r="P95" i="55"/>
  <c r="P103" i="55"/>
  <c r="N20" i="55"/>
  <c r="N28" i="55"/>
  <c r="N36" i="55"/>
  <c r="N44" i="55"/>
  <c r="N52" i="55"/>
  <c r="N60" i="55"/>
  <c r="N68" i="55"/>
  <c r="N76" i="55"/>
  <c r="N84" i="55"/>
  <c r="N92" i="55"/>
  <c r="N100" i="55"/>
  <c r="L17" i="55"/>
  <c r="L25" i="55"/>
  <c r="L33" i="55"/>
  <c r="L41" i="55"/>
  <c r="L49" i="55"/>
  <c r="L57" i="55"/>
  <c r="L65" i="55"/>
  <c r="L73" i="55"/>
  <c r="L81" i="55"/>
  <c r="L89" i="55"/>
  <c r="L97" i="55"/>
  <c r="H14" i="55"/>
  <c r="H22" i="55"/>
  <c r="H30" i="55"/>
  <c r="H38" i="55"/>
  <c r="H46" i="55"/>
  <c r="H54" i="55"/>
  <c r="H62" i="55"/>
  <c r="H70" i="55"/>
  <c r="H78" i="55"/>
  <c r="H86" i="55"/>
  <c r="H94" i="55"/>
  <c r="H102" i="55"/>
  <c r="F19" i="55"/>
  <c r="F27" i="55"/>
  <c r="F35" i="55"/>
  <c r="F43" i="55"/>
  <c r="F51" i="55"/>
  <c r="F59" i="55"/>
  <c r="F67" i="55"/>
  <c r="F75" i="55"/>
  <c r="F83" i="55"/>
  <c r="F91" i="55"/>
  <c r="F99" i="55"/>
  <c r="H79" i="55"/>
  <c r="H87" i="55"/>
  <c r="H95" i="55"/>
  <c r="H103" i="55"/>
  <c r="F20" i="55"/>
  <c r="R19" i="55"/>
  <c r="R27" i="55"/>
  <c r="R35" i="55"/>
  <c r="R43" i="55"/>
  <c r="R51" i="55"/>
  <c r="R59" i="55"/>
  <c r="R67" i="55"/>
  <c r="R75" i="55"/>
  <c r="R83" i="55"/>
  <c r="R91" i="55"/>
  <c r="R99" i="55"/>
  <c r="P16" i="55"/>
  <c r="P24" i="55"/>
  <c r="P32" i="55"/>
  <c r="P40" i="55"/>
  <c r="P48" i="55"/>
  <c r="P56" i="55"/>
  <c r="P64" i="55"/>
  <c r="P72" i="55"/>
  <c r="P80" i="55"/>
  <c r="P88" i="55"/>
  <c r="P96" i="55"/>
  <c r="N21" i="55"/>
  <c r="N29" i="55"/>
  <c r="N37" i="55"/>
  <c r="N45" i="55"/>
  <c r="N53" i="55"/>
  <c r="N61" i="55"/>
  <c r="N69" i="55"/>
  <c r="N77" i="55"/>
  <c r="N85" i="55"/>
  <c r="N93" i="55"/>
  <c r="N101" i="55"/>
  <c r="L18" i="55"/>
  <c r="L26" i="55"/>
  <c r="L34" i="55"/>
  <c r="L42" i="55"/>
  <c r="L50" i="55"/>
  <c r="L58" i="55"/>
  <c r="L66" i="55"/>
  <c r="L74" i="55"/>
  <c r="L82" i="55"/>
  <c r="L90" i="55"/>
  <c r="L98" i="55"/>
  <c r="H15" i="55"/>
  <c r="H23" i="55"/>
  <c r="H31" i="55"/>
  <c r="H39" i="55"/>
  <c r="H47" i="55"/>
  <c r="H55" i="55"/>
  <c r="H63" i="55"/>
  <c r="H71" i="55"/>
  <c r="R20" i="55"/>
  <c r="R28" i="55"/>
  <c r="R36" i="55"/>
  <c r="R44" i="55"/>
  <c r="R52" i="55"/>
  <c r="R60" i="55"/>
  <c r="R68" i="55"/>
  <c r="R76" i="55"/>
  <c r="R84" i="55"/>
  <c r="R92" i="55"/>
  <c r="R100" i="55"/>
  <c r="P17" i="55"/>
  <c r="P25" i="55"/>
  <c r="P33" i="55"/>
  <c r="P41" i="55"/>
  <c r="P49" i="55"/>
  <c r="P57" i="55"/>
  <c r="P65" i="55"/>
  <c r="P73" i="55"/>
  <c r="P81" i="55"/>
  <c r="P89" i="55"/>
  <c r="P97" i="55"/>
  <c r="N14" i="55"/>
  <c r="N22" i="55"/>
  <c r="N30" i="55"/>
  <c r="N38" i="55"/>
  <c r="N46" i="55"/>
  <c r="N54" i="55"/>
  <c r="N62" i="55"/>
  <c r="N70" i="55"/>
  <c r="N78" i="55"/>
  <c r="N86" i="55"/>
  <c r="N94" i="55"/>
  <c r="N102" i="55"/>
  <c r="L19" i="55"/>
  <c r="L27" i="55"/>
  <c r="L35" i="55"/>
  <c r="L43" i="55"/>
  <c r="L51" i="55"/>
  <c r="L59" i="55"/>
  <c r="L67" i="55"/>
  <c r="L75" i="55"/>
  <c r="L83" i="55"/>
  <c r="L91" i="55"/>
  <c r="L99" i="55"/>
  <c r="H16" i="55"/>
  <c r="H24" i="55"/>
  <c r="H32" i="55"/>
  <c r="H40" i="55"/>
  <c r="H48" i="55"/>
  <c r="H56" i="55"/>
  <c r="H64" i="55"/>
  <c r="H72" i="55"/>
  <c r="H80" i="55"/>
  <c r="H88" i="55"/>
  <c r="H96" i="55"/>
  <c r="F21" i="55"/>
  <c r="F29" i="55"/>
  <c r="F37" i="55"/>
  <c r="F45" i="55"/>
  <c r="F53" i="55"/>
  <c r="F61" i="55"/>
  <c r="F69" i="55"/>
  <c r="F77" i="55"/>
  <c r="F85" i="55"/>
  <c r="F93" i="55"/>
  <c r="F101" i="55"/>
  <c r="R15" i="55"/>
  <c r="R23" i="55"/>
  <c r="R31" i="55"/>
  <c r="R39" i="55"/>
  <c r="R47" i="55"/>
  <c r="R55" i="55"/>
  <c r="R63" i="55"/>
  <c r="R71" i="55"/>
  <c r="R79" i="55"/>
  <c r="R87" i="55"/>
  <c r="R95" i="55"/>
  <c r="R24" i="55"/>
  <c r="R40" i="55"/>
  <c r="R56" i="55"/>
  <c r="R72" i="55"/>
  <c r="R88" i="55"/>
  <c r="R103" i="55"/>
  <c r="P26" i="55"/>
  <c r="P37" i="55"/>
  <c r="P51" i="55"/>
  <c r="P62" i="55"/>
  <c r="P76" i="55"/>
  <c r="P90" i="55"/>
  <c r="P101" i="55"/>
  <c r="N24" i="55"/>
  <c r="N35" i="55"/>
  <c r="N49" i="55"/>
  <c r="N63" i="55"/>
  <c r="N74" i="55"/>
  <c r="N88" i="55"/>
  <c r="N99" i="55"/>
  <c r="L22" i="55"/>
  <c r="L36" i="55"/>
  <c r="L47" i="55"/>
  <c r="L61" i="55"/>
  <c r="L72" i="55"/>
  <c r="L86" i="55"/>
  <c r="L100" i="55"/>
  <c r="H20" i="55"/>
  <c r="H34" i="55"/>
  <c r="H45" i="55"/>
  <c r="H59" i="55"/>
  <c r="H73" i="55"/>
  <c r="H84" i="55"/>
  <c r="H98" i="55"/>
  <c r="F18" i="55"/>
  <c r="F31" i="55"/>
  <c r="F41" i="55"/>
  <c r="F52" i="55"/>
  <c r="F63" i="55"/>
  <c r="F73" i="55"/>
  <c r="AH73" i="55" s="1"/>
  <c r="F84" i="55"/>
  <c r="AH84" i="55" s="1"/>
  <c r="F95" i="55"/>
  <c r="AH95" i="55" s="1"/>
  <c r="F64" i="55"/>
  <c r="AH64" i="55" s="1"/>
  <c r="F96" i="55"/>
  <c r="AH96" i="55" s="1"/>
  <c r="N40" i="55"/>
  <c r="L52" i="55"/>
  <c r="L102" i="55"/>
  <c r="H50" i="55"/>
  <c r="H61" i="55"/>
  <c r="H100" i="55"/>
  <c r="F33" i="55"/>
  <c r="F65" i="55"/>
  <c r="F97" i="55"/>
  <c r="F36" i="55"/>
  <c r="F100" i="55"/>
  <c r="H81" i="55"/>
  <c r="F48" i="55"/>
  <c r="AH48" i="55" s="1"/>
  <c r="F80" i="55"/>
  <c r="AH80" i="55" s="1"/>
  <c r="L70" i="55"/>
  <c r="H82" i="55"/>
  <c r="F60" i="55"/>
  <c r="P50" i="55"/>
  <c r="N73" i="55"/>
  <c r="L60" i="55"/>
  <c r="H44" i="55"/>
  <c r="F40" i="55"/>
  <c r="AH40" i="55" s="1"/>
  <c r="R25" i="55"/>
  <c r="R41" i="55"/>
  <c r="R57" i="55"/>
  <c r="R73" i="55"/>
  <c r="R89" i="55"/>
  <c r="P27" i="55"/>
  <c r="P38" i="55"/>
  <c r="P52" i="55"/>
  <c r="P66" i="55"/>
  <c r="P77" i="55"/>
  <c r="P91" i="55"/>
  <c r="P102" i="55"/>
  <c r="N25" i="55"/>
  <c r="N39" i="55"/>
  <c r="N50" i="55"/>
  <c r="N64" i="55"/>
  <c r="N75" i="55"/>
  <c r="N89" i="55"/>
  <c r="N103" i="55"/>
  <c r="L23" i="55"/>
  <c r="L37" i="55"/>
  <c r="L48" i="55"/>
  <c r="L62" i="55"/>
  <c r="L76" i="55"/>
  <c r="L87" i="55"/>
  <c r="L101" i="55"/>
  <c r="H21" i="55"/>
  <c r="H35" i="55"/>
  <c r="H49" i="55"/>
  <c r="H60" i="55"/>
  <c r="H74" i="55"/>
  <c r="H85" i="55"/>
  <c r="H99" i="55"/>
  <c r="F22" i="55"/>
  <c r="AH22" i="55" s="1"/>
  <c r="F32" i="55"/>
  <c r="AH32" i="55" s="1"/>
  <c r="F42" i="55"/>
  <c r="F54" i="55"/>
  <c r="AH54" i="55" s="1"/>
  <c r="F74" i="55"/>
  <c r="F86" i="55"/>
  <c r="AH86" i="55" s="1"/>
  <c r="N51" i="55"/>
  <c r="L38" i="55"/>
  <c r="L88" i="55"/>
  <c r="H36" i="55"/>
  <c r="H75" i="55"/>
  <c r="F23" i="55"/>
  <c r="AH23" i="55" s="1"/>
  <c r="F55" i="55"/>
  <c r="AH55" i="55" s="1"/>
  <c r="F87" i="55"/>
  <c r="AH87" i="55" s="1"/>
  <c r="F57" i="55"/>
  <c r="H28" i="55"/>
  <c r="H92" i="55"/>
  <c r="F70" i="55"/>
  <c r="AH70" i="55" s="1"/>
  <c r="L84" i="55"/>
  <c r="H93" i="55"/>
  <c r="F71" i="55"/>
  <c r="AH71" i="55" s="1"/>
  <c r="R102" i="55"/>
  <c r="P100" i="55"/>
  <c r="N98" i="55"/>
  <c r="L96" i="55"/>
  <c r="H97" i="55"/>
  <c r="F72" i="55"/>
  <c r="AH72" i="55" s="1"/>
  <c r="R29" i="55"/>
  <c r="R45" i="55"/>
  <c r="R61" i="55"/>
  <c r="R77" i="55"/>
  <c r="R93" i="55"/>
  <c r="P14" i="55"/>
  <c r="P28" i="55"/>
  <c r="P42" i="55"/>
  <c r="P53" i="55"/>
  <c r="P67" i="55"/>
  <c r="P78" i="55"/>
  <c r="P92" i="55"/>
  <c r="N15" i="55"/>
  <c r="N26" i="55"/>
  <c r="N65" i="55"/>
  <c r="N79" i="55"/>
  <c r="N90" i="55"/>
  <c r="L24" i="55"/>
  <c r="L63" i="55"/>
  <c r="L77" i="55"/>
  <c r="H25" i="55"/>
  <c r="H89" i="55"/>
  <c r="F44" i="55"/>
  <c r="F76" i="55"/>
  <c r="F68" i="55"/>
  <c r="H17" i="55"/>
  <c r="F58" i="55"/>
  <c r="H43" i="55"/>
  <c r="F16" i="55"/>
  <c r="AH16" i="55" s="1"/>
  <c r="F81" i="55"/>
  <c r="AH81" i="55" s="1"/>
  <c r="R22" i="55"/>
  <c r="R54" i="55"/>
  <c r="R70" i="55"/>
  <c r="P22" i="55"/>
  <c r="P86" i="55"/>
  <c r="N59" i="55"/>
  <c r="L21" i="55"/>
  <c r="H33" i="55"/>
  <c r="F17" i="55"/>
  <c r="AH17" i="55" s="1"/>
  <c r="F94" i="55"/>
  <c r="R14" i="55"/>
  <c r="R30" i="55"/>
  <c r="R46" i="55"/>
  <c r="R62" i="55"/>
  <c r="R78" i="55"/>
  <c r="R94" i="55"/>
  <c r="P18" i="55"/>
  <c r="P29" i="55"/>
  <c r="P43" i="55"/>
  <c r="P54" i="55"/>
  <c r="P68" i="55"/>
  <c r="P82" i="55"/>
  <c r="P93" i="55"/>
  <c r="N16" i="55"/>
  <c r="N27" i="55"/>
  <c r="N41" i="55"/>
  <c r="N55" i="55"/>
  <c r="N66" i="55"/>
  <c r="N80" i="55"/>
  <c r="N91" i="55"/>
  <c r="L14" i="55"/>
  <c r="L28" i="55"/>
  <c r="L39" i="55"/>
  <c r="L53" i="55"/>
  <c r="L64" i="55"/>
  <c r="L78" i="55"/>
  <c r="L92" i="55"/>
  <c r="L103" i="55"/>
  <c r="H26" i="55"/>
  <c r="H37" i="55"/>
  <c r="H51" i="55"/>
  <c r="H65" i="55"/>
  <c r="H76" i="55"/>
  <c r="H90" i="55"/>
  <c r="H101" i="55"/>
  <c r="F24" i="55"/>
  <c r="F34" i="55"/>
  <c r="F46" i="55"/>
  <c r="AH46" i="55" s="1"/>
  <c r="F56" i="55"/>
  <c r="AH56" i="55" s="1"/>
  <c r="F66" i="55"/>
  <c r="F78" i="55"/>
  <c r="AH78" i="55" s="1"/>
  <c r="F88" i="55"/>
  <c r="F98" i="55"/>
  <c r="AH98" i="55" s="1"/>
  <c r="L93" i="55"/>
  <c r="H41" i="55"/>
  <c r="H66" i="55"/>
  <c r="H91" i="55"/>
  <c r="F25" i="55"/>
  <c r="AH25" i="55" s="1"/>
  <c r="F79" i="55"/>
  <c r="AH79" i="55" s="1"/>
  <c r="H42" i="55"/>
  <c r="F38" i="55"/>
  <c r="AH38" i="55" s="1"/>
  <c r="F102" i="55"/>
  <c r="AH102" i="55" s="1"/>
  <c r="H29" i="55"/>
  <c r="F28" i="55"/>
  <c r="AH28" i="55" s="1"/>
  <c r="F103" i="55"/>
  <c r="AH103" i="55" s="1"/>
  <c r="P36" i="55"/>
  <c r="N34" i="55"/>
  <c r="L46" i="55"/>
  <c r="H58" i="55"/>
  <c r="F50" i="55"/>
  <c r="AH50" i="55" s="1"/>
  <c r="R16" i="55"/>
  <c r="R32" i="55"/>
  <c r="R48" i="55"/>
  <c r="R64" i="55"/>
  <c r="R80" i="55"/>
  <c r="R96" i="55"/>
  <c r="P19" i="55"/>
  <c r="P30" i="55"/>
  <c r="P44" i="55"/>
  <c r="P58" i="55"/>
  <c r="P69" i="55"/>
  <c r="P83" i="55"/>
  <c r="P94" i="55"/>
  <c r="N17" i="55"/>
  <c r="N31" i="55"/>
  <c r="N42" i="55"/>
  <c r="N56" i="55"/>
  <c r="N67" i="55"/>
  <c r="N81" i="55"/>
  <c r="N95" i="55"/>
  <c r="L15" i="55"/>
  <c r="L29" i="55"/>
  <c r="L40" i="55"/>
  <c r="L54" i="55"/>
  <c r="L68" i="55"/>
  <c r="L79" i="55"/>
  <c r="H27" i="55"/>
  <c r="H52" i="55"/>
  <c r="H77" i="55"/>
  <c r="F14" i="55"/>
  <c r="AH14" i="55" s="1"/>
  <c r="F47" i="55"/>
  <c r="AH47" i="55" s="1"/>
  <c r="F89" i="55"/>
  <c r="AH89" i="55" s="1"/>
  <c r="H53" i="55"/>
  <c r="F15" i="55"/>
  <c r="AH15" i="55" s="1"/>
  <c r="H18" i="55"/>
  <c r="F39" i="55"/>
  <c r="AH39" i="55" s="1"/>
  <c r="P75" i="55"/>
  <c r="N87" i="55"/>
  <c r="L85" i="55"/>
  <c r="H83" i="55"/>
  <c r="F82" i="55"/>
  <c r="AH82" i="55" s="1"/>
  <c r="R17" i="55"/>
  <c r="R33" i="55"/>
  <c r="R49" i="55"/>
  <c r="R65" i="55"/>
  <c r="R81" i="55"/>
  <c r="R97" i="55"/>
  <c r="P20" i="55"/>
  <c r="P34" i="55"/>
  <c r="P45" i="55"/>
  <c r="P59" i="55"/>
  <c r="P70" i="55"/>
  <c r="P84" i="55"/>
  <c r="P98" i="55"/>
  <c r="N18" i="55"/>
  <c r="N32" i="55"/>
  <c r="N43" i="55"/>
  <c r="N57" i="55"/>
  <c r="N71" i="55"/>
  <c r="N82" i="55"/>
  <c r="N96" i="55"/>
  <c r="L16" i="55"/>
  <c r="L30" i="55"/>
  <c r="L44" i="55"/>
  <c r="L55" i="55"/>
  <c r="L69" i="55"/>
  <c r="L80" i="55"/>
  <c r="L94" i="55"/>
  <c r="H67" i="55"/>
  <c r="F26" i="55"/>
  <c r="AH26" i="55" s="1"/>
  <c r="F90" i="55"/>
  <c r="AH90" i="55" s="1"/>
  <c r="H57" i="55"/>
  <c r="F92" i="55"/>
  <c r="AH92" i="55" s="1"/>
  <c r="R38" i="55"/>
  <c r="N23" i="55"/>
  <c r="L71" i="55"/>
  <c r="F30" i="55"/>
  <c r="R21" i="55"/>
  <c r="R37" i="55"/>
  <c r="R53" i="55"/>
  <c r="R69" i="55"/>
  <c r="R85" i="55"/>
  <c r="R101" i="55"/>
  <c r="P21" i="55"/>
  <c r="P35" i="55"/>
  <c r="P46" i="55"/>
  <c r="P60" i="55"/>
  <c r="P74" i="55"/>
  <c r="P85" i="55"/>
  <c r="P99" i="55"/>
  <c r="N19" i="55"/>
  <c r="N33" i="55"/>
  <c r="N47" i="55"/>
  <c r="N58" i="55"/>
  <c r="N72" i="55"/>
  <c r="N83" i="55"/>
  <c r="N97" i="55"/>
  <c r="L20" i="55"/>
  <c r="L31" i="55"/>
  <c r="L45" i="55"/>
  <c r="L56" i="55"/>
  <c r="L95" i="55"/>
  <c r="H68" i="55"/>
  <c r="F49" i="55"/>
  <c r="AH49" i="55" s="1"/>
  <c r="R86" i="55"/>
  <c r="P61" i="55"/>
  <c r="N48" i="55"/>
  <c r="L32" i="55"/>
  <c r="H19" i="55"/>
  <c r="H69" i="55"/>
  <c r="F62" i="55"/>
  <c r="AH62" i="55" s="1"/>
  <c r="F41" i="56"/>
  <c r="J31" i="56"/>
  <c r="N26" i="56"/>
  <c r="N24" i="56"/>
  <c r="N32" i="56"/>
  <c r="J53" i="56"/>
  <c r="J34" i="56"/>
  <c r="H19" i="56"/>
  <c r="F36" i="56"/>
  <c r="R19" i="56"/>
  <c r="J14" i="56"/>
  <c r="N25" i="56"/>
  <c r="P14" i="56"/>
  <c r="L19" i="56"/>
  <c r="N36" i="56"/>
  <c r="R97" i="56"/>
  <c r="R89" i="56"/>
  <c r="R81" i="56"/>
  <c r="P101" i="56"/>
  <c r="P93" i="56"/>
  <c r="P85" i="56"/>
  <c r="P77" i="56"/>
  <c r="N97" i="56"/>
  <c r="N89" i="56"/>
  <c r="N81" i="56"/>
  <c r="L101" i="56"/>
  <c r="L93" i="56"/>
  <c r="L85" i="56"/>
  <c r="L77" i="56"/>
  <c r="J96" i="56"/>
  <c r="J88" i="56"/>
  <c r="J80" i="56"/>
  <c r="H100" i="56"/>
  <c r="H92" i="56"/>
  <c r="F102" i="56"/>
  <c r="F91" i="56"/>
  <c r="R72" i="56"/>
  <c r="P73" i="56"/>
  <c r="P65" i="56"/>
  <c r="P57" i="56"/>
  <c r="F76" i="56"/>
  <c r="N68" i="56"/>
  <c r="N60" i="56"/>
  <c r="L74" i="56"/>
  <c r="L66" i="56"/>
  <c r="F89" i="56"/>
  <c r="J70" i="56"/>
  <c r="H71" i="56"/>
  <c r="J67" i="56"/>
  <c r="H55" i="56"/>
  <c r="H47" i="56"/>
  <c r="H64" i="56"/>
  <c r="F52" i="56"/>
  <c r="R63" i="56"/>
  <c r="R51" i="56"/>
  <c r="R43" i="56"/>
  <c r="F60" i="56"/>
  <c r="P51" i="56"/>
  <c r="P43" i="56"/>
  <c r="H65" i="56"/>
  <c r="N52" i="56"/>
  <c r="N44" i="56"/>
  <c r="H84" i="56"/>
  <c r="J52" i="56"/>
  <c r="H36" i="56"/>
  <c r="H28" i="56"/>
  <c r="L50" i="56"/>
  <c r="F37" i="56"/>
  <c r="L49" i="56"/>
  <c r="R37" i="56"/>
  <c r="R29" i="56"/>
  <c r="H42" i="56"/>
  <c r="P32" i="56"/>
  <c r="P24" i="56"/>
  <c r="L54" i="56"/>
  <c r="R64" i="56"/>
  <c r="L35" i="56"/>
  <c r="L27" i="56"/>
  <c r="N15" i="56"/>
  <c r="J24" i="56"/>
  <c r="F32" i="56"/>
  <c r="N31" i="56"/>
  <c r="J26" i="56"/>
  <c r="J33" i="56"/>
  <c r="F15" i="56"/>
  <c r="F35" i="56"/>
  <c r="H20" i="56"/>
  <c r="J37" i="56"/>
  <c r="F14" i="56"/>
  <c r="J15" i="56"/>
  <c r="N27" i="56"/>
  <c r="H14" i="56"/>
  <c r="L20" i="56"/>
  <c r="R39" i="56"/>
  <c r="R96" i="56"/>
  <c r="R88" i="56"/>
  <c r="R80" i="56"/>
  <c r="P100" i="56"/>
  <c r="P92" i="56"/>
  <c r="P84" i="56"/>
  <c r="P76" i="56"/>
  <c r="N96" i="56"/>
  <c r="N88" i="56"/>
  <c r="N80" i="56"/>
  <c r="L100" i="56"/>
  <c r="L92" i="56"/>
  <c r="L84" i="56"/>
  <c r="J103" i="56"/>
  <c r="J95" i="56"/>
  <c r="J87" i="56"/>
  <c r="J79" i="56"/>
  <c r="H99" i="56"/>
  <c r="H91" i="56"/>
  <c r="F101" i="56"/>
  <c r="F87" i="56"/>
  <c r="R71" i="56"/>
  <c r="P72" i="56"/>
  <c r="P64" i="56"/>
  <c r="P56" i="56"/>
  <c r="N75" i="56"/>
  <c r="N67" i="56"/>
  <c r="N59" i="56"/>
  <c r="L73" i="56"/>
  <c r="L65" i="56"/>
  <c r="F79" i="56"/>
  <c r="H85" i="56"/>
  <c r="H70" i="56"/>
  <c r="R66" i="56"/>
  <c r="H54" i="56"/>
  <c r="H46" i="56"/>
  <c r="H62" i="56"/>
  <c r="F51" i="56"/>
  <c r="R61" i="56"/>
  <c r="R50" i="56"/>
  <c r="F90" i="56"/>
  <c r="J59" i="56"/>
  <c r="P50" i="56"/>
  <c r="P42" i="56"/>
  <c r="H63" i="56"/>
  <c r="N51" i="56"/>
  <c r="N43" i="56"/>
  <c r="J69" i="56"/>
  <c r="L51" i="56"/>
  <c r="H35" i="56"/>
  <c r="H27" i="56"/>
  <c r="F48" i="56"/>
  <c r="R67" i="56"/>
  <c r="L47" i="56"/>
  <c r="R36" i="56"/>
  <c r="R28" i="56"/>
  <c r="L41" i="56"/>
  <c r="P31" i="56"/>
  <c r="P23" i="56"/>
  <c r="F49" i="56"/>
  <c r="L57" i="56"/>
  <c r="L34" i="56"/>
  <c r="L26" i="56"/>
  <c r="N16" i="56"/>
  <c r="F26" i="56"/>
  <c r="R16" i="56"/>
  <c r="J32" i="56"/>
  <c r="N30" i="56"/>
  <c r="F34" i="56"/>
  <c r="F20" i="56"/>
  <c r="AH20" i="56" s="1"/>
  <c r="R40" i="56"/>
  <c r="R21" i="56"/>
  <c r="L44" i="56"/>
  <c r="F16" i="56"/>
  <c r="J16" i="56"/>
  <c r="J28" i="56"/>
  <c r="H17" i="56"/>
  <c r="F23" i="56"/>
  <c r="R103" i="56"/>
  <c r="R95" i="56"/>
  <c r="R87" i="56"/>
  <c r="R79" i="56"/>
  <c r="P99" i="56"/>
  <c r="P91" i="56"/>
  <c r="P83" i="56"/>
  <c r="N103" i="56"/>
  <c r="N95" i="56"/>
  <c r="N87" i="56"/>
  <c r="N79" i="56"/>
  <c r="L99" i="56"/>
  <c r="L91" i="56"/>
  <c r="L83" i="56"/>
  <c r="J102" i="56"/>
  <c r="J94" i="56"/>
  <c r="J86" i="56"/>
  <c r="J78" i="56"/>
  <c r="H98" i="56"/>
  <c r="H90" i="56"/>
  <c r="F100" i="56"/>
  <c r="AH100" i="56" s="1"/>
  <c r="F83" i="56"/>
  <c r="R70" i="56"/>
  <c r="P71" i="56"/>
  <c r="P63" i="56"/>
  <c r="P55" i="56"/>
  <c r="N74" i="56"/>
  <c r="N66" i="56"/>
  <c r="N58" i="56"/>
  <c r="L72" i="56"/>
  <c r="L64" i="56"/>
  <c r="H78" i="56"/>
  <c r="F78" i="56"/>
  <c r="H69" i="56"/>
  <c r="J64" i="56"/>
  <c r="H53" i="56"/>
  <c r="H45" i="56"/>
  <c r="L60" i="56"/>
  <c r="F50" i="56"/>
  <c r="H60" i="56"/>
  <c r="R49" i="56"/>
  <c r="F85" i="56"/>
  <c r="AH85" i="56" s="1"/>
  <c r="R58" i="56"/>
  <c r="P49" i="56"/>
  <c r="P41" i="56"/>
  <c r="H61" i="56"/>
  <c r="N50" i="56"/>
  <c r="N42" i="56"/>
  <c r="R68" i="56"/>
  <c r="J48" i="56"/>
  <c r="H34" i="56"/>
  <c r="H26" i="56"/>
  <c r="F46" i="56"/>
  <c r="AH46" i="56" s="1"/>
  <c r="F62" i="56"/>
  <c r="AH62" i="56" s="1"/>
  <c r="L45" i="56"/>
  <c r="R35" i="56"/>
  <c r="R27" i="56"/>
  <c r="H38" i="56"/>
  <c r="P30" i="56"/>
  <c r="P22" i="56"/>
  <c r="F47" i="56"/>
  <c r="AH47" i="56" s="1"/>
  <c r="J54" i="56"/>
  <c r="L33" i="56"/>
  <c r="L25" i="56"/>
  <c r="N17" i="56"/>
  <c r="N29" i="56"/>
  <c r="R20" i="56"/>
  <c r="F33" i="56"/>
  <c r="J40" i="56"/>
  <c r="N21" i="56"/>
  <c r="P17" i="56"/>
  <c r="J25" i="56"/>
  <c r="F57" i="56"/>
  <c r="F17" i="56"/>
  <c r="AH17" i="56" s="1"/>
  <c r="J17" i="56"/>
  <c r="F29" i="56"/>
  <c r="L14" i="56"/>
  <c r="H24" i="56"/>
  <c r="R102" i="56"/>
  <c r="R94" i="56"/>
  <c r="R86" i="56"/>
  <c r="R78" i="56"/>
  <c r="P98" i="56"/>
  <c r="P90" i="56"/>
  <c r="P82" i="56"/>
  <c r="N102" i="56"/>
  <c r="N94" i="56"/>
  <c r="N86" i="56"/>
  <c r="N78" i="56"/>
  <c r="L98" i="56"/>
  <c r="L90" i="56"/>
  <c r="L82" i="56"/>
  <c r="J101" i="56"/>
  <c r="J93" i="56"/>
  <c r="J85" i="56"/>
  <c r="J77" i="56"/>
  <c r="H97" i="56"/>
  <c r="H89" i="56"/>
  <c r="F99" i="56"/>
  <c r="H82" i="56"/>
  <c r="F82" i="56"/>
  <c r="P70" i="56"/>
  <c r="P62" i="56"/>
  <c r="F96" i="56"/>
  <c r="N73" i="56"/>
  <c r="N65" i="56"/>
  <c r="N57" i="56"/>
  <c r="L71" i="56"/>
  <c r="L63" i="56"/>
  <c r="J75" i="56"/>
  <c r="H77" i="56"/>
  <c r="H68" i="56"/>
  <c r="J62" i="56"/>
  <c r="H52" i="56"/>
  <c r="H44" i="56"/>
  <c r="H57" i="56"/>
  <c r="F86" i="56"/>
  <c r="L59" i="56"/>
  <c r="R48" i="56"/>
  <c r="F77" i="56"/>
  <c r="AH77" i="56" s="1"/>
  <c r="F56" i="56"/>
  <c r="P48" i="56"/>
  <c r="P40" i="56"/>
  <c r="H59" i="56"/>
  <c r="N49" i="56"/>
  <c r="N41" i="56"/>
  <c r="F65" i="56"/>
  <c r="J46" i="56"/>
  <c r="H33" i="56"/>
  <c r="H25" i="56"/>
  <c r="F44" i="56"/>
  <c r="AH44" i="56" s="1"/>
  <c r="J60" i="56"/>
  <c r="L43" i="56"/>
  <c r="R34" i="56"/>
  <c r="L55" i="56"/>
  <c r="P37" i="56"/>
  <c r="P29" i="56"/>
  <c r="P21" i="56"/>
  <c r="F45" i="56"/>
  <c r="AH45" i="56" s="1"/>
  <c r="L53" i="56"/>
  <c r="L32" i="56"/>
  <c r="L24" i="56"/>
  <c r="N18" i="56"/>
  <c r="J30" i="56"/>
  <c r="H21" i="56"/>
  <c r="F38" i="56"/>
  <c r="AH38" i="56" s="1"/>
  <c r="J21" i="56"/>
  <c r="L48" i="56"/>
  <c r="R22" i="56"/>
  <c r="P18" i="56"/>
  <c r="J27" i="56"/>
  <c r="R14" i="56"/>
  <c r="F18" i="56"/>
  <c r="J18" i="56"/>
  <c r="N35" i="56"/>
  <c r="L15" i="56"/>
  <c r="R25" i="56"/>
  <c r="R101" i="56"/>
  <c r="R93" i="56"/>
  <c r="R85" i="56"/>
  <c r="R77" i="56"/>
  <c r="P97" i="56"/>
  <c r="P89" i="56"/>
  <c r="P81" i="56"/>
  <c r="N101" i="56"/>
  <c r="N93" i="56"/>
  <c r="N85" i="56"/>
  <c r="N77" i="56"/>
  <c r="L97" i="56"/>
  <c r="L89" i="56"/>
  <c r="L81" i="56"/>
  <c r="J100" i="56"/>
  <c r="J92" i="56"/>
  <c r="J84" i="56"/>
  <c r="J76" i="56"/>
  <c r="H96" i="56"/>
  <c r="H88" i="56"/>
  <c r="F98" i="56"/>
  <c r="L76" i="56"/>
  <c r="H81" i="56"/>
  <c r="P69" i="56"/>
  <c r="P61" i="56"/>
  <c r="F92" i="56"/>
  <c r="AH92" i="56" s="1"/>
  <c r="N72" i="56"/>
  <c r="N64" i="56"/>
  <c r="N56" i="56"/>
  <c r="L70" i="56"/>
  <c r="L62" i="56"/>
  <c r="J74" i="56"/>
  <c r="H75" i="56"/>
  <c r="H67" i="56"/>
  <c r="R60" i="56"/>
  <c r="H51" i="56"/>
  <c r="H43" i="56"/>
  <c r="L56" i="56"/>
  <c r="F72" i="56"/>
  <c r="H56" i="56"/>
  <c r="R47" i="56"/>
  <c r="F74" i="56"/>
  <c r="R55" i="56"/>
  <c r="P47" i="56"/>
  <c r="P39" i="56"/>
  <c r="L58" i="56"/>
  <c r="N48" i="56"/>
  <c r="N40" i="56"/>
  <c r="F63" i="56"/>
  <c r="AH63" i="56" s="1"/>
  <c r="J44" i="56"/>
  <c r="H32" i="56"/>
  <c r="J68" i="56"/>
  <c r="R42" i="56"/>
  <c r="J50" i="56"/>
  <c r="J42" i="56"/>
  <c r="R33" i="56"/>
  <c r="J49" i="56"/>
  <c r="P36" i="56"/>
  <c r="P28" i="56"/>
  <c r="F61" i="56"/>
  <c r="AH61" i="56" s="1"/>
  <c r="F43" i="56"/>
  <c r="AH43" i="56" s="1"/>
  <c r="H41" i="56"/>
  <c r="AH41" i="56" s="1"/>
  <c r="L31" i="56"/>
  <c r="L23" i="56"/>
  <c r="N19" i="56"/>
  <c r="F31" i="56"/>
  <c r="J22" i="56"/>
  <c r="P15" i="56"/>
  <c r="N22" i="56"/>
  <c r="B13" i="56"/>
  <c r="F25" i="56"/>
  <c r="AH25" i="56" s="1"/>
  <c r="P20" i="56"/>
  <c r="F28" i="56"/>
  <c r="AH28" i="56" s="1"/>
  <c r="R15" i="56"/>
  <c r="F19" i="56"/>
  <c r="J19" i="56"/>
  <c r="J36" i="56"/>
  <c r="L16" i="56"/>
  <c r="N28" i="56"/>
  <c r="R100" i="56"/>
  <c r="R92" i="56"/>
  <c r="R84" i="56"/>
  <c r="R76" i="56"/>
  <c r="P96" i="56"/>
  <c r="P88" i="56"/>
  <c r="P80" i="56"/>
  <c r="N100" i="56"/>
  <c r="N92" i="56"/>
  <c r="N84" i="56"/>
  <c r="N76" i="56"/>
  <c r="L96" i="56"/>
  <c r="L88" i="56"/>
  <c r="L80" i="56"/>
  <c r="J99" i="56"/>
  <c r="J91" i="56"/>
  <c r="J83" i="56"/>
  <c r="H103" i="56"/>
  <c r="H95" i="56"/>
  <c r="H87" i="56"/>
  <c r="F84" i="56"/>
  <c r="AH84" i="56" s="1"/>
  <c r="R75" i="56"/>
  <c r="H76" i="56"/>
  <c r="P68" i="56"/>
  <c r="P60" i="56"/>
  <c r="F88" i="56"/>
  <c r="N71" i="56"/>
  <c r="N63" i="56"/>
  <c r="F80" i="56"/>
  <c r="L69" i="56"/>
  <c r="L61" i="56"/>
  <c r="J73" i="56"/>
  <c r="H74" i="56"/>
  <c r="H66" i="56"/>
  <c r="F58" i="56"/>
  <c r="H50" i="56"/>
  <c r="F75" i="56"/>
  <c r="F55" i="56"/>
  <c r="AH55" i="56" s="1"/>
  <c r="F66" i="56"/>
  <c r="R54" i="56"/>
  <c r="R46" i="56"/>
  <c r="J65" i="56"/>
  <c r="P54" i="56"/>
  <c r="P46" i="56"/>
  <c r="P38" i="56"/>
  <c r="N55" i="56"/>
  <c r="N47" i="56"/>
  <c r="N39" i="56"/>
  <c r="F69" i="56"/>
  <c r="AH69" i="56" s="1"/>
  <c r="H40" i="56"/>
  <c r="H31" i="56"/>
  <c r="R62" i="56"/>
  <c r="F40" i="56"/>
  <c r="L42" i="56"/>
  <c r="R41" i="56"/>
  <c r="R32" i="56"/>
  <c r="J47" i="56"/>
  <c r="P35" i="56"/>
  <c r="P27" i="56"/>
  <c r="R57" i="56"/>
  <c r="F42" i="56"/>
  <c r="L40" i="56"/>
  <c r="L30" i="56"/>
  <c r="L22" i="56"/>
  <c r="N20" i="56"/>
  <c r="L46" i="56"/>
  <c r="N23" i="56"/>
  <c r="P16" i="56"/>
  <c r="R23" i="56"/>
  <c r="F21" i="56"/>
  <c r="AH21" i="56" s="1"/>
  <c r="F27" i="56"/>
  <c r="AH27" i="56" s="1"/>
  <c r="J23" i="56"/>
  <c r="N34" i="56"/>
  <c r="R17" i="56"/>
  <c r="H15" i="56"/>
  <c r="J20" i="56"/>
  <c r="N37" i="56"/>
  <c r="L17" i="56"/>
  <c r="J29" i="56"/>
  <c r="R99" i="56"/>
  <c r="R91" i="56"/>
  <c r="R83" i="56"/>
  <c r="P103" i="56"/>
  <c r="P95" i="56"/>
  <c r="P87" i="56"/>
  <c r="P79" i="56"/>
  <c r="N99" i="56"/>
  <c r="N91" i="56"/>
  <c r="N83" i="56"/>
  <c r="L103" i="56"/>
  <c r="L95" i="56"/>
  <c r="L87" i="56"/>
  <c r="L79" i="56"/>
  <c r="J98" i="56"/>
  <c r="J90" i="56"/>
  <c r="J82" i="56"/>
  <c r="H102" i="56"/>
  <c r="H94" i="56"/>
  <c r="H86" i="56"/>
  <c r="H83" i="56"/>
  <c r="R74" i="56"/>
  <c r="P75" i="56"/>
  <c r="P67" i="56"/>
  <c r="P59" i="56"/>
  <c r="F81" i="56"/>
  <c r="N70" i="56"/>
  <c r="N62" i="56"/>
  <c r="H79" i="56"/>
  <c r="L68" i="56"/>
  <c r="F97" i="56"/>
  <c r="AH97" i="56" s="1"/>
  <c r="J72" i="56"/>
  <c r="H73" i="56"/>
  <c r="F70" i="56"/>
  <c r="AH70" i="56" s="1"/>
  <c r="J57" i="56"/>
  <c r="H49" i="56"/>
  <c r="F67" i="56"/>
  <c r="AH67" i="56" s="1"/>
  <c r="F54" i="56"/>
  <c r="AH54" i="56" s="1"/>
  <c r="F64" i="56"/>
  <c r="R53" i="56"/>
  <c r="R45" i="56"/>
  <c r="J63" i="56"/>
  <c r="P53" i="56"/>
  <c r="P45" i="56"/>
  <c r="F71" i="56"/>
  <c r="N54" i="56"/>
  <c r="N46" i="56"/>
  <c r="N38" i="56"/>
  <c r="R59" i="56"/>
  <c r="L39" i="56"/>
  <c r="H30" i="56"/>
  <c r="F59" i="56"/>
  <c r="J39" i="56"/>
  <c r="H39" i="56"/>
  <c r="F39" i="56"/>
  <c r="R31" i="56"/>
  <c r="J45" i="56"/>
  <c r="P34" i="56"/>
  <c r="P26" i="56"/>
  <c r="J56" i="56"/>
  <c r="J41" i="56"/>
  <c r="L37" i="56"/>
  <c r="L29" i="56"/>
  <c r="L21" i="56"/>
  <c r="F22" i="56"/>
  <c r="L52" i="56"/>
  <c r="R24" i="56"/>
  <c r="R18" i="56"/>
  <c r="R82" i="56"/>
  <c r="L102" i="56"/>
  <c r="H93" i="56"/>
  <c r="N69" i="56"/>
  <c r="R56" i="56"/>
  <c r="P52" i="56"/>
  <c r="H29" i="56"/>
  <c r="P25" i="56"/>
  <c r="P19" i="56"/>
  <c r="H16" i="56"/>
  <c r="P102" i="56"/>
  <c r="L94" i="56"/>
  <c r="F103" i="56"/>
  <c r="AH103" i="56" s="1"/>
  <c r="N61" i="56"/>
  <c r="H48" i="56"/>
  <c r="P44" i="56"/>
  <c r="J51" i="56"/>
  <c r="J55" i="56"/>
  <c r="F24" i="56"/>
  <c r="AH24" i="56" s="1"/>
  <c r="P94" i="56"/>
  <c r="L86" i="56"/>
  <c r="F95" i="56"/>
  <c r="L75" i="56"/>
  <c r="J66" i="56"/>
  <c r="R69" i="56"/>
  <c r="R38" i="56"/>
  <c r="F73" i="56"/>
  <c r="R26" i="56"/>
  <c r="J58" i="56"/>
  <c r="P86" i="56"/>
  <c r="L78" i="56"/>
  <c r="R73" i="56"/>
  <c r="L67" i="56"/>
  <c r="F53" i="56"/>
  <c r="N53" i="56"/>
  <c r="L38" i="56"/>
  <c r="L36" i="56"/>
  <c r="H22" i="56"/>
  <c r="L18" i="56"/>
  <c r="P78" i="56"/>
  <c r="J97" i="56"/>
  <c r="P74" i="56"/>
  <c r="F93" i="56"/>
  <c r="AH93" i="56" s="1"/>
  <c r="R65" i="56"/>
  <c r="N45" i="56"/>
  <c r="J38" i="56"/>
  <c r="L28" i="56"/>
  <c r="N33" i="56"/>
  <c r="F30" i="56"/>
  <c r="AH30" i="56" s="1"/>
  <c r="N98" i="56"/>
  <c r="J89" i="56"/>
  <c r="P66" i="56"/>
  <c r="J71" i="56"/>
  <c r="R52" i="56"/>
  <c r="F94" i="56"/>
  <c r="AH94" i="56" s="1"/>
  <c r="R30" i="56"/>
  <c r="N14" i="56"/>
  <c r="R90" i="56"/>
  <c r="J61" i="56"/>
  <c r="H18" i="56"/>
  <c r="R98" i="56"/>
  <c r="N90" i="56"/>
  <c r="J81" i="56"/>
  <c r="P58" i="56"/>
  <c r="H72" i="56"/>
  <c r="R44" i="56"/>
  <c r="H58" i="56"/>
  <c r="J43" i="56"/>
  <c r="H23" i="56"/>
  <c r="J35" i="56"/>
  <c r="H37" i="56"/>
  <c r="N82" i="56"/>
  <c r="H101" i="56"/>
  <c r="H80" i="56"/>
  <c r="F68" i="56"/>
  <c r="P33" i="56"/>
  <c r="B13" i="55"/>
  <c r="R13" i="52" a="1"/>
  <c r="R13" i="52" s="1"/>
  <c r="C24" i="52" a="1"/>
  <c r="C24" i="52" s="1"/>
  <c r="C32" i="52" s="1"/>
  <c r="R19" i="52" a="1"/>
  <c r="R19" i="52" s="1"/>
  <c r="D18" i="50"/>
  <c r="V17" i="50"/>
  <c r="X16" i="50"/>
  <c r="Y16" i="50" s="1"/>
  <c r="F17" i="50"/>
  <c r="AF13" i="47"/>
  <c r="D5" i="59" l="1"/>
  <c r="D6" i="59"/>
  <c r="D11" i="59"/>
  <c r="D4" i="59"/>
  <c r="D10" i="59"/>
  <c r="D9" i="59"/>
  <c r="D8" i="59"/>
  <c r="D7" i="59"/>
  <c r="AH60" i="55"/>
  <c r="AH75" i="56"/>
  <c r="AH71" i="56"/>
  <c r="AH19" i="56"/>
  <c r="AH44" i="55"/>
  <c r="AH41" i="55"/>
  <c r="AH101" i="55"/>
  <c r="AH37" i="55"/>
  <c r="AH67" i="55"/>
  <c r="C28" i="52"/>
  <c r="K19" i="42"/>
  <c r="AH59" i="56"/>
  <c r="AH81" i="56"/>
  <c r="AH24" i="55"/>
  <c r="AH66" i="56"/>
  <c r="AH99" i="56"/>
  <c r="AH88" i="55"/>
  <c r="AH73" i="56"/>
  <c r="AH63" i="55"/>
  <c r="AH53" i="56"/>
  <c r="AH42" i="56"/>
  <c r="AH40" i="56"/>
  <c r="AH65" i="55"/>
  <c r="AH31" i="55"/>
  <c r="AH93" i="55"/>
  <c r="AH29" i="55"/>
  <c r="AH59" i="55"/>
  <c r="AH34" i="55"/>
  <c r="AH33" i="55"/>
  <c r="AH18" i="55"/>
  <c r="AH85" i="55"/>
  <c r="AH21" i="55"/>
  <c r="AH51" i="55"/>
  <c r="AH97" i="55"/>
  <c r="AH95" i="56"/>
  <c r="AH57" i="55"/>
  <c r="AH77" i="55"/>
  <c r="AH43" i="55"/>
  <c r="AH65" i="56"/>
  <c r="P13" i="55"/>
  <c r="H13" i="55"/>
  <c r="N13" i="55"/>
  <c r="F13" i="55"/>
  <c r="R13" i="55"/>
  <c r="L13" i="55"/>
  <c r="AH58" i="55"/>
  <c r="AH69" i="55"/>
  <c r="AH99" i="55"/>
  <c r="AH35" i="55"/>
  <c r="AH74" i="55"/>
  <c r="AH61" i="55"/>
  <c r="AH91" i="55"/>
  <c r="AH27" i="55"/>
  <c r="AH68" i="56"/>
  <c r="AH64" i="56"/>
  <c r="AH98" i="56"/>
  <c r="AH30" i="55"/>
  <c r="AH68" i="55"/>
  <c r="AH100" i="55"/>
  <c r="AH53" i="55"/>
  <c r="AH83" i="55"/>
  <c r="AH19" i="55"/>
  <c r="AH66" i="55"/>
  <c r="AH94" i="55"/>
  <c r="AH76" i="55"/>
  <c r="AH42" i="55"/>
  <c r="AH36" i="55"/>
  <c r="AH52" i="55"/>
  <c r="AH45" i="55"/>
  <c r="AH20" i="55"/>
  <c r="AH75" i="55"/>
  <c r="AH78" i="56"/>
  <c r="AH88" i="56"/>
  <c r="AH22" i="56"/>
  <c r="AH72" i="56"/>
  <c r="AH29" i="56"/>
  <c r="AH33" i="56"/>
  <c r="AH16" i="56"/>
  <c r="F13" i="56"/>
  <c r="H13" i="56"/>
  <c r="R13" i="56"/>
  <c r="P13" i="56"/>
  <c r="N13" i="56"/>
  <c r="L13" i="56"/>
  <c r="J13" i="56"/>
  <c r="AH26" i="56"/>
  <c r="AH90" i="56"/>
  <c r="AH39" i="56"/>
  <c r="AH35" i="56"/>
  <c r="AH89" i="56"/>
  <c r="AH80" i="56"/>
  <c r="AH18" i="56"/>
  <c r="AH56" i="56"/>
  <c r="AH57" i="56"/>
  <c r="AH79" i="56"/>
  <c r="AH15" i="56"/>
  <c r="AH52" i="56"/>
  <c r="AH96" i="56"/>
  <c r="AH23" i="56"/>
  <c r="AH51" i="56"/>
  <c r="AH37" i="56"/>
  <c r="AH91" i="56"/>
  <c r="AH58" i="56"/>
  <c r="AH31" i="56"/>
  <c r="AH74" i="56"/>
  <c r="AH50" i="56"/>
  <c r="AH34" i="56"/>
  <c r="AH87" i="56"/>
  <c r="AH102" i="56"/>
  <c r="AH83" i="56"/>
  <c r="AH49" i="56"/>
  <c r="AH48" i="56"/>
  <c r="AH101" i="56"/>
  <c r="AH86" i="56"/>
  <c r="AH82" i="56"/>
  <c r="AH14" i="56"/>
  <c r="AH32" i="56"/>
  <c r="AH60" i="56"/>
  <c r="AH76" i="56"/>
  <c r="AH36" i="56"/>
  <c r="E67" i="53"/>
  <c r="E26" i="53"/>
  <c r="E81" i="53"/>
  <c r="E39" i="53"/>
  <c r="E89" i="53"/>
  <c r="E72" i="53"/>
  <c r="E57" i="53"/>
  <c r="E29" i="53"/>
  <c r="E51" i="53"/>
  <c r="E17" i="53"/>
  <c r="E11" i="53"/>
  <c r="E61" i="53"/>
  <c r="E50" i="53"/>
  <c r="E12" i="53"/>
  <c r="E82" i="53"/>
  <c r="E38" i="53"/>
  <c r="E83" i="53"/>
  <c r="E47" i="53"/>
  <c r="E64" i="53"/>
  <c r="E16" i="53"/>
  <c r="E24" i="53"/>
  <c r="E40" i="53"/>
  <c r="E63" i="53"/>
  <c r="E59" i="53"/>
  <c r="E21" i="53"/>
  <c r="E76" i="53"/>
  <c r="E18" i="53"/>
  <c r="E36" i="53"/>
  <c r="E84" i="53"/>
  <c r="E44" i="53"/>
  <c r="E60" i="53"/>
  <c r="E75" i="53"/>
  <c r="E85" i="53"/>
  <c r="E42" i="53"/>
  <c r="E34" i="53"/>
  <c r="E43" i="53"/>
  <c r="E30" i="53"/>
  <c r="E32" i="53"/>
  <c r="E90" i="53"/>
  <c r="E86" i="53"/>
  <c r="E25" i="53"/>
  <c r="E58" i="53"/>
  <c r="E70" i="53"/>
  <c r="E74" i="53"/>
  <c r="E65" i="53"/>
  <c r="E68" i="53"/>
  <c r="E79" i="53"/>
  <c r="E23" i="53"/>
  <c r="E33" i="53"/>
  <c r="E56" i="53"/>
  <c r="E35" i="53"/>
  <c r="E88" i="53"/>
  <c r="E53" i="53"/>
  <c r="E87" i="53"/>
  <c r="E71" i="53"/>
  <c r="E49" i="53"/>
  <c r="E15" i="53"/>
  <c r="E27" i="53"/>
  <c r="E31" i="53"/>
  <c r="E91" i="53"/>
  <c r="E66" i="53"/>
  <c r="E48" i="53"/>
  <c r="E37" i="53"/>
  <c r="E62" i="53"/>
  <c r="E54" i="53"/>
  <c r="E55" i="53"/>
  <c r="E80" i="53"/>
  <c r="E52" i="53"/>
  <c r="E28" i="53"/>
  <c r="E69" i="53"/>
  <c r="E13" i="53"/>
  <c r="E78" i="53"/>
  <c r="E22" i="53"/>
  <c r="E45" i="53"/>
  <c r="E20" i="53"/>
  <c r="E46" i="53"/>
  <c r="E73" i="53"/>
  <c r="E77" i="53"/>
  <c r="E19" i="53"/>
  <c r="E14" i="53"/>
  <c r="E41" i="53"/>
  <c r="X17" i="50"/>
  <c r="Y17" i="50" s="1"/>
  <c r="F18" i="50"/>
  <c r="D19" i="50"/>
  <c r="V18" i="50"/>
  <c r="B13" i="47" a="1"/>
  <c r="AF13" i="46"/>
  <c r="H7" i="59" l="1"/>
  <c r="I7" i="59"/>
  <c r="H8" i="59"/>
  <c r="I8" i="59"/>
  <c r="H9" i="59"/>
  <c r="I9" i="59"/>
  <c r="H10" i="59"/>
  <c r="I10" i="59"/>
  <c r="H4" i="59"/>
  <c r="I4" i="59"/>
  <c r="H11" i="59"/>
  <c r="I11" i="59"/>
  <c r="H6" i="59"/>
  <c r="I6" i="59"/>
  <c r="H5" i="59"/>
  <c r="I5" i="59"/>
  <c r="M14" i="53"/>
  <c r="P7" i="54" s="1"/>
  <c r="Q7" i="54" s="1"/>
  <c r="G14" i="53"/>
  <c r="M38" i="53"/>
  <c r="P31" i="54" s="1"/>
  <c r="Q31" i="54" s="1"/>
  <c r="G38" i="53"/>
  <c r="M19" i="53"/>
  <c r="P12" i="54" s="1"/>
  <c r="Q12" i="54" s="1"/>
  <c r="G19" i="53"/>
  <c r="M13" i="53"/>
  <c r="P6" i="54" s="1"/>
  <c r="Q6" i="54" s="1"/>
  <c r="G13" i="53"/>
  <c r="M37" i="53"/>
  <c r="P30" i="54" s="1"/>
  <c r="Q30" i="54" s="1"/>
  <c r="G37" i="53"/>
  <c r="M71" i="53"/>
  <c r="P64" i="54" s="1"/>
  <c r="Q64" i="54" s="1"/>
  <c r="G71" i="53"/>
  <c r="M79" i="53"/>
  <c r="P72" i="54" s="1"/>
  <c r="Q72" i="54" s="1"/>
  <c r="G79" i="53"/>
  <c r="M90" i="53"/>
  <c r="P83" i="54" s="1"/>
  <c r="Q83" i="54" s="1"/>
  <c r="G90" i="53"/>
  <c r="M60" i="53"/>
  <c r="P53" i="54" s="1"/>
  <c r="Q53" i="54" s="1"/>
  <c r="G60" i="53"/>
  <c r="M63" i="53"/>
  <c r="P56" i="54" s="1"/>
  <c r="Q56" i="54" s="1"/>
  <c r="G63" i="53"/>
  <c r="M82" i="53"/>
  <c r="P75" i="54" s="1"/>
  <c r="Q75" i="54" s="1"/>
  <c r="G82" i="53"/>
  <c r="M57" i="53"/>
  <c r="P50" i="54" s="1"/>
  <c r="Q50" i="54" s="1"/>
  <c r="G57" i="53"/>
  <c r="M62" i="53"/>
  <c r="P55" i="54" s="1"/>
  <c r="Q55" i="54" s="1"/>
  <c r="G62" i="53"/>
  <c r="M29" i="53"/>
  <c r="P22" i="54" s="1"/>
  <c r="Q22" i="54" s="1"/>
  <c r="G29" i="53"/>
  <c r="M69" i="53"/>
  <c r="P62" i="54" s="1"/>
  <c r="Q62" i="54" s="1"/>
  <c r="G69" i="53"/>
  <c r="M48" i="53"/>
  <c r="P41" i="54" s="1"/>
  <c r="Q41" i="54" s="1"/>
  <c r="G48" i="53"/>
  <c r="M87" i="53"/>
  <c r="P80" i="54" s="1"/>
  <c r="Q80" i="54" s="1"/>
  <c r="G87" i="53"/>
  <c r="M68" i="53"/>
  <c r="P61" i="54" s="1"/>
  <c r="Q61" i="54" s="1"/>
  <c r="G68" i="53"/>
  <c r="M32" i="53"/>
  <c r="P25" i="54" s="1"/>
  <c r="Q25" i="54" s="1"/>
  <c r="G32" i="53"/>
  <c r="M44" i="53"/>
  <c r="P37" i="54" s="1"/>
  <c r="Q37" i="54" s="1"/>
  <c r="G44" i="53"/>
  <c r="M40" i="53"/>
  <c r="P33" i="54" s="1"/>
  <c r="Q33" i="54" s="1"/>
  <c r="G40" i="53"/>
  <c r="M12" i="53"/>
  <c r="P5" i="54" s="1"/>
  <c r="Q5" i="54" s="1"/>
  <c r="G12" i="53"/>
  <c r="M72" i="53"/>
  <c r="P65" i="54" s="1"/>
  <c r="Q65" i="54" s="1"/>
  <c r="G72" i="53"/>
  <c r="M49" i="53"/>
  <c r="P42" i="54" s="1"/>
  <c r="Q42" i="54" s="1"/>
  <c r="G49" i="53"/>
  <c r="M77" i="53"/>
  <c r="P70" i="54" s="1"/>
  <c r="Q70" i="54" s="1"/>
  <c r="G77" i="53"/>
  <c r="M73" i="53"/>
  <c r="P66" i="54" s="1"/>
  <c r="Q66" i="54" s="1"/>
  <c r="G73" i="53"/>
  <c r="M28" i="53"/>
  <c r="P21" i="54" s="1"/>
  <c r="Q21" i="54" s="1"/>
  <c r="G28" i="53"/>
  <c r="M66" i="53"/>
  <c r="P59" i="54" s="1"/>
  <c r="Q59" i="54" s="1"/>
  <c r="G66" i="53"/>
  <c r="M53" i="53"/>
  <c r="P46" i="54" s="1"/>
  <c r="Q46" i="54" s="1"/>
  <c r="G53" i="53"/>
  <c r="M65" i="53"/>
  <c r="P58" i="54" s="1"/>
  <c r="Q58" i="54" s="1"/>
  <c r="G65" i="53"/>
  <c r="M30" i="53"/>
  <c r="P23" i="54" s="1"/>
  <c r="Q23" i="54" s="1"/>
  <c r="G30" i="53"/>
  <c r="M84" i="53"/>
  <c r="P77" i="54" s="1"/>
  <c r="Q77" i="54" s="1"/>
  <c r="G84" i="53"/>
  <c r="M24" i="53"/>
  <c r="P17" i="54" s="1"/>
  <c r="Q17" i="54" s="1"/>
  <c r="G24" i="53"/>
  <c r="M50" i="53"/>
  <c r="P43" i="54" s="1"/>
  <c r="Q43" i="54" s="1"/>
  <c r="G50" i="53"/>
  <c r="M89" i="53"/>
  <c r="P82" i="54" s="1"/>
  <c r="Q82" i="54" s="1"/>
  <c r="G89" i="53"/>
  <c r="M59" i="53"/>
  <c r="P52" i="54" s="1"/>
  <c r="Q52" i="54" s="1"/>
  <c r="G59" i="53"/>
  <c r="M46" i="53"/>
  <c r="P39" i="54" s="1"/>
  <c r="Q39" i="54" s="1"/>
  <c r="G46" i="53"/>
  <c r="M52" i="53"/>
  <c r="P45" i="54" s="1"/>
  <c r="Q45" i="54" s="1"/>
  <c r="G52" i="53"/>
  <c r="M91" i="53"/>
  <c r="P84" i="54" s="1"/>
  <c r="Q84" i="54" s="1"/>
  <c r="G91" i="53"/>
  <c r="M88" i="53"/>
  <c r="P81" i="54" s="1"/>
  <c r="Q81" i="54" s="1"/>
  <c r="G88" i="53"/>
  <c r="M74" i="53"/>
  <c r="P67" i="54" s="1"/>
  <c r="Q67" i="54" s="1"/>
  <c r="G74" i="53"/>
  <c r="M43" i="53"/>
  <c r="P36" i="54" s="1"/>
  <c r="Q36" i="54" s="1"/>
  <c r="G43" i="53"/>
  <c r="M36" i="53"/>
  <c r="P29" i="54" s="1"/>
  <c r="Q29" i="54" s="1"/>
  <c r="G36" i="53"/>
  <c r="M16" i="53"/>
  <c r="P9" i="54" s="1"/>
  <c r="Q9" i="54" s="1"/>
  <c r="G16" i="53"/>
  <c r="M61" i="53"/>
  <c r="P54" i="54" s="1"/>
  <c r="Q54" i="54" s="1"/>
  <c r="G61" i="53"/>
  <c r="M39" i="53"/>
  <c r="P32" i="54" s="1"/>
  <c r="Q32" i="54" s="1"/>
  <c r="G39" i="53"/>
  <c r="M23" i="53"/>
  <c r="P16" i="54" s="1"/>
  <c r="Q16" i="54" s="1"/>
  <c r="G23" i="53"/>
  <c r="M20" i="53"/>
  <c r="P13" i="54" s="1"/>
  <c r="Q13" i="54" s="1"/>
  <c r="G20" i="53"/>
  <c r="M80" i="53"/>
  <c r="P73" i="54" s="1"/>
  <c r="Q73" i="54" s="1"/>
  <c r="G80" i="53"/>
  <c r="M31" i="53"/>
  <c r="P24" i="54" s="1"/>
  <c r="Q24" i="54" s="1"/>
  <c r="G31" i="53"/>
  <c r="M35" i="53"/>
  <c r="P28" i="54" s="1"/>
  <c r="Q28" i="54" s="1"/>
  <c r="G35" i="53"/>
  <c r="M70" i="53"/>
  <c r="P63" i="54" s="1"/>
  <c r="Q63" i="54" s="1"/>
  <c r="G70" i="53"/>
  <c r="M34" i="53"/>
  <c r="P27" i="54" s="1"/>
  <c r="Q27" i="54" s="1"/>
  <c r="G34" i="53"/>
  <c r="M18" i="53"/>
  <c r="P11" i="54" s="1"/>
  <c r="Q11" i="54" s="1"/>
  <c r="G18" i="53"/>
  <c r="M64" i="53"/>
  <c r="P57" i="54" s="1"/>
  <c r="Q57" i="54" s="1"/>
  <c r="G64" i="53"/>
  <c r="F14" i="53"/>
  <c r="F22" i="53"/>
  <c r="F30" i="53"/>
  <c r="F38" i="53"/>
  <c r="F46" i="53"/>
  <c r="F54" i="53"/>
  <c r="F62" i="53"/>
  <c r="F70" i="53"/>
  <c r="F78" i="53"/>
  <c r="F86" i="53"/>
  <c r="G11" i="53"/>
  <c r="F15" i="53"/>
  <c r="F23" i="53"/>
  <c r="F31" i="53"/>
  <c r="F39" i="53"/>
  <c r="F47" i="53"/>
  <c r="F55" i="53"/>
  <c r="F63" i="53"/>
  <c r="F71" i="53"/>
  <c r="F79" i="53"/>
  <c r="F87" i="53"/>
  <c r="F16" i="53"/>
  <c r="F24" i="53"/>
  <c r="F32" i="53"/>
  <c r="F40" i="53"/>
  <c r="F48" i="53"/>
  <c r="F56" i="53"/>
  <c r="F64" i="53"/>
  <c r="F72" i="53"/>
  <c r="F80" i="53"/>
  <c r="F88" i="53"/>
  <c r="F17" i="53"/>
  <c r="F25" i="53"/>
  <c r="F33" i="53"/>
  <c r="F41" i="53"/>
  <c r="F49" i="53"/>
  <c r="F57" i="53"/>
  <c r="F65" i="53"/>
  <c r="F73" i="53"/>
  <c r="F81" i="53"/>
  <c r="F89" i="53"/>
  <c r="F18" i="53"/>
  <c r="F26" i="53"/>
  <c r="F34" i="53"/>
  <c r="F42" i="53"/>
  <c r="F50" i="53"/>
  <c r="F58" i="53"/>
  <c r="F66" i="53"/>
  <c r="F74" i="53"/>
  <c r="F82" i="53"/>
  <c r="F90" i="53"/>
  <c r="F19" i="53"/>
  <c r="F35" i="53"/>
  <c r="F51" i="53"/>
  <c r="F67" i="53"/>
  <c r="F83" i="53"/>
  <c r="F27" i="53"/>
  <c r="F43" i="53"/>
  <c r="F59" i="53"/>
  <c r="F75" i="53"/>
  <c r="F91" i="53"/>
  <c r="F21" i="53"/>
  <c r="F53" i="53"/>
  <c r="F85" i="53"/>
  <c r="F28" i="53"/>
  <c r="F60" i="53"/>
  <c r="F11" i="53"/>
  <c r="F29" i="53"/>
  <c r="F61" i="53"/>
  <c r="F68" i="53"/>
  <c r="F69" i="53"/>
  <c r="F44" i="53"/>
  <c r="F45" i="53"/>
  <c r="F20" i="53"/>
  <c r="F52" i="53"/>
  <c r="F12" i="53"/>
  <c r="F36" i="53"/>
  <c r="F37" i="53"/>
  <c r="F76" i="53"/>
  <c r="F13" i="53"/>
  <c r="F77" i="53"/>
  <c r="F84" i="53"/>
  <c r="M81" i="53"/>
  <c r="P74" i="54" s="1"/>
  <c r="Q74" i="54" s="1"/>
  <c r="G81" i="53"/>
  <c r="M78" i="53"/>
  <c r="P71" i="54" s="1"/>
  <c r="Q71" i="54" s="1"/>
  <c r="G78" i="53"/>
  <c r="M75" i="53"/>
  <c r="P68" i="54" s="1"/>
  <c r="Q68" i="54" s="1"/>
  <c r="G75" i="53"/>
  <c r="M45" i="53"/>
  <c r="P38" i="54" s="1"/>
  <c r="Q38" i="54" s="1"/>
  <c r="G45" i="53"/>
  <c r="M55" i="53"/>
  <c r="P48" i="54" s="1"/>
  <c r="Q48" i="54" s="1"/>
  <c r="G55" i="53"/>
  <c r="M27" i="53"/>
  <c r="P20" i="54" s="1"/>
  <c r="Q20" i="54" s="1"/>
  <c r="G27" i="53"/>
  <c r="M56" i="53"/>
  <c r="P49" i="54" s="1"/>
  <c r="Q49" i="54" s="1"/>
  <c r="G56" i="53"/>
  <c r="M58" i="53"/>
  <c r="P51" i="54" s="1"/>
  <c r="Q51" i="54" s="1"/>
  <c r="G58" i="53"/>
  <c r="M42" i="53"/>
  <c r="P35" i="54" s="1"/>
  <c r="Q35" i="54" s="1"/>
  <c r="G42" i="53"/>
  <c r="M76" i="53"/>
  <c r="P69" i="54" s="1"/>
  <c r="Q69" i="54" s="1"/>
  <c r="G76" i="53"/>
  <c r="M47" i="53"/>
  <c r="P40" i="54" s="1"/>
  <c r="Q40" i="54" s="1"/>
  <c r="G47" i="53"/>
  <c r="M17" i="53"/>
  <c r="P10" i="54" s="1"/>
  <c r="Q10" i="54" s="1"/>
  <c r="G17" i="53"/>
  <c r="M26" i="53"/>
  <c r="P19" i="54" s="1"/>
  <c r="Q19" i="54" s="1"/>
  <c r="G26" i="53"/>
  <c r="M86" i="53"/>
  <c r="P79" i="54" s="1"/>
  <c r="Q79" i="54" s="1"/>
  <c r="G86" i="53"/>
  <c r="M41" i="53"/>
  <c r="P34" i="54" s="1"/>
  <c r="Q34" i="54" s="1"/>
  <c r="G41" i="53"/>
  <c r="M22" i="53"/>
  <c r="P15" i="54" s="1"/>
  <c r="Q15" i="54" s="1"/>
  <c r="G22" i="53"/>
  <c r="M54" i="53"/>
  <c r="P47" i="54" s="1"/>
  <c r="Q47" i="54" s="1"/>
  <c r="G54" i="53"/>
  <c r="M15" i="53"/>
  <c r="P8" i="54" s="1"/>
  <c r="Q8" i="54" s="1"/>
  <c r="G15" i="53"/>
  <c r="M33" i="53"/>
  <c r="P26" i="54" s="1"/>
  <c r="Q26" i="54" s="1"/>
  <c r="G33" i="53"/>
  <c r="M25" i="53"/>
  <c r="P18" i="54" s="1"/>
  <c r="Q18" i="54" s="1"/>
  <c r="G25" i="53"/>
  <c r="M85" i="53"/>
  <c r="P78" i="54" s="1"/>
  <c r="Q78" i="54" s="1"/>
  <c r="G85" i="53"/>
  <c r="M21" i="53"/>
  <c r="P14" i="54" s="1"/>
  <c r="Q14" i="54" s="1"/>
  <c r="G21" i="53"/>
  <c r="M83" i="53"/>
  <c r="P76" i="54" s="1"/>
  <c r="Q76" i="54" s="1"/>
  <c r="G83" i="53"/>
  <c r="M51" i="53"/>
  <c r="P44" i="54" s="1"/>
  <c r="Q44" i="54" s="1"/>
  <c r="G51" i="53"/>
  <c r="M67" i="53"/>
  <c r="P60" i="54" s="1"/>
  <c r="Q60" i="54" s="1"/>
  <c r="G67" i="53"/>
  <c r="M11" i="53"/>
  <c r="E92" i="53"/>
  <c r="AH13" i="55"/>
  <c r="AB14" i="55"/>
  <c r="AH13" i="56"/>
  <c r="T14" i="56"/>
  <c r="AD14" i="56"/>
  <c r="Z14" i="55"/>
  <c r="V14" i="56"/>
  <c r="AD14" i="55"/>
  <c r="X14" i="56"/>
  <c r="AB14" i="56"/>
  <c r="X14" i="55"/>
  <c r="Z14" i="56"/>
  <c r="I49" i="53"/>
  <c r="K49" i="53"/>
  <c r="I29" i="53"/>
  <c r="K29" i="53"/>
  <c r="K71" i="53"/>
  <c r="I71" i="53"/>
  <c r="I63" i="53"/>
  <c r="K63" i="53"/>
  <c r="K57" i="53"/>
  <c r="I57" i="53"/>
  <c r="K78" i="53"/>
  <c r="I78" i="53"/>
  <c r="I75" i="53"/>
  <c r="K75" i="53"/>
  <c r="I19" i="53"/>
  <c r="K19" i="53"/>
  <c r="K79" i="53"/>
  <c r="I79" i="53"/>
  <c r="K82" i="53"/>
  <c r="I82" i="53"/>
  <c r="K48" i="53"/>
  <c r="I48" i="53"/>
  <c r="I68" i="53"/>
  <c r="K68" i="53"/>
  <c r="I12" i="53"/>
  <c r="K12" i="53"/>
  <c r="I72" i="53"/>
  <c r="K72" i="53"/>
  <c r="K89" i="53"/>
  <c r="I89" i="53"/>
  <c r="I86" i="53"/>
  <c r="K86" i="53"/>
  <c r="K39" i="53"/>
  <c r="I39" i="53"/>
  <c r="K62" i="53"/>
  <c r="I62" i="53"/>
  <c r="I59" i="53"/>
  <c r="K59" i="53"/>
  <c r="K37" i="53"/>
  <c r="I37" i="53"/>
  <c r="I90" i="53"/>
  <c r="K90" i="53"/>
  <c r="K77" i="53"/>
  <c r="I77" i="53"/>
  <c r="K32" i="53"/>
  <c r="I32" i="53"/>
  <c r="K73" i="53"/>
  <c r="I73" i="53"/>
  <c r="K53" i="53"/>
  <c r="I53" i="53"/>
  <c r="I84" i="53"/>
  <c r="K84" i="53"/>
  <c r="I46" i="53"/>
  <c r="K46" i="53"/>
  <c r="K88" i="53"/>
  <c r="I88" i="53"/>
  <c r="I36" i="53"/>
  <c r="K36" i="53"/>
  <c r="I35" i="53"/>
  <c r="K35" i="53"/>
  <c r="K18" i="53"/>
  <c r="I18" i="53"/>
  <c r="I11" i="53"/>
  <c r="K11" i="53"/>
  <c r="K81" i="53"/>
  <c r="I81" i="53"/>
  <c r="I14" i="53"/>
  <c r="K14" i="53"/>
  <c r="K23" i="53"/>
  <c r="I23" i="53"/>
  <c r="K38" i="53"/>
  <c r="I38" i="53"/>
  <c r="K13" i="53"/>
  <c r="I13" i="53"/>
  <c r="I60" i="53"/>
  <c r="K60" i="53"/>
  <c r="K69" i="53"/>
  <c r="I69" i="53"/>
  <c r="I44" i="53"/>
  <c r="K44" i="53"/>
  <c r="I28" i="53"/>
  <c r="K28" i="53"/>
  <c r="I65" i="53"/>
  <c r="K65" i="53"/>
  <c r="I50" i="53"/>
  <c r="K50" i="53"/>
  <c r="K91" i="53"/>
  <c r="I91" i="53"/>
  <c r="K43" i="53"/>
  <c r="I43" i="53"/>
  <c r="K61" i="53"/>
  <c r="I61" i="53"/>
  <c r="K80" i="53"/>
  <c r="I80" i="53"/>
  <c r="K34" i="53"/>
  <c r="I34" i="53"/>
  <c r="K45" i="53"/>
  <c r="I45" i="53"/>
  <c r="I56" i="53"/>
  <c r="K56" i="53"/>
  <c r="I42" i="53"/>
  <c r="K42" i="53"/>
  <c r="I76" i="53"/>
  <c r="K76" i="53"/>
  <c r="K47" i="53"/>
  <c r="I47" i="53"/>
  <c r="I17" i="53"/>
  <c r="K17" i="53"/>
  <c r="I26" i="53"/>
  <c r="K26" i="53"/>
  <c r="K87" i="53"/>
  <c r="I87" i="53"/>
  <c r="K40" i="53"/>
  <c r="I40" i="53"/>
  <c r="K66" i="53"/>
  <c r="I66" i="53"/>
  <c r="I30" i="53"/>
  <c r="K30" i="53"/>
  <c r="K24" i="53"/>
  <c r="I24" i="53"/>
  <c r="I52" i="53"/>
  <c r="K52" i="53"/>
  <c r="K74" i="53"/>
  <c r="I74" i="53"/>
  <c r="K16" i="53"/>
  <c r="I16" i="53"/>
  <c r="I20" i="53"/>
  <c r="K20" i="53"/>
  <c r="K31" i="53"/>
  <c r="I31" i="53"/>
  <c r="I70" i="53"/>
  <c r="K70" i="53"/>
  <c r="I64" i="53"/>
  <c r="K64" i="53"/>
  <c r="I55" i="53"/>
  <c r="K55" i="53"/>
  <c r="K27" i="53"/>
  <c r="I27" i="53"/>
  <c r="K58" i="53"/>
  <c r="I58" i="53"/>
  <c r="K41" i="53"/>
  <c r="I41" i="53"/>
  <c r="K22" i="53"/>
  <c r="I22" i="53"/>
  <c r="I54" i="53"/>
  <c r="K54" i="53"/>
  <c r="I15" i="53"/>
  <c r="K15" i="53"/>
  <c r="K33" i="53"/>
  <c r="I33" i="53"/>
  <c r="K25" i="53"/>
  <c r="I25" i="53"/>
  <c r="K85" i="53"/>
  <c r="I85" i="53"/>
  <c r="K21" i="53"/>
  <c r="I21" i="53"/>
  <c r="K83" i="53"/>
  <c r="I83" i="53"/>
  <c r="I51" i="53"/>
  <c r="K51" i="53"/>
  <c r="I67" i="53"/>
  <c r="K67" i="53"/>
  <c r="D20" i="50"/>
  <c r="V19" i="50"/>
  <c r="X18" i="50"/>
  <c r="Y18" i="50" s="1"/>
  <c r="F19" i="50"/>
  <c r="R71" i="47"/>
  <c r="H82" i="47"/>
  <c r="L35" i="47"/>
  <c r="L19" i="47"/>
  <c r="J73" i="47"/>
  <c r="F34" i="47"/>
  <c r="L17" i="47"/>
  <c r="R63" i="47"/>
  <c r="F33" i="47"/>
  <c r="L15" i="47"/>
  <c r="L59" i="47"/>
  <c r="L29" i="47"/>
  <c r="F14" i="47"/>
  <c r="L27" i="47"/>
  <c r="L47" i="47"/>
  <c r="B13" i="47"/>
  <c r="L21" i="47"/>
  <c r="N37" i="47"/>
  <c r="R53" i="47"/>
  <c r="L25" i="47"/>
  <c r="L23" i="47"/>
  <c r="N36" i="47"/>
  <c r="J82" i="47"/>
  <c r="P21" i="47"/>
  <c r="R29" i="47"/>
  <c r="N15" i="47"/>
  <c r="R17" i="47"/>
  <c r="R25" i="47"/>
  <c r="N49" i="47"/>
  <c r="N35" i="47"/>
  <c r="L24" i="47"/>
  <c r="N17" i="47"/>
  <c r="N20" i="47"/>
  <c r="N28" i="47"/>
  <c r="P91" i="47"/>
  <c r="H19" i="47"/>
  <c r="H27" i="47"/>
  <c r="P55" i="47"/>
  <c r="L91" i="47"/>
  <c r="L75" i="47"/>
  <c r="R98" i="47"/>
  <c r="R90" i="47"/>
  <c r="R82" i="47"/>
  <c r="P98" i="47"/>
  <c r="P90" i="47"/>
  <c r="P82" i="47"/>
  <c r="P74" i="47"/>
  <c r="N100" i="47"/>
  <c r="N92" i="47"/>
  <c r="N84" i="47"/>
  <c r="N76" i="47"/>
  <c r="L100" i="47"/>
  <c r="L84" i="47"/>
  <c r="R97" i="47"/>
  <c r="H102" i="47"/>
  <c r="F82" i="47"/>
  <c r="F68" i="47"/>
  <c r="F60" i="47"/>
  <c r="F52" i="47"/>
  <c r="N87" i="47"/>
  <c r="H92" i="47"/>
  <c r="J71" i="47"/>
  <c r="R62" i="47"/>
  <c r="N95" i="47"/>
  <c r="R72" i="47"/>
  <c r="P62" i="47"/>
  <c r="P54" i="47"/>
  <c r="H90" i="47"/>
  <c r="F69" i="47"/>
  <c r="F61" i="47"/>
  <c r="F53" i="47"/>
  <c r="R83" i="47"/>
  <c r="L70" i="47"/>
  <c r="P81" i="47"/>
  <c r="H58" i="47"/>
  <c r="J47" i="47"/>
  <c r="J39" i="47"/>
  <c r="J31" i="47"/>
  <c r="L63" i="47"/>
  <c r="H47" i="47"/>
  <c r="H39" i="47"/>
  <c r="H31" i="47"/>
  <c r="R56" i="47"/>
  <c r="N44" i="47"/>
  <c r="J68" i="47"/>
  <c r="L44" i="47"/>
  <c r="P99" i="47"/>
  <c r="J56" i="47"/>
  <c r="J44" i="47"/>
  <c r="J36" i="47"/>
  <c r="R87" i="47"/>
  <c r="J54" i="47"/>
  <c r="H44" i="47"/>
  <c r="H36" i="47"/>
  <c r="R14" i="47"/>
  <c r="R22" i="47"/>
  <c r="F35" i="47"/>
  <c r="R55" i="47"/>
  <c r="H14" i="47"/>
  <c r="F21" i="47"/>
  <c r="P20" i="47"/>
  <c r="H22" i="47"/>
  <c r="F30" i="47"/>
  <c r="N21" i="47"/>
  <c r="J18" i="47"/>
  <c r="J26" i="47"/>
  <c r="H54" i="47"/>
  <c r="F44" i="47"/>
  <c r="L26" i="47"/>
  <c r="F26" i="47"/>
  <c r="F29" i="47"/>
  <c r="N23" i="47"/>
  <c r="F16" i="47"/>
  <c r="P15" i="47"/>
  <c r="P23" i="47"/>
  <c r="L31" i="47"/>
  <c r="F24" i="47"/>
  <c r="R19" i="47"/>
  <c r="R27" i="47"/>
  <c r="N19" i="47"/>
  <c r="N47" i="47"/>
  <c r="L28" i="47"/>
  <c r="N14" i="47"/>
  <c r="N22" i="47"/>
  <c r="F39" i="47"/>
  <c r="P59" i="47"/>
  <c r="H21" i="47"/>
  <c r="H29" i="47"/>
  <c r="L103" i="47"/>
  <c r="L87" i="47"/>
  <c r="L71" i="47"/>
  <c r="R96" i="47"/>
  <c r="R88" i="47"/>
  <c r="R80" i="47"/>
  <c r="P96" i="47"/>
  <c r="P88" i="47"/>
  <c r="P80" i="47"/>
  <c r="P72" i="47"/>
  <c r="N98" i="47"/>
  <c r="N90" i="47"/>
  <c r="N82" i="47"/>
  <c r="N74" i="47"/>
  <c r="L96" i="47"/>
  <c r="R103" i="47"/>
  <c r="R95" i="47"/>
  <c r="H94" i="47"/>
  <c r="R78" i="47"/>
  <c r="F66" i="47"/>
  <c r="F58" i="47"/>
  <c r="F50" i="47"/>
  <c r="F84" i="47"/>
  <c r="H88" i="47"/>
  <c r="R68" i="47"/>
  <c r="R60" i="47"/>
  <c r="F88" i="47"/>
  <c r="P68" i="47"/>
  <c r="P60" i="47"/>
  <c r="P52" i="47"/>
  <c r="F78" i="47"/>
  <c r="F67" i="47"/>
  <c r="F59" i="47"/>
  <c r="F51" i="47"/>
  <c r="N79" i="47"/>
  <c r="L66" i="47"/>
  <c r="N71" i="47"/>
  <c r="L55" i="47"/>
  <c r="J45" i="47"/>
  <c r="J37" i="47"/>
  <c r="F96" i="47"/>
  <c r="L57" i="47"/>
  <c r="H45" i="47"/>
  <c r="H37" i="47"/>
  <c r="F74" i="47"/>
  <c r="L51" i="47"/>
  <c r="N42" i="47"/>
  <c r="H66" i="47"/>
  <c r="L40" i="47"/>
  <c r="N77" i="47"/>
  <c r="R52" i="47"/>
  <c r="J42" i="47"/>
  <c r="J34" i="47"/>
  <c r="J77" i="47"/>
  <c r="R50" i="47"/>
  <c r="H42" i="47"/>
  <c r="H34" i="47"/>
  <c r="R16" i="47"/>
  <c r="R24" i="47"/>
  <c r="L37" i="47"/>
  <c r="F18" i="47"/>
  <c r="H16" i="47"/>
  <c r="H24" i="47"/>
  <c r="N32" i="47"/>
  <c r="N25" i="47"/>
  <c r="J20" i="47"/>
  <c r="J28" i="47"/>
  <c r="F22" i="47"/>
  <c r="L14" i="47"/>
  <c r="L43" i="47"/>
  <c r="F15" i="47"/>
  <c r="F23" i="47"/>
  <c r="F40" i="47"/>
  <c r="P14" i="47"/>
  <c r="P22" i="47"/>
  <c r="F37" i="47"/>
  <c r="L101" i="47"/>
  <c r="L85" i="47"/>
  <c r="J103" i="47"/>
  <c r="J95" i="47"/>
  <c r="J87" i="47"/>
  <c r="H103" i="47"/>
  <c r="H95" i="47"/>
  <c r="H87" i="47"/>
  <c r="H79" i="47"/>
  <c r="H71" i="47"/>
  <c r="F97" i="47"/>
  <c r="F89" i="47"/>
  <c r="F81" i="47"/>
  <c r="F73" i="47"/>
  <c r="L94" i="47"/>
  <c r="J102" i="47"/>
  <c r="J94" i="47"/>
  <c r="R89" i="47"/>
  <c r="J75" i="47"/>
  <c r="N65" i="47"/>
  <c r="N57" i="47"/>
  <c r="F102" i="47"/>
  <c r="J80" i="47"/>
  <c r="F86" i="47"/>
  <c r="J67" i="47"/>
  <c r="J59" i="47"/>
  <c r="F80" i="47"/>
  <c r="H67" i="47"/>
  <c r="H59" i="47"/>
  <c r="H51" i="47"/>
  <c r="R77" i="47"/>
  <c r="N66" i="47"/>
  <c r="N58" i="47"/>
  <c r="N50" i="47"/>
  <c r="P77" i="47"/>
  <c r="L64" i="47"/>
  <c r="R65" i="47"/>
  <c r="P53" i="47"/>
  <c r="R44" i="47"/>
  <c r="R36" i="47"/>
  <c r="P85" i="47"/>
  <c r="J55" i="47"/>
  <c r="P44" i="47"/>
  <c r="P36" i="47"/>
  <c r="R69" i="47"/>
  <c r="F49" i="47"/>
  <c r="F41" i="47"/>
  <c r="L56" i="47"/>
  <c r="L38" i="47"/>
  <c r="P75" i="47"/>
  <c r="R49" i="47"/>
  <c r="R41" i="47"/>
  <c r="R33" i="47"/>
  <c r="N75" i="47"/>
  <c r="P49" i="47"/>
  <c r="P41" i="47"/>
  <c r="P33" i="47"/>
  <c r="J17" i="47"/>
  <c r="J25" i="47"/>
  <c r="N38" i="47"/>
  <c r="J51" i="47"/>
  <c r="R47" i="47"/>
  <c r="R31" i="47"/>
  <c r="P47" i="47"/>
  <c r="J27" i="47"/>
  <c r="H20" i="47"/>
  <c r="F20" i="47"/>
  <c r="P17" i="47"/>
  <c r="P25" i="47"/>
  <c r="N33" i="47"/>
  <c r="P73" i="47"/>
  <c r="R21" i="47"/>
  <c r="N30" i="47"/>
  <c r="F28" i="47"/>
  <c r="L16" i="47"/>
  <c r="H52" i="47"/>
  <c r="N16" i="47"/>
  <c r="N24" i="47"/>
  <c r="N43" i="47"/>
  <c r="H15" i="47"/>
  <c r="H23" i="47"/>
  <c r="F38" i="47"/>
  <c r="L99" i="47"/>
  <c r="L83" i="47"/>
  <c r="R102" i="47"/>
  <c r="R94" i="47"/>
  <c r="R86" i="47"/>
  <c r="P102" i="47"/>
  <c r="P94" i="47"/>
  <c r="P86" i="47"/>
  <c r="P78" i="47"/>
  <c r="P70" i="47"/>
  <c r="N96" i="47"/>
  <c r="N88" i="47"/>
  <c r="N80" i="47"/>
  <c r="N72" i="47"/>
  <c r="L92" i="47"/>
  <c r="R101" i="47"/>
  <c r="R93" i="47"/>
  <c r="P87" i="47"/>
  <c r="N73" i="47"/>
  <c r="F64" i="47"/>
  <c r="F56" i="47"/>
  <c r="N97" i="47"/>
  <c r="L78" i="47"/>
  <c r="H80" i="47"/>
  <c r="R66" i="47"/>
  <c r="R58" i="47"/>
  <c r="R79" i="47"/>
  <c r="P66" i="47"/>
  <c r="P58" i="47"/>
  <c r="P50" i="47"/>
  <c r="H76" i="47"/>
  <c r="F65" i="47"/>
  <c r="F57" i="47"/>
  <c r="N101" i="47"/>
  <c r="F76" i="47"/>
  <c r="L62" i="47"/>
  <c r="P63" i="47"/>
  <c r="R51" i="47"/>
  <c r="J43" i="47"/>
  <c r="J35" i="47"/>
  <c r="N81" i="47"/>
  <c r="L53" i="47"/>
  <c r="H43" i="47"/>
  <c r="H35" i="47"/>
  <c r="P67" i="47"/>
  <c r="N48" i="47"/>
  <c r="N40" i="47"/>
  <c r="R54" i="47"/>
  <c r="L36" i="47"/>
  <c r="F72" i="47"/>
  <c r="J48" i="47"/>
  <c r="J40" i="47"/>
  <c r="J32" i="47"/>
  <c r="R73" i="47"/>
  <c r="H48" i="47"/>
  <c r="H40" i="47"/>
  <c r="H32" i="47"/>
  <c r="R18" i="47"/>
  <c r="R26" i="47"/>
  <c r="N39" i="47"/>
  <c r="L34" i="47"/>
  <c r="J70" i="47"/>
  <c r="R39" i="47"/>
  <c r="H70" i="47"/>
  <c r="P39" i="47"/>
  <c r="J19" i="47"/>
  <c r="F42" i="47"/>
  <c r="N34" i="47"/>
  <c r="N27" i="47"/>
  <c r="H18" i="47"/>
  <c r="H26" i="47"/>
  <c r="L41" i="47"/>
  <c r="J14" i="47"/>
  <c r="J22" i="47"/>
  <c r="N31" i="47"/>
  <c r="N29" i="47"/>
  <c r="L18" i="47"/>
  <c r="R57" i="47"/>
  <c r="F17" i="47"/>
  <c r="F25" i="47"/>
  <c r="F48" i="47"/>
  <c r="P16" i="47"/>
  <c r="P24" i="47"/>
  <c r="L39" i="47"/>
  <c r="L97" i="47"/>
  <c r="L81" i="47"/>
  <c r="J101" i="47"/>
  <c r="J93" i="47"/>
  <c r="J85" i="47"/>
  <c r="H101" i="47"/>
  <c r="H93" i="47"/>
  <c r="H85" i="47"/>
  <c r="H77" i="47"/>
  <c r="F103" i="47"/>
  <c r="F95" i="47"/>
  <c r="F87" i="47"/>
  <c r="F79" i="47"/>
  <c r="F71" i="47"/>
  <c r="L90" i="47"/>
  <c r="J100" i="47"/>
  <c r="J92" i="47"/>
  <c r="J86" i="47"/>
  <c r="P71" i="47"/>
  <c r="N63" i="47"/>
  <c r="N55" i="47"/>
  <c r="F94" i="47"/>
  <c r="P103" i="47"/>
  <c r="J78" i="47"/>
  <c r="J65" i="47"/>
  <c r="J57" i="47"/>
  <c r="H78" i="47"/>
  <c r="H65" i="47"/>
  <c r="H57" i="47"/>
  <c r="P101" i="47"/>
  <c r="J74" i="47"/>
  <c r="N64" i="47"/>
  <c r="N56" i="47"/>
  <c r="F98" i="47"/>
  <c r="R75" i="47"/>
  <c r="L60" i="47"/>
  <c r="J62" i="47"/>
  <c r="H50" i="47"/>
  <c r="R42" i="47"/>
  <c r="R34" i="47"/>
  <c r="R67" i="47"/>
  <c r="P51" i="47"/>
  <c r="P42" i="47"/>
  <c r="P34" i="47"/>
  <c r="J66" i="47"/>
  <c r="F47" i="47"/>
  <c r="J84" i="47"/>
  <c r="P31" i="47"/>
  <c r="F31" i="47"/>
  <c r="P19" i="47"/>
  <c r="P27" i="47"/>
  <c r="L49" i="47"/>
  <c r="R15" i="47"/>
  <c r="R23" i="47"/>
  <c r="N41" i="47"/>
  <c r="F32" i="47"/>
  <c r="L20" i="47"/>
  <c r="P61" i="47"/>
  <c r="N18" i="47"/>
  <c r="N26" i="47"/>
  <c r="J52" i="47"/>
  <c r="H17" i="47"/>
  <c r="H25" i="47"/>
  <c r="L45" i="47"/>
  <c r="L95" i="47"/>
  <c r="L79" i="47"/>
  <c r="R100" i="47"/>
  <c r="R92" i="47"/>
  <c r="R84" i="47"/>
  <c r="P100" i="47"/>
  <c r="P92" i="47"/>
  <c r="P84" i="47"/>
  <c r="P76" i="47"/>
  <c r="N102" i="47"/>
  <c r="N94" i="47"/>
  <c r="N86" i="47"/>
  <c r="N78" i="47"/>
  <c r="N70" i="47"/>
  <c r="L88" i="47"/>
  <c r="R99" i="47"/>
  <c r="R91" i="47"/>
  <c r="N85" i="47"/>
  <c r="F70" i="47"/>
  <c r="F62" i="47"/>
  <c r="F54" i="47"/>
  <c r="P89" i="47"/>
  <c r="H100" i="47"/>
  <c r="L76" i="47"/>
  <c r="R64" i="47"/>
  <c r="N103" i="47"/>
  <c r="J76" i="47"/>
  <c r="P64" i="47"/>
  <c r="P56" i="47"/>
  <c r="H98" i="47"/>
  <c r="L72" i="47"/>
  <c r="F63" i="47"/>
  <c r="F55" i="47"/>
  <c r="N93" i="47"/>
  <c r="H74" i="47"/>
  <c r="H96" i="47"/>
  <c r="L61" i="47"/>
  <c r="J49" i="47"/>
  <c r="J41" i="47"/>
  <c r="J33" i="47"/>
  <c r="P65" i="47"/>
  <c r="H49" i="47"/>
  <c r="H41" i="47"/>
  <c r="H33" i="47"/>
  <c r="L65" i="47"/>
  <c r="N46" i="47"/>
  <c r="H72" i="47"/>
  <c r="L48" i="47"/>
  <c r="L32" i="47"/>
  <c r="L69" i="47"/>
  <c r="J46" i="47"/>
  <c r="J38" i="47"/>
  <c r="J30" i="47"/>
  <c r="R59" i="47"/>
  <c r="H46" i="47"/>
  <c r="H38" i="47"/>
  <c r="H30" i="47"/>
  <c r="R20" i="47"/>
  <c r="R28" i="47"/>
  <c r="N45" i="47"/>
  <c r="L33" i="47"/>
  <c r="P28" i="47"/>
  <c r="J97" i="47"/>
  <c r="H89" i="47"/>
  <c r="F91" i="47"/>
  <c r="L82" i="47"/>
  <c r="N67" i="47"/>
  <c r="N89" i="47"/>
  <c r="H69" i="47"/>
  <c r="N68" i="47"/>
  <c r="L68" i="47"/>
  <c r="R38" i="47"/>
  <c r="P38" i="47"/>
  <c r="L67" i="47"/>
  <c r="R43" i="47"/>
  <c r="P43" i="47"/>
  <c r="F36" i="47"/>
  <c r="J91" i="47"/>
  <c r="H83" i="47"/>
  <c r="F85" i="47"/>
  <c r="J98" i="47"/>
  <c r="N61" i="47"/>
  <c r="R74" i="47"/>
  <c r="H63" i="47"/>
  <c r="N62" i="47"/>
  <c r="R85" i="47"/>
  <c r="R32" i="47"/>
  <c r="P32" i="47"/>
  <c r="L46" i="47"/>
  <c r="R37" i="47"/>
  <c r="P37" i="47"/>
  <c r="L50" i="47"/>
  <c r="N91" i="47"/>
  <c r="J58" i="47"/>
  <c r="J89" i="47"/>
  <c r="H81" i="47"/>
  <c r="F83" i="47"/>
  <c r="J96" i="47"/>
  <c r="N59" i="47"/>
  <c r="J69" i="47"/>
  <c r="H61" i="47"/>
  <c r="N60" i="47"/>
  <c r="R76" i="47"/>
  <c r="R30" i="47"/>
  <c r="P30" i="47"/>
  <c r="R35" i="47"/>
  <c r="P35" i="47"/>
  <c r="L58" i="47"/>
  <c r="P57" i="47"/>
  <c r="P83" i="47"/>
  <c r="F100" i="47"/>
  <c r="R48" i="47"/>
  <c r="F45" i="47"/>
  <c r="J21" i="47"/>
  <c r="H86" i="47"/>
  <c r="R46" i="47"/>
  <c r="L52" i="47"/>
  <c r="N69" i="47"/>
  <c r="P69" i="47"/>
  <c r="L22" i="47"/>
  <c r="J50" i="47"/>
  <c r="J99" i="47"/>
  <c r="J72" i="47"/>
  <c r="J29" i="47"/>
  <c r="L42" i="47"/>
  <c r="L86" i="47"/>
  <c r="R40" i="47"/>
  <c r="H28" i="47"/>
  <c r="F19" i="47"/>
  <c r="L93" i="47"/>
  <c r="J83" i="47"/>
  <c r="H75" i="47"/>
  <c r="F77" i="47"/>
  <c r="J90" i="47"/>
  <c r="N53" i="47"/>
  <c r="J63" i="47"/>
  <c r="H55" i="47"/>
  <c r="N54" i="47"/>
  <c r="H60" i="47"/>
  <c r="J64" i="47"/>
  <c r="H64" i="47"/>
  <c r="L30" i="47"/>
  <c r="N99" i="47"/>
  <c r="P29" i="47"/>
  <c r="J79" i="47"/>
  <c r="F27" i="47"/>
  <c r="L89" i="47"/>
  <c r="H73" i="47"/>
  <c r="F75" i="47"/>
  <c r="P97" i="47"/>
  <c r="J61" i="47"/>
  <c r="H53" i="47"/>
  <c r="N52" i="47"/>
  <c r="H62" i="47"/>
  <c r="J53" i="47"/>
  <c r="J15" i="47"/>
  <c r="P93" i="47"/>
  <c r="P48" i="47"/>
  <c r="H68" i="47"/>
  <c r="L98" i="47"/>
  <c r="P79" i="47"/>
  <c r="F43" i="47"/>
  <c r="F46" i="47"/>
  <c r="L74" i="47"/>
  <c r="P45" i="47"/>
  <c r="J60" i="47"/>
  <c r="J81" i="47"/>
  <c r="N51" i="47"/>
  <c r="N83" i="47"/>
  <c r="F92" i="47"/>
  <c r="L54" i="47"/>
  <c r="P26" i="47"/>
  <c r="P95" i="47"/>
  <c r="R45" i="47"/>
  <c r="J16" i="47"/>
  <c r="R61" i="47"/>
  <c r="L77" i="47"/>
  <c r="H99" i="47"/>
  <c r="F101" i="47"/>
  <c r="L102" i="47"/>
  <c r="H84" i="47"/>
  <c r="J88" i="47"/>
  <c r="F90" i="47"/>
  <c r="H56" i="47"/>
  <c r="P46" i="47"/>
  <c r="F93" i="47"/>
  <c r="P40" i="47"/>
  <c r="J24" i="47"/>
  <c r="P18" i="47"/>
  <c r="L73" i="47"/>
  <c r="H97" i="47"/>
  <c r="F99" i="47"/>
  <c r="L80" i="47"/>
  <c r="R81" i="47"/>
  <c r="J23" i="47"/>
  <c r="H91" i="47"/>
  <c r="R70" i="47"/>
  <c r="I12" i="59" l="1"/>
  <c r="H12" i="59"/>
  <c r="L15" i="53"/>
  <c r="L23" i="53"/>
  <c r="L31" i="53"/>
  <c r="L39" i="53"/>
  <c r="L47" i="53"/>
  <c r="L55" i="53"/>
  <c r="L63" i="53"/>
  <c r="L71" i="53"/>
  <c r="L79" i="53"/>
  <c r="L87" i="53"/>
  <c r="L18" i="53"/>
  <c r="L50" i="53"/>
  <c r="L74" i="53"/>
  <c r="L16" i="53"/>
  <c r="L24" i="53"/>
  <c r="L32" i="53"/>
  <c r="L40" i="53"/>
  <c r="L48" i="53"/>
  <c r="L56" i="53"/>
  <c r="L64" i="53"/>
  <c r="L72" i="53"/>
  <c r="L80" i="53"/>
  <c r="L88" i="53"/>
  <c r="L26" i="53"/>
  <c r="L58" i="53"/>
  <c r="L82" i="53"/>
  <c r="L17" i="53"/>
  <c r="L25" i="53"/>
  <c r="L33" i="53"/>
  <c r="L41" i="53"/>
  <c r="L49" i="53"/>
  <c r="L57" i="53"/>
  <c r="L65" i="53"/>
  <c r="L73" i="53"/>
  <c r="L81" i="53"/>
  <c r="L89" i="53"/>
  <c r="L34" i="53"/>
  <c r="L42" i="53"/>
  <c r="L66" i="53"/>
  <c r="L90" i="53"/>
  <c r="L13" i="53"/>
  <c r="L53" i="53"/>
  <c r="L77" i="53"/>
  <c r="L19" i="53"/>
  <c r="L27" i="53"/>
  <c r="L35" i="53"/>
  <c r="L43" i="53"/>
  <c r="L51" i="53"/>
  <c r="L59" i="53"/>
  <c r="L67" i="53"/>
  <c r="L75" i="53"/>
  <c r="L83" i="53"/>
  <c r="L91" i="53"/>
  <c r="L76" i="53"/>
  <c r="L29" i="53"/>
  <c r="L45" i="53"/>
  <c r="L69" i="53"/>
  <c r="L12" i="53"/>
  <c r="L20" i="53"/>
  <c r="L28" i="53"/>
  <c r="L36" i="53"/>
  <c r="L44" i="53"/>
  <c r="L52" i="53"/>
  <c r="L60" i="53"/>
  <c r="L68" i="53"/>
  <c r="L84" i="53"/>
  <c r="L11" i="53"/>
  <c r="L21" i="53"/>
  <c r="L37" i="53"/>
  <c r="L61" i="53"/>
  <c r="L85" i="53"/>
  <c r="L46" i="53"/>
  <c r="L54" i="53"/>
  <c r="L62" i="53"/>
  <c r="L70" i="53"/>
  <c r="L22" i="53"/>
  <c r="L14" i="53"/>
  <c r="L78" i="53"/>
  <c r="L86" i="53"/>
  <c r="L30" i="53"/>
  <c r="L38" i="53"/>
  <c r="N16" i="53"/>
  <c r="N24" i="53"/>
  <c r="N32" i="53"/>
  <c r="N40" i="53"/>
  <c r="N48" i="53"/>
  <c r="N56" i="53"/>
  <c r="N64" i="53"/>
  <c r="N72" i="53"/>
  <c r="N80" i="53"/>
  <c r="N88" i="53"/>
  <c r="N43" i="53"/>
  <c r="N67" i="53"/>
  <c r="N17" i="53"/>
  <c r="N25" i="53"/>
  <c r="N33" i="53"/>
  <c r="N41" i="53"/>
  <c r="N49" i="53"/>
  <c r="N57" i="53"/>
  <c r="N65" i="53"/>
  <c r="N73" i="53"/>
  <c r="N81" i="53"/>
  <c r="N89" i="53"/>
  <c r="N19" i="53"/>
  <c r="N35" i="53"/>
  <c r="N59" i="53"/>
  <c r="N83" i="53"/>
  <c r="N18" i="53"/>
  <c r="N26" i="53"/>
  <c r="N34" i="53"/>
  <c r="N42" i="53"/>
  <c r="N50" i="53"/>
  <c r="N58" i="53"/>
  <c r="N66" i="53"/>
  <c r="N74" i="53"/>
  <c r="N82" i="53"/>
  <c r="N90" i="53"/>
  <c r="N27" i="53"/>
  <c r="N51" i="53"/>
  <c r="N75" i="53"/>
  <c r="N91" i="53"/>
  <c r="N12" i="53"/>
  <c r="N20" i="53"/>
  <c r="N28" i="53"/>
  <c r="N36" i="53"/>
  <c r="N44" i="53"/>
  <c r="N52" i="53"/>
  <c r="N60" i="53"/>
  <c r="N68" i="53"/>
  <c r="N76" i="53"/>
  <c r="N84" i="53"/>
  <c r="N11" i="53"/>
  <c r="N14" i="53"/>
  <c r="N30" i="53"/>
  <c r="N46" i="53"/>
  <c r="N62" i="53"/>
  <c r="N78" i="53"/>
  <c r="N13" i="53"/>
  <c r="N21" i="53"/>
  <c r="N29" i="53"/>
  <c r="N37" i="53"/>
  <c r="N45" i="53"/>
  <c r="N53" i="53"/>
  <c r="N61" i="53"/>
  <c r="N69" i="53"/>
  <c r="N77" i="53"/>
  <c r="N85" i="53"/>
  <c r="N22" i="53"/>
  <c r="N38" i="53"/>
  <c r="N54" i="53"/>
  <c r="N70" i="53"/>
  <c r="N86" i="53"/>
  <c r="N63" i="53"/>
  <c r="N71" i="53"/>
  <c r="N15" i="53"/>
  <c r="N79" i="53"/>
  <c r="N23" i="53"/>
  <c r="N87" i="53"/>
  <c r="N55" i="53"/>
  <c r="N31" i="53"/>
  <c r="N39" i="53"/>
  <c r="N47" i="53"/>
  <c r="J14" i="53"/>
  <c r="J22" i="53"/>
  <c r="J30" i="53"/>
  <c r="J38" i="53"/>
  <c r="J46" i="53"/>
  <c r="J54" i="53"/>
  <c r="J62" i="53"/>
  <c r="J70" i="53"/>
  <c r="J78" i="53"/>
  <c r="J86" i="53"/>
  <c r="J17" i="53"/>
  <c r="J49" i="53"/>
  <c r="J65" i="53"/>
  <c r="J81" i="53"/>
  <c r="J15" i="53"/>
  <c r="J23" i="53"/>
  <c r="J31" i="53"/>
  <c r="J39" i="53"/>
  <c r="J47" i="53"/>
  <c r="J55" i="53"/>
  <c r="J63" i="53"/>
  <c r="J71" i="53"/>
  <c r="J79" i="53"/>
  <c r="J87" i="53"/>
  <c r="J33" i="53"/>
  <c r="J16" i="53"/>
  <c r="J24" i="53"/>
  <c r="J32" i="53"/>
  <c r="J40" i="53"/>
  <c r="J48" i="53"/>
  <c r="J56" i="53"/>
  <c r="J64" i="53"/>
  <c r="J72" i="53"/>
  <c r="J80" i="53"/>
  <c r="J88" i="53"/>
  <c r="J25" i="53"/>
  <c r="J41" i="53"/>
  <c r="J57" i="53"/>
  <c r="J73" i="53"/>
  <c r="J89" i="53"/>
  <c r="J18" i="53"/>
  <c r="J26" i="53"/>
  <c r="J34" i="53"/>
  <c r="J42" i="53"/>
  <c r="J50" i="53"/>
  <c r="J58" i="53"/>
  <c r="J66" i="53"/>
  <c r="J74" i="53"/>
  <c r="J82" i="53"/>
  <c r="J90" i="53"/>
  <c r="J43" i="53"/>
  <c r="J67" i="53"/>
  <c r="J83" i="53"/>
  <c r="J12" i="53"/>
  <c r="J19" i="53"/>
  <c r="J27" i="53"/>
  <c r="J35" i="53"/>
  <c r="J51" i="53"/>
  <c r="J59" i="53"/>
  <c r="J75" i="53"/>
  <c r="J91" i="53"/>
  <c r="J21" i="53"/>
  <c r="J53" i="53"/>
  <c r="J85" i="53"/>
  <c r="J28" i="53"/>
  <c r="J60" i="53"/>
  <c r="J11" i="53"/>
  <c r="J29" i="53"/>
  <c r="J61" i="53"/>
  <c r="J36" i="53"/>
  <c r="J68" i="53"/>
  <c r="J44" i="53"/>
  <c r="J13" i="53"/>
  <c r="J77" i="53"/>
  <c r="J20" i="53"/>
  <c r="J37" i="53"/>
  <c r="J69" i="53"/>
  <c r="J84" i="53"/>
  <c r="J76" i="53"/>
  <c r="J45" i="53"/>
  <c r="J52" i="53"/>
  <c r="H14" i="53"/>
  <c r="H22" i="53"/>
  <c r="H68" i="53"/>
  <c r="H43" i="53"/>
  <c r="H31" i="53"/>
  <c r="H75" i="53"/>
  <c r="H36" i="53"/>
  <c r="H78" i="53"/>
  <c r="H85" i="53"/>
  <c r="H46" i="53"/>
  <c r="H88" i="53"/>
  <c r="H53" i="53"/>
  <c r="H11" i="53"/>
  <c r="H13" i="53"/>
  <c r="H56" i="53"/>
  <c r="H63" i="53"/>
  <c r="H90" i="53"/>
  <c r="H80" i="53"/>
  <c r="H62" i="53"/>
  <c r="H59" i="53"/>
  <c r="H55" i="53"/>
  <c r="H32" i="53"/>
  <c r="H50" i="53"/>
  <c r="H57" i="53"/>
  <c r="H21" i="53"/>
  <c r="H67" i="53"/>
  <c r="H15" i="53"/>
  <c r="H82" i="53"/>
  <c r="H70" i="53"/>
  <c r="H30" i="53"/>
  <c r="H47" i="53"/>
  <c r="H45" i="53"/>
  <c r="H24" i="53"/>
  <c r="H42" i="53"/>
  <c r="H49" i="53"/>
  <c r="H34" i="53"/>
  <c r="H48" i="53"/>
  <c r="H23" i="53"/>
  <c r="H27" i="53"/>
  <c r="H33" i="53"/>
  <c r="H38" i="53"/>
  <c r="H39" i="53"/>
  <c r="H76" i="53"/>
  <c r="H89" i="53"/>
  <c r="H28" i="53"/>
  <c r="H87" i="53"/>
  <c r="H81" i="53"/>
  <c r="H51" i="53"/>
  <c r="H79" i="53"/>
  <c r="H54" i="53"/>
  <c r="H16" i="53"/>
  <c r="H69" i="53"/>
  <c r="H58" i="53"/>
  <c r="H72" i="53"/>
  <c r="H60" i="53"/>
  <c r="H71" i="53"/>
  <c r="H37" i="53"/>
  <c r="H35" i="53"/>
  <c r="H12" i="53"/>
  <c r="H41" i="53"/>
  <c r="H61" i="53"/>
  <c r="H86" i="53"/>
  <c r="H26" i="53"/>
  <c r="H40" i="53"/>
  <c r="H19" i="53"/>
  <c r="H18" i="53"/>
  <c r="H25" i="53"/>
  <c r="H91" i="53"/>
  <c r="H64" i="53"/>
  <c r="H17" i="53"/>
  <c r="H20" i="53"/>
  <c r="H77" i="53"/>
  <c r="H66" i="53"/>
  <c r="H29" i="53"/>
  <c r="H44" i="53"/>
  <c r="H52" i="53"/>
  <c r="H83" i="53"/>
  <c r="H74" i="53"/>
  <c r="H73" i="53"/>
  <c r="H84" i="53"/>
  <c r="H65" i="53"/>
  <c r="I92" i="53"/>
  <c r="G92" i="53"/>
  <c r="K92" i="53"/>
  <c r="P4" i="54"/>
  <c r="Q4" i="54" s="1"/>
  <c r="M92" i="53"/>
  <c r="AB15" i="56"/>
  <c r="AD15" i="56"/>
  <c r="AF14" i="56"/>
  <c r="T15" i="56"/>
  <c r="Z15" i="56"/>
  <c r="V15" i="56"/>
  <c r="X15" i="56"/>
  <c r="AS14" i="56"/>
  <c r="M80" i="54"/>
  <c r="N80" i="54" s="1"/>
  <c r="M27" i="54"/>
  <c r="N27" i="54" s="1"/>
  <c r="M78" i="54"/>
  <c r="N78" i="54" s="1"/>
  <c r="M20" i="54"/>
  <c r="N20" i="54" s="1"/>
  <c r="M65" i="54"/>
  <c r="N65" i="54" s="1"/>
  <c r="M40" i="54"/>
  <c r="N40" i="54" s="1"/>
  <c r="M36" i="54"/>
  <c r="N36" i="54" s="1"/>
  <c r="M6" i="54"/>
  <c r="N6" i="54" s="1"/>
  <c r="M50" i="54"/>
  <c r="N50" i="54" s="1"/>
  <c r="M57" i="54"/>
  <c r="N57" i="54" s="1"/>
  <c r="M35" i="54"/>
  <c r="N35" i="54" s="1"/>
  <c r="M37" i="54"/>
  <c r="N37" i="54" s="1"/>
  <c r="M4" i="54"/>
  <c r="N4" i="54" s="1"/>
  <c r="M39" i="54"/>
  <c r="N39" i="54" s="1"/>
  <c r="M28" i="54"/>
  <c r="N28" i="54" s="1"/>
  <c r="M10" i="54"/>
  <c r="N10" i="54" s="1"/>
  <c r="M43" i="54"/>
  <c r="N43" i="54" s="1"/>
  <c r="M15" i="54"/>
  <c r="N15" i="54" s="1"/>
  <c r="M63" i="54"/>
  <c r="N63" i="54" s="1"/>
  <c r="M66" i="54"/>
  <c r="N66" i="54" s="1"/>
  <c r="M22" i="54"/>
  <c r="N22" i="54" s="1"/>
  <c r="M19" i="54"/>
  <c r="N19" i="54" s="1"/>
  <c r="M67" i="54"/>
  <c r="N67" i="54" s="1"/>
  <c r="M54" i="54"/>
  <c r="N54" i="54" s="1"/>
  <c r="M16" i="54"/>
  <c r="N16" i="54" s="1"/>
  <c r="M81" i="54"/>
  <c r="N81" i="54" s="1"/>
  <c r="M48" i="54"/>
  <c r="N48" i="54" s="1"/>
  <c r="M24" i="54"/>
  <c r="N24" i="54" s="1"/>
  <c r="M33" i="54"/>
  <c r="N33" i="54" s="1"/>
  <c r="M38" i="54"/>
  <c r="N38" i="54" s="1"/>
  <c r="M46" i="54"/>
  <c r="N46" i="54" s="1"/>
  <c r="M32" i="54"/>
  <c r="N32" i="54" s="1"/>
  <c r="M72" i="54"/>
  <c r="N72" i="54" s="1"/>
  <c r="M71" i="54"/>
  <c r="N71" i="54" s="1"/>
  <c r="M62" i="54"/>
  <c r="N62" i="54" s="1"/>
  <c r="M55" i="54"/>
  <c r="N55" i="54" s="1"/>
  <c r="M68" i="54"/>
  <c r="N68" i="54" s="1"/>
  <c r="M44" i="54"/>
  <c r="N44" i="54" s="1"/>
  <c r="M23" i="54"/>
  <c r="N23" i="54" s="1"/>
  <c r="M52" i="54"/>
  <c r="N52" i="54" s="1"/>
  <c r="M79" i="54"/>
  <c r="N79" i="54" s="1"/>
  <c r="M13" i="54"/>
  <c r="N13" i="54" s="1"/>
  <c r="M5" i="54"/>
  <c r="N5" i="54" s="1"/>
  <c r="M12" i="54"/>
  <c r="N12" i="54" s="1"/>
  <c r="M76" i="54"/>
  <c r="N76" i="54" s="1"/>
  <c r="M8" i="54"/>
  <c r="N8" i="54" s="1"/>
  <c r="M34" i="54"/>
  <c r="N34" i="54" s="1"/>
  <c r="M9" i="54"/>
  <c r="N9" i="54" s="1"/>
  <c r="M45" i="54"/>
  <c r="N45" i="54" s="1"/>
  <c r="M59" i="54"/>
  <c r="N59" i="54" s="1"/>
  <c r="M49" i="54"/>
  <c r="N49" i="54" s="1"/>
  <c r="M73" i="54"/>
  <c r="N73" i="54" s="1"/>
  <c r="M58" i="54"/>
  <c r="N58" i="54" s="1"/>
  <c r="M7" i="54"/>
  <c r="N7" i="54" s="1"/>
  <c r="M11" i="54"/>
  <c r="N11" i="54" s="1"/>
  <c r="M29" i="54"/>
  <c r="N29" i="54" s="1"/>
  <c r="M25" i="54"/>
  <c r="N25" i="54" s="1"/>
  <c r="M83" i="54"/>
  <c r="N83" i="54" s="1"/>
  <c r="M82" i="54"/>
  <c r="N82" i="54" s="1"/>
  <c r="M75" i="54"/>
  <c r="N75" i="54" s="1"/>
  <c r="M18" i="54"/>
  <c r="N18" i="54" s="1"/>
  <c r="M17" i="54"/>
  <c r="N17" i="54" s="1"/>
  <c r="M84" i="54"/>
  <c r="N84" i="54" s="1"/>
  <c r="M31" i="54"/>
  <c r="N31" i="54" s="1"/>
  <c r="M74" i="54"/>
  <c r="N74" i="54" s="1"/>
  <c r="M77" i="54"/>
  <c r="N77" i="54" s="1"/>
  <c r="M30" i="54"/>
  <c r="N30" i="54" s="1"/>
  <c r="M69" i="54"/>
  <c r="N69" i="54" s="1"/>
  <c r="M21" i="54"/>
  <c r="N21" i="54" s="1"/>
  <c r="M53" i="54"/>
  <c r="N53" i="54" s="1"/>
  <c r="M61" i="54"/>
  <c r="N61" i="54" s="1"/>
  <c r="M56" i="54"/>
  <c r="N56" i="54" s="1"/>
  <c r="M60" i="54"/>
  <c r="N60" i="54" s="1"/>
  <c r="M14" i="54"/>
  <c r="N14" i="54" s="1"/>
  <c r="M26" i="54"/>
  <c r="N26" i="54" s="1"/>
  <c r="M47" i="54"/>
  <c r="N47" i="54" s="1"/>
  <c r="M51" i="54"/>
  <c r="N51" i="54" s="1"/>
  <c r="M70" i="54"/>
  <c r="N70" i="54" s="1"/>
  <c r="M41" i="54"/>
  <c r="N41" i="54" s="1"/>
  <c r="M64" i="54"/>
  <c r="N64" i="54" s="1"/>
  <c r="M42" i="54"/>
  <c r="N42" i="54" s="1"/>
  <c r="X19" i="50"/>
  <c r="Y19" i="50" s="1"/>
  <c r="F20" i="50"/>
  <c r="D21" i="50"/>
  <c r="V20" i="50"/>
  <c r="H13" i="47"/>
  <c r="F13" i="47"/>
  <c r="R13" i="47"/>
  <c r="P13" i="47"/>
  <c r="N13" i="47"/>
  <c r="L13" i="47"/>
  <c r="X14" i="47" s="1"/>
  <c r="J13" i="47"/>
  <c r="E31" i="43"/>
  <c r="B13" i="46" a="1"/>
  <c r="C42" i="49" l="1"/>
  <c r="C7" i="52" s="1"/>
  <c r="H44" i="59"/>
  <c r="D42" i="49"/>
  <c r="I44" i="59"/>
  <c r="AF15" i="56"/>
  <c r="T16" i="56"/>
  <c r="Z16" i="56"/>
  <c r="X16" i="56"/>
  <c r="V16" i="56"/>
  <c r="AS15" i="56"/>
  <c r="AL103" i="56"/>
  <c r="AL95" i="56"/>
  <c r="AL87" i="56"/>
  <c r="AL79" i="56"/>
  <c r="AL101" i="55"/>
  <c r="AL93" i="55"/>
  <c r="AL85" i="55"/>
  <c r="AL77" i="55"/>
  <c r="AL94" i="56"/>
  <c r="AL86" i="56"/>
  <c r="AL78" i="56"/>
  <c r="AL100" i="55"/>
  <c r="AL84" i="55"/>
  <c r="AL102" i="56"/>
  <c r="AL101" i="56"/>
  <c r="AL93" i="56"/>
  <c r="AL85" i="56"/>
  <c r="AL77" i="56"/>
  <c r="AL99" i="55"/>
  <c r="AL91" i="55"/>
  <c r="AL83" i="55"/>
  <c r="AL75" i="55"/>
  <c r="AL81" i="56"/>
  <c r="AL79" i="55"/>
  <c r="AL102" i="55"/>
  <c r="AL92" i="55"/>
  <c r="AL100" i="56"/>
  <c r="AL92" i="56"/>
  <c r="AL84" i="56"/>
  <c r="AL76" i="56"/>
  <c r="AL98" i="55"/>
  <c r="AL90" i="55"/>
  <c r="AL82" i="55"/>
  <c r="AL74" i="55"/>
  <c r="AL95" i="55"/>
  <c r="AL88" i="56"/>
  <c r="AL86" i="55"/>
  <c r="AL76" i="55"/>
  <c r="AL99" i="56"/>
  <c r="AL91" i="56"/>
  <c r="AL83" i="56"/>
  <c r="AL75" i="56"/>
  <c r="AL97" i="55"/>
  <c r="AL89" i="55"/>
  <c r="AL81" i="55"/>
  <c r="AL97" i="56"/>
  <c r="AL103" i="55"/>
  <c r="AL96" i="56"/>
  <c r="AL94" i="55"/>
  <c r="AL98" i="56"/>
  <c r="AL90" i="56"/>
  <c r="AL82" i="56"/>
  <c r="AL74" i="56"/>
  <c r="AL96" i="55"/>
  <c r="AL88" i="55"/>
  <c r="AL80" i="55"/>
  <c r="AL89" i="56"/>
  <c r="AL87" i="55"/>
  <c r="AL80" i="56"/>
  <c r="AL78" i="55"/>
  <c r="AD16" i="56"/>
  <c r="AB16" i="56"/>
  <c r="V21" i="50"/>
  <c r="D22" i="50"/>
  <c r="X20" i="50"/>
  <c r="Y20" i="50" s="1"/>
  <c r="F21" i="50"/>
  <c r="AL74" i="47"/>
  <c r="AL82" i="47"/>
  <c r="AL90" i="47"/>
  <c r="AL98" i="47"/>
  <c r="AL75" i="46"/>
  <c r="AL83" i="46"/>
  <c r="AL91" i="46"/>
  <c r="AL99" i="46"/>
  <c r="AL80" i="46"/>
  <c r="AL88" i="46"/>
  <c r="AL96" i="47"/>
  <c r="AL97" i="47"/>
  <c r="AL75" i="47"/>
  <c r="AL83" i="47"/>
  <c r="AL91" i="47"/>
  <c r="AL99" i="47"/>
  <c r="AL76" i="46"/>
  <c r="AL84" i="46"/>
  <c r="AL92" i="46"/>
  <c r="AL100" i="46"/>
  <c r="AL95" i="47"/>
  <c r="AL80" i="47"/>
  <c r="AL89" i="47"/>
  <c r="AL98" i="46"/>
  <c r="AL76" i="47"/>
  <c r="AL84" i="47"/>
  <c r="AL92" i="47"/>
  <c r="AL100" i="47"/>
  <c r="AL77" i="46"/>
  <c r="AL85" i="46"/>
  <c r="AL93" i="46"/>
  <c r="AL101" i="46"/>
  <c r="AL103" i="47"/>
  <c r="AL88" i="47"/>
  <c r="AL97" i="46"/>
  <c r="AL82" i="46"/>
  <c r="AL77" i="47"/>
  <c r="AL85" i="47"/>
  <c r="AL93" i="47"/>
  <c r="AL101" i="47"/>
  <c r="AL78" i="46"/>
  <c r="AL86" i="46"/>
  <c r="AL94" i="46"/>
  <c r="AL102" i="46"/>
  <c r="AL87" i="47"/>
  <c r="AL96" i="46"/>
  <c r="AL89" i="46"/>
  <c r="AL74" i="46"/>
  <c r="AL90" i="46"/>
  <c r="AL78" i="47"/>
  <c r="AL86" i="47"/>
  <c r="AL94" i="47"/>
  <c r="AL102" i="47"/>
  <c r="AL79" i="46"/>
  <c r="AL87" i="46"/>
  <c r="AL95" i="46"/>
  <c r="AL103" i="46"/>
  <c r="AL79" i="47"/>
  <c r="AL81" i="46"/>
  <c r="AL81" i="47"/>
  <c r="AB14" i="47"/>
  <c r="Z14" i="47"/>
  <c r="AD14" i="47"/>
  <c r="T14" i="47"/>
  <c r="V14" i="47"/>
  <c r="AS14" i="47" s="1"/>
  <c r="R14" i="46"/>
  <c r="R22" i="46"/>
  <c r="R30" i="46"/>
  <c r="R38" i="46"/>
  <c r="R46" i="46"/>
  <c r="R54" i="46"/>
  <c r="R62" i="46"/>
  <c r="R70" i="46"/>
  <c r="R78" i="46"/>
  <c r="R86" i="46"/>
  <c r="R94" i="46"/>
  <c r="R102" i="46"/>
  <c r="R33" i="46"/>
  <c r="R65" i="46"/>
  <c r="R97" i="46"/>
  <c r="R34" i="46"/>
  <c r="R50" i="46"/>
  <c r="R82" i="46"/>
  <c r="R60" i="46"/>
  <c r="R76" i="46"/>
  <c r="R100" i="46"/>
  <c r="R37" i="46"/>
  <c r="R77" i="46"/>
  <c r="R15" i="46"/>
  <c r="R23" i="46"/>
  <c r="R31" i="46"/>
  <c r="R39" i="46"/>
  <c r="R47" i="46"/>
  <c r="R55" i="46"/>
  <c r="R63" i="46"/>
  <c r="R71" i="46"/>
  <c r="R79" i="46"/>
  <c r="R87" i="46"/>
  <c r="R95" i="46"/>
  <c r="R103" i="46"/>
  <c r="R41" i="46"/>
  <c r="R81" i="46"/>
  <c r="R18" i="46"/>
  <c r="R42" i="46"/>
  <c r="R58" i="46"/>
  <c r="R74" i="46"/>
  <c r="R98" i="46"/>
  <c r="R84" i="46"/>
  <c r="R21" i="46"/>
  <c r="R61" i="46"/>
  <c r="R85" i="46"/>
  <c r="R16" i="46"/>
  <c r="R24" i="46"/>
  <c r="R32" i="46"/>
  <c r="R40" i="46"/>
  <c r="R48" i="46"/>
  <c r="R56" i="46"/>
  <c r="R64" i="46"/>
  <c r="R72" i="46"/>
  <c r="R80" i="46"/>
  <c r="R88" i="46"/>
  <c r="R96" i="46"/>
  <c r="R49" i="46"/>
  <c r="R73" i="46"/>
  <c r="R17" i="46"/>
  <c r="R25" i="46"/>
  <c r="R57" i="46"/>
  <c r="R89" i="46"/>
  <c r="R26" i="46"/>
  <c r="R66" i="46"/>
  <c r="R90" i="46"/>
  <c r="R68" i="46"/>
  <c r="R29" i="46"/>
  <c r="R93" i="46"/>
  <c r="R53" i="46"/>
  <c r="R19" i="46"/>
  <c r="R27" i="46"/>
  <c r="R35" i="46"/>
  <c r="R43" i="46"/>
  <c r="R51" i="46"/>
  <c r="R59" i="46"/>
  <c r="R67" i="46"/>
  <c r="R75" i="46"/>
  <c r="R83" i="46"/>
  <c r="R91" i="46"/>
  <c r="R99" i="46"/>
  <c r="R20" i="46"/>
  <c r="R28" i="46"/>
  <c r="R36" i="46"/>
  <c r="R44" i="46"/>
  <c r="R52" i="46"/>
  <c r="R92" i="46"/>
  <c r="R45" i="46"/>
  <c r="R69" i="46"/>
  <c r="R101" i="46"/>
  <c r="P14" i="46"/>
  <c r="P22" i="46"/>
  <c r="P30" i="46"/>
  <c r="P38" i="46"/>
  <c r="P46" i="46"/>
  <c r="P54" i="46"/>
  <c r="P62" i="46"/>
  <c r="P70" i="46"/>
  <c r="P78" i="46"/>
  <c r="P86" i="46"/>
  <c r="P94" i="46"/>
  <c r="P102" i="46"/>
  <c r="N19" i="46"/>
  <c r="N27" i="46"/>
  <c r="N35" i="46"/>
  <c r="N43" i="46"/>
  <c r="N51" i="46"/>
  <c r="N59" i="46"/>
  <c r="N67" i="46"/>
  <c r="N75" i="46"/>
  <c r="N83" i="46"/>
  <c r="N91" i="46"/>
  <c r="N99" i="46"/>
  <c r="L16" i="46"/>
  <c r="L24" i="46"/>
  <c r="L32" i="46"/>
  <c r="L40" i="46"/>
  <c r="L48" i="46"/>
  <c r="L56" i="46"/>
  <c r="L64" i="46"/>
  <c r="L72" i="46"/>
  <c r="L80" i="46"/>
  <c r="L88" i="46"/>
  <c r="L96" i="46"/>
  <c r="P88" i="46"/>
  <c r="N37" i="46"/>
  <c r="N61" i="46"/>
  <c r="N85" i="46"/>
  <c r="L18" i="46"/>
  <c r="L50" i="46"/>
  <c r="L74" i="46"/>
  <c r="L90" i="46"/>
  <c r="L78" i="46"/>
  <c r="P29" i="46"/>
  <c r="P77" i="46"/>
  <c r="N50" i="46"/>
  <c r="N90" i="46"/>
  <c r="L47" i="46"/>
  <c r="L95" i="46"/>
  <c r="P15" i="46"/>
  <c r="P23" i="46"/>
  <c r="P31" i="46"/>
  <c r="P39" i="46"/>
  <c r="P47" i="46"/>
  <c r="P55" i="46"/>
  <c r="P63" i="46"/>
  <c r="P71" i="46"/>
  <c r="P79" i="46"/>
  <c r="P87" i="46"/>
  <c r="P95" i="46"/>
  <c r="P103" i="46"/>
  <c r="N20" i="46"/>
  <c r="N28" i="46"/>
  <c r="N36" i="46"/>
  <c r="N44" i="46"/>
  <c r="N52" i="46"/>
  <c r="N60" i="46"/>
  <c r="N68" i="46"/>
  <c r="N76" i="46"/>
  <c r="N84" i="46"/>
  <c r="N92" i="46"/>
  <c r="N100" i="46"/>
  <c r="L17" i="46"/>
  <c r="L25" i="46"/>
  <c r="L33" i="46"/>
  <c r="L41" i="46"/>
  <c r="L49" i="46"/>
  <c r="L57" i="46"/>
  <c r="L65" i="46"/>
  <c r="L73" i="46"/>
  <c r="L81" i="46"/>
  <c r="L89" i="46"/>
  <c r="L97" i="46"/>
  <c r="P16" i="46"/>
  <c r="P24" i="46"/>
  <c r="P32" i="46"/>
  <c r="P40" i="46"/>
  <c r="P48" i="46"/>
  <c r="P56" i="46"/>
  <c r="P72" i="46"/>
  <c r="P80" i="46"/>
  <c r="P96" i="46"/>
  <c r="N21" i="46"/>
  <c r="N29" i="46"/>
  <c r="N53" i="46"/>
  <c r="N69" i="46"/>
  <c r="N93" i="46"/>
  <c r="L26" i="46"/>
  <c r="L42" i="46"/>
  <c r="L58" i="46"/>
  <c r="P64" i="46"/>
  <c r="N45" i="46"/>
  <c r="N77" i="46"/>
  <c r="N101" i="46"/>
  <c r="L34" i="46"/>
  <c r="L66" i="46"/>
  <c r="L82" i="46"/>
  <c r="L98" i="46"/>
  <c r="L102" i="46"/>
  <c r="P21" i="46"/>
  <c r="P85" i="46"/>
  <c r="N26" i="46"/>
  <c r="N98" i="46"/>
  <c r="L63" i="46"/>
  <c r="L103" i="46"/>
  <c r="P17" i="46"/>
  <c r="P25" i="46"/>
  <c r="P33" i="46"/>
  <c r="P41" i="46"/>
  <c r="P49" i="46"/>
  <c r="P57" i="46"/>
  <c r="P65" i="46"/>
  <c r="P73" i="46"/>
  <c r="P81" i="46"/>
  <c r="P89" i="46"/>
  <c r="P97" i="46"/>
  <c r="N14" i="46"/>
  <c r="N22" i="46"/>
  <c r="N30" i="46"/>
  <c r="N38" i="46"/>
  <c r="N46" i="46"/>
  <c r="N54" i="46"/>
  <c r="N62" i="46"/>
  <c r="N70" i="46"/>
  <c r="N78" i="46"/>
  <c r="N86" i="46"/>
  <c r="N94" i="46"/>
  <c r="N102" i="46"/>
  <c r="L19" i="46"/>
  <c r="L27" i="46"/>
  <c r="L35" i="46"/>
  <c r="L43" i="46"/>
  <c r="L51" i="46"/>
  <c r="L59" i="46"/>
  <c r="L67" i="46"/>
  <c r="L75" i="46"/>
  <c r="L83" i="46"/>
  <c r="L91" i="46"/>
  <c r="L99" i="46"/>
  <c r="P20" i="46"/>
  <c r="P52" i="46"/>
  <c r="P76" i="46"/>
  <c r="P100" i="46"/>
  <c r="N33" i="46"/>
  <c r="N65" i="46"/>
  <c r="N89" i="46"/>
  <c r="L14" i="46"/>
  <c r="L38" i="46"/>
  <c r="L62" i="46"/>
  <c r="L94" i="46"/>
  <c r="P45" i="46"/>
  <c r="P61" i="46"/>
  <c r="P101" i="46"/>
  <c r="N58" i="46"/>
  <c r="N82" i="46"/>
  <c r="L23" i="46"/>
  <c r="L55" i="46"/>
  <c r="L87" i="46"/>
  <c r="P18" i="46"/>
  <c r="P26" i="46"/>
  <c r="P34" i="46"/>
  <c r="P42" i="46"/>
  <c r="P50" i="46"/>
  <c r="P58" i="46"/>
  <c r="P66" i="46"/>
  <c r="P74" i="46"/>
  <c r="P82" i="46"/>
  <c r="P90" i="46"/>
  <c r="P98" i="46"/>
  <c r="N15" i="46"/>
  <c r="N23" i="46"/>
  <c r="N31" i="46"/>
  <c r="N39" i="46"/>
  <c r="N47" i="46"/>
  <c r="N55" i="46"/>
  <c r="N63" i="46"/>
  <c r="N71" i="46"/>
  <c r="N79" i="46"/>
  <c r="N87" i="46"/>
  <c r="N95" i="46"/>
  <c r="N103" i="46"/>
  <c r="L20" i="46"/>
  <c r="L28" i="46"/>
  <c r="L36" i="46"/>
  <c r="L44" i="46"/>
  <c r="L52" i="46"/>
  <c r="L60" i="46"/>
  <c r="L68" i="46"/>
  <c r="L76" i="46"/>
  <c r="L84" i="46"/>
  <c r="L92" i="46"/>
  <c r="L100" i="46"/>
  <c r="P36" i="46"/>
  <c r="P44" i="46"/>
  <c r="P60" i="46"/>
  <c r="P84" i="46"/>
  <c r="N17" i="46"/>
  <c r="N41" i="46"/>
  <c r="N57" i="46"/>
  <c r="N81" i="46"/>
  <c r="N97" i="46"/>
  <c r="L30" i="46"/>
  <c r="L54" i="46"/>
  <c r="L86" i="46"/>
  <c r="P53" i="46"/>
  <c r="P69" i="46"/>
  <c r="N18" i="46"/>
  <c r="N42" i="46"/>
  <c r="N66" i="46"/>
  <c r="L15" i="46"/>
  <c r="L39" i="46"/>
  <c r="L71" i="46"/>
  <c r="P19" i="46"/>
  <c r="P27" i="46"/>
  <c r="P35" i="46"/>
  <c r="P43" i="46"/>
  <c r="P51" i="46"/>
  <c r="P59" i="46"/>
  <c r="P67" i="46"/>
  <c r="P75" i="46"/>
  <c r="P83" i="46"/>
  <c r="P91" i="46"/>
  <c r="P99" i="46"/>
  <c r="N16" i="46"/>
  <c r="N24" i="46"/>
  <c r="N32" i="46"/>
  <c r="N40" i="46"/>
  <c r="N48" i="46"/>
  <c r="N56" i="46"/>
  <c r="N64" i="46"/>
  <c r="N72" i="46"/>
  <c r="N80" i="46"/>
  <c r="N88" i="46"/>
  <c r="N96" i="46"/>
  <c r="L21" i="46"/>
  <c r="L29" i="46"/>
  <c r="L37" i="46"/>
  <c r="L45" i="46"/>
  <c r="L53" i="46"/>
  <c r="L61" i="46"/>
  <c r="L69" i="46"/>
  <c r="L77" i="46"/>
  <c r="L85" i="46"/>
  <c r="L93" i="46"/>
  <c r="L101" i="46"/>
  <c r="P28" i="46"/>
  <c r="P68" i="46"/>
  <c r="P92" i="46"/>
  <c r="N25" i="46"/>
  <c r="N49" i="46"/>
  <c r="N73" i="46"/>
  <c r="L22" i="46"/>
  <c r="L46" i="46"/>
  <c r="L70" i="46"/>
  <c r="P37" i="46"/>
  <c r="P93" i="46"/>
  <c r="N34" i="46"/>
  <c r="N74" i="46"/>
  <c r="L31" i="46"/>
  <c r="L79" i="46"/>
  <c r="H14" i="46"/>
  <c r="H22" i="46"/>
  <c r="H30" i="46"/>
  <c r="H38" i="46"/>
  <c r="H46" i="46"/>
  <c r="H54" i="46"/>
  <c r="H62" i="46"/>
  <c r="H70" i="46"/>
  <c r="H78" i="46"/>
  <c r="H86" i="46"/>
  <c r="H94" i="46"/>
  <c r="H102" i="46"/>
  <c r="H96" i="46"/>
  <c r="H17" i="46"/>
  <c r="H49" i="46"/>
  <c r="H65" i="46"/>
  <c r="H89" i="46"/>
  <c r="H42" i="46"/>
  <c r="H74" i="46"/>
  <c r="H98" i="46"/>
  <c r="H35" i="46"/>
  <c r="H59" i="46"/>
  <c r="H75" i="46"/>
  <c r="H99" i="46"/>
  <c r="H28" i="46"/>
  <c r="H60" i="46"/>
  <c r="H84" i="46"/>
  <c r="H15" i="46"/>
  <c r="H23" i="46"/>
  <c r="H31" i="46"/>
  <c r="H39" i="46"/>
  <c r="H47" i="46"/>
  <c r="H55" i="46"/>
  <c r="H63" i="46"/>
  <c r="H71" i="46"/>
  <c r="H79" i="46"/>
  <c r="H87" i="46"/>
  <c r="H95" i="46"/>
  <c r="H103" i="46"/>
  <c r="H88" i="46"/>
  <c r="H25" i="46"/>
  <c r="H41" i="46"/>
  <c r="H73" i="46"/>
  <c r="H97" i="46"/>
  <c r="H26" i="46"/>
  <c r="H50" i="46"/>
  <c r="H82" i="46"/>
  <c r="H19" i="46"/>
  <c r="H51" i="46"/>
  <c r="H67" i="46"/>
  <c r="H91" i="46"/>
  <c r="H36" i="46"/>
  <c r="H52" i="46"/>
  <c r="H76" i="46"/>
  <c r="H100" i="46"/>
  <c r="H29" i="46"/>
  <c r="H37" i="46"/>
  <c r="H53" i="46"/>
  <c r="H77" i="46"/>
  <c r="H93" i="46"/>
  <c r="H16" i="46"/>
  <c r="H24" i="46"/>
  <c r="H32" i="46"/>
  <c r="H40" i="46"/>
  <c r="H48" i="46"/>
  <c r="H56" i="46"/>
  <c r="H64" i="46"/>
  <c r="H72" i="46"/>
  <c r="H80" i="46"/>
  <c r="H33" i="46"/>
  <c r="H57" i="46"/>
  <c r="H81" i="46"/>
  <c r="H18" i="46"/>
  <c r="H34" i="46"/>
  <c r="H66" i="46"/>
  <c r="H90" i="46"/>
  <c r="H27" i="46"/>
  <c r="H58" i="46"/>
  <c r="H43" i="46"/>
  <c r="H83" i="46"/>
  <c r="H20" i="46"/>
  <c r="H44" i="46"/>
  <c r="H68" i="46"/>
  <c r="H92" i="46"/>
  <c r="H21" i="46"/>
  <c r="H45" i="46"/>
  <c r="H61" i="46"/>
  <c r="H85" i="46"/>
  <c r="H101" i="46"/>
  <c r="H69" i="46"/>
  <c r="B13" i="46"/>
  <c r="F14" i="46"/>
  <c r="F22" i="46"/>
  <c r="F30" i="46"/>
  <c r="F38" i="46"/>
  <c r="F46" i="46"/>
  <c r="F54" i="46"/>
  <c r="F62" i="46"/>
  <c r="F70" i="46"/>
  <c r="F78" i="46"/>
  <c r="F86" i="46"/>
  <c r="F94" i="46"/>
  <c r="F102" i="46"/>
  <c r="F23" i="46"/>
  <c r="F31" i="46"/>
  <c r="F39" i="46"/>
  <c r="F47" i="46"/>
  <c r="F55" i="46"/>
  <c r="F63" i="46"/>
  <c r="F71" i="46"/>
  <c r="F79" i="46"/>
  <c r="F87" i="46"/>
  <c r="F95" i="46"/>
  <c r="F103" i="46"/>
  <c r="F24" i="46"/>
  <c r="F32" i="46"/>
  <c r="F40" i="46"/>
  <c r="F48" i="46"/>
  <c r="F56" i="46"/>
  <c r="F64" i="46"/>
  <c r="F72" i="46"/>
  <c r="F80" i="46"/>
  <c r="F88" i="46"/>
  <c r="F17" i="46"/>
  <c r="F33" i="46"/>
  <c r="F49" i="46"/>
  <c r="F65" i="46"/>
  <c r="F89" i="46"/>
  <c r="F26" i="46"/>
  <c r="F42" i="46"/>
  <c r="F58" i="46"/>
  <c r="F74" i="46"/>
  <c r="F98" i="46"/>
  <c r="F35" i="46"/>
  <c r="F59" i="46"/>
  <c r="F83" i="46"/>
  <c r="F28" i="46"/>
  <c r="F44" i="46"/>
  <c r="F68" i="46"/>
  <c r="F92" i="46"/>
  <c r="F85" i="46"/>
  <c r="F15" i="46"/>
  <c r="F57" i="46"/>
  <c r="F90" i="46"/>
  <c r="F43" i="46"/>
  <c r="F75" i="46"/>
  <c r="F99" i="46"/>
  <c r="F52" i="46"/>
  <c r="F76" i="46"/>
  <c r="F100" i="46"/>
  <c r="F93" i="46"/>
  <c r="F16" i="46"/>
  <c r="F96" i="46"/>
  <c r="F25" i="46"/>
  <c r="F41" i="46"/>
  <c r="F73" i="46"/>
  <c r="F97" i="46"/>
  <c r="F34" i="46"/>
  <c r="F50" i="46"/>
  <c r="F66" i="46"/>
  <c r="F82" i="46"/>
  <c r="F27" i="46"/>
  <c r="F51" i="46"/>
  <c r="F67" i="46"/>
  <c r="F91" i="46"/>
  <c r="F36" i="46"/>
  <c r="F60" i="46"/>
  <c r="F84" i="46"/>
  <c r="F77" i="46"/>
  <c r="F81" i="46"/>
  <c r="F18" i="46"/>
  <c r="F19" i="46"/>
  <c r="F20" i="46"/>
  <c r="F21" i="46"/>
  <c r="F29" i="46"/>
  <c r="F37" i="46"/>
  <c r="F45" i="46"/>
  <c r="F53" i="46"/>
  <c r="F61" i="46"/>
  <c r="F69" i="46"/>
  <c r="F101" i="46"/>
  <c r="K19" i="43"/>
  <c r="M19" i="43" s="1"/>
  <c r="K17" i="43"/>
  <c r="K15" i="43"/>
  <c r="K13" i="43"/>
  <c r="Q23" i="43"/>
  <c r="E23" i="43" s="1"/>
  <c r="Q21" i="43"/>
  <c r="E21" i="43" s="1"/>
  <c r="K55" i="43"/>
  <c r="K53" i="43"/>
  <c r="K51" i="43"/>
  <c r="K49" i="43"/>
  <c r="K47" i="43"/>
  <c r="K45" i="43"/>
  <c r="K43" i="43"/>
  <c r="K41" i="43"/>
  <c r="K39" i="43"/>
  <c r="K37" i="43"/>
  <c r="K35" i="43"/>
  <c r="K33" i="43"/>
  <c r="K11" i="43"/>
  <c r="K9" i="43"/>
  <c r="K7" i="43"/>
  <c r="K5" i="43"/>
  <c r="M55" i="43"/>
  <c r="M53" i="43"/>
  <c r="M51" i="43"/>
  <c r="M49" i="43"/>
  <c r="M47" i="43"/>
  <c r="M45" i="43"/>
  <c r="M43" i="43"/>
  <c r="M41" i="43"/>
  <c r="M39" i="43"/>
  <c r="M37" i="43"/>
  <c r="M35" i="43"/>
  <c r="M33" i="43"/>
  <c r="M11" i="43"/>
  <c r="M9" i="43"/>
  <c r="M5" i="43"/>
  <c r="M7" i="43"/>
  <c r="C2" i="52" l="1"/>
  <c r="D7" i="52"/>
  <c r="J14" i="55"/>
  <c r="J22" i="55"/>
  <c r="J30" i="55"/>
  <c r="J15" i="55"/>
  <c r="J23" i="55"/>
  <c r="J31" i="55"/>
  <c r="J39" i="55"/>
  <c r="J47" i="55"/>
  <c r="J55" i="55"/>
  <c r="J63" i="55"/>
  <c r="J71" i="55"/>
  <c r="J79" i="55"/>
  <c r="J87" i="55"/>
  <c r="J95" i="55"/>
  <c r="J103" i="55"/>
  <c r="J40" i="55"/>
  <c r="J56" i="55"/>
  <c r="J72" i="55"/>
  <c r="J88" i="55"/>
  <c r="J13" i="55"/>
  <c r="J77" i="55"/>
  <c r="J38" i="55"/>
  <c r="J94" i="55"/>
  <c r="J16" i="55"/>
  <c r="J24" i="55"/>
  <c r="J32" i="55"/>
  <c r="J48" i="55"/>
  <c r="J64" i="55"/>
  <c r="J80" i="55"/>
  <c r="J96" i="55"/>
  <c r="J97" i="55"/>
  <c r="J85" i="55"/>
  <c r="J62" i="55"/>
  <c r="J86" i="55"/>
  <c r="J17" i="55"/>
  <c r="J25" i="55"/>
  <c r="J33" i="55"/>
  <c r="J41" i="55"/>
  <c r="J49" i="55"/>
  <c r="J57" i="55"/>
  <c r="J65" i="55"/>
  <c r="J73" i="55"/>
  <c r="J81" i="55"/>
  <c r="J89" i="55"/>
  <c r="J46" i="55"/>
  <c r="J18" i="55"/>
  <c r="J26" i="55"/>
  <c r="J34" i="55"/>
  <c r="J42" i="55"/>
  <c r="J50" i="55"/>
  <c r="J58" i="55"/>
  <c r="J66" i="55"/>
  <c r="J74" i="55"/>
  <c r="J82" i="55"/>
  <c r="J90" i="55"/>
  <c r="J98" i="55"/>
  <c r="J60" i="55"/>
  <c r="J92" i="55"/>
  <c r="J21" i="55"/>
  <c r="J53" i="55"/>
  <c r="J69" i="55"/>
  <c r="J101" i="55"/>
  <c r="J70" i="55"/>
  <c r="J19" i="55"/>
  <c r="J27" i="55"/>
  <c r="J35" i="55"/>
  <c r="J43" i="55"/>
  <c r="J51" i="55"/>
  <c r="J59" i="55"/>
  <c r="J67" i="55"/>
  <c r="J75" i="55"/>
  <c r="J83" i="55"/>
  <c r="J91" i="55"/>
  <c r="J99" i="55"/>
  <c r="J44" i="55"/>
  <c r="J68" i="55"/>
  <c r="J84" i="55"/>
  <c r="J29" i="55"/>
  <c r="J45" i="55"/>
  <c r="J61" i="55"/>
  <c r="J54" i="55"/>
  <c r="J102" i="55"/>
  <c r="J20" i="55"/>
  <c r="J28" i="55"/>
  <c r="J36" i="55"/>
  <c r="J52" i="55"/>
  <c r="J76" i="55"/>
  <c r="J100" i="55"/>
  <c r="J37" i="55"/>
  <c r="J93" i="55"/>
  <c r="J78" i="55"/>
  <c r="AF16" i="56"/>
  <c r="T17" i="56"/>
  <c r="X17" i="56"/>
  <c r="AS16" i="56"/>
  <c r="V17" i="56"/>
  <c r="AB17" i="56"/>
  <c r="AD17" i="56"/>
  <c r="Z17" i="56"/>
  <c r="X21" i="50"/>
  <c r="Y21" i="50" s="1"/>
  <c r="F22" i="50"/>
  <c r="D23" i="50"/>
  <c r="V22" i="50"/>
  <c r="J28" i="46"/>
  <c r="X15" i="47"/>
  <c r="V15" i="47"/>
  <c r="AS15" i="47" s="1"/>
  <c r="AF14" i="47"/>
  <c r="T15" i="47"/>
  <c r="AD15" i="47"/>
  <c r="Z15" i="47"/>
  <c r="AB15" i="47"/>
  <c r="J20" i="46"/>
  <c r="J36" i="46"/>
  <c r="J44" i="46"/>
  <c r="J52" i="46"/>
  <c r="J60" i="46"/>
  <c r="J68" i="46"/>
  <c r="J76" i="46"/>
  <c r="J84" i="46"/>
  <c r="J92" i="46"/>
  <c r="J100" i="46"/>
  <c r="J21" i="46"/>
  <c r="J29" i="46"/>
  <c r="J37" i="46"/>
  <c r="J45" i="46"/>
  <c r="J53" i="46"/>
  <c r="J61" i="46"/>
  <c r="J69" i="46"/>
  <c r="J77" i="46"/>
  <c r="J85" i="46"/>
  <c r="J93" i="46"/>
  <c r="J101" i="46"/>
  <c r="J47" i="46"/>
  <c r="J79" i="46"/>
  <c r="J103" i="46"/>
  <c r="J24" i="46"/>
  <c r="J48" i="46"/>
  <c r="J80" i="46"/>
  <c r="J96" i="46"/>
  <c r="J14" i="46"/>
  <c r="J22" i="46"/>
  <c r="J30" i="46"/>
  <c r="J38" i="46"/>
  <c r="J46" i="46"/>
  <c r="J54" i="46"/>
  <c r="J62" i="46"/>
  <c r="J70" i="46"/>
  <c r="J78" i="46"/>
  <c r="J86" i="46"/>
  <c r="J94" i="46"/>
  <c r="J102" i="46"/>
  <c r="J23" i="46"/>
  <c r="J31" i="46"/>
  <c r="J39" i="46"/>
  <c r="J55" i="46"/>
  <c r="J63" i="46"/>
  <c r="J71" i="46"/>
  <c r="J87" i="46"/>
  <c r="J95" i="46"/>
  <c r="J32" i="46"/>
  <c r="J56" i="46"/>
  <c r="J72" i="46"/>
  <c r="J13" i="46"/>
  <c r="J15" i="46"/>
  <c r="J16" i="46"/>
  <c r="J17" i="46"/>
  <c r="J25" i="46"/>
  <c r="J33" i="46"/>
  <c r="J41" i="46"/>
  <c r="J49" i="46"/>
  <c r="J57" i="46"/>
  <c r="J65" i="46"/>
  <c r="J73" i="46"/>
  <c r="J81" i="46"/>
  <c r="J89" i="46"/>
  <c r="J97" i="46"/>
  <c r="J26" i="46"/>
  <c r="J34" i="46"/>
  <c r="J42" i="46"/>
  <c r="J50" i="46"/>
  <c r="J58" i="46"/>
  <c r="J66" i="46"/>
  <c r="J74" i="46"/>
  <c r="J82" i="46"/>
  <c r="J90" i="46"/>
  <c r="J98" i="46"/>
  <c r="J18" i="46"/>
  <c r="J19" i="46"/>
  <c r="J27" i="46"/>
  <c r="J35" i="46"/>
  <c r="J43" i="46"/>
  <c r="J51" i="46"/>
  <c r="J59" i="46"/>
  <c r="J67" i="46"/>
  <c r="J75" i="46"/>
  <c r="J83" i="46"/>
  <c r="J91" i="46"/>
  <c r="J99" i="46"/>
  <c r="J40" i="46"/>
  <c r="J64" i="46"/>
  <c r="J88" i="46"/>
  <c r="R13" i="46"/>
  <c r="L13" i="46"/>
  <c r="X14" i="46" s="1"/>
  <c r="P13" i="46"/>
  <c r="N13" i="46"/>
  <c r="F13" i="46"/>
  <c r="H13" i="46"/>
  <c r="Q45" i="43"/>
  <c r="E45" i="43" s="1"/>
  <c r="Q43" i="43"/>
  <c r="E43" i="43" s="1"/>
  <c r="Q11" i="43"/>
  <c r="E11" i="43" s="1"/>
  <c r="Q49" i="43"/>
  <c r="E49" i="43" s="1"/>
  <c r="Q35" i="43"/>
  <c r="E35" i="43" s="1"/>
  <c r="Q51" i="43"/>
  <c r="E51" i="43" s="1"/>
  <c r="Q19" i="43"/>
  <c r="E19" i="43" s="1"/>
  <c r="AU16" i="56" s="1"/>
  <c r="Q7" i="43"/>
  <c r="E7" i="43" s="1"/>
  <c r="Q9" i="43"/>
  <c r="E9" i="43" s="1"/>
  <c r="Q47" i="43"/>
  <c r="E47" i="43" s="1"/>
  <c r="Q33" i="43"/>
  <c r="E33" i="43" s="1"/>
  <c r="Q37" i="43"/>
  <c r="E37" i="43" s="1"/>
  <c r="Q53" i="43"/>
  <c r="E53" i="43" s="1"/>
  <c r="M13" i="43"/>
  <c r="Q13" i="43" s="1"/>
  <c r="E13" i="43" s="1"/>
  <c r="AQ16" i="56" s="1"/>
  <c r="Q39" i="43"/>
  <c r="E39" i="43" s="1"/>
  <c r="Q55" i="43"/>
  <c r="E55" i="43" s="1"/>
  <c r="M15" i="43"/>
  <c r="Q15" i="43" s="1"/>
  <c r="E15" i="43" s="1"/>
  <c r="Q41" i="43"/>
  <c r="E41" i="43" s="1"/>
  <c r="M17" i="43"/>
  <c r="Q17" i="43" s="1"/>
  <c r="E17" i="43" s="1"/>
  <c r="Q5" i="43"/>
  <c r="E5" i="43" s="1"/>
  <c r="F4" i="28"/>
  <c r="E4" i="28"/>
  <c r="C166" i="38"/>
  <c r="D165" i="38"/>
  <c r="E165" i="38" s="1"/>
  <c r="F165" i="38" s="1"/>
  <c r="G165" i="38" s="1"/>
  <c r="H165" i="38" s="1"/>
  <c r="D164" i="38"/>
  <c r="E164" i="38" s="1"/>
  <c r="F164" i="38" s="1"/>
  <c r="G164" i="38" s="1"/>
  <c r="H164" i="38" s="1"/>
  <c r="D163" i="38"/>
  <c r="E163" i="38" s="1"/>
  <c r="F163" i="38" s="1"/>
  <c r="G163" i="38" s="1"/>
  <c r="H163" i="38" s="1"/>
  <c r="D162" i="38"/>
  <c r="E162" i="38" s="1"/>
  <c r="F162" i="38" s="1"/>
  <c r="G162" i="38" s="1"/>
  <c r="H162" i="38" s="1"/>
  <c r="E161" i="38"/>
  <c r="F161" i="38" s="1"/>
  <c r="G161" i="38" s="1"/>
  <c r="H161" i="38" s="1"/>
  <c r="D161" i="38"/>
  <c r="E160" i="38"/>
  <c r="F160" i="38" s="1"/>
  <c r="G160" i="38" s="1"/>
  <c r="H160" i="38" s="1"/>
  <c r="D160" i="38"/>
  <c r="D159" i="38"/>
  <c r="E159" i="38" s="1"/>
  <c r="F159" i="38" s="1"/>
  <c r="G159" i="38" s="1"/>
  <c r="H159" i="38" s="1"/>
  <c r="D158" i="38"/>
  <c r="E158" i="38" s="1"/>
  <c r="F158" i="38" s="1"/>
  <c r="G158" i="38" s="1"/>
  <c r="H158" i="38" s="1"/>
  <c r="D157" i="38"/>
  <c r="E157" i="38" s="1"/>
  <c r="F157" i="38" s="1"/>
  <c r="G157" i="38" s="1"/>
  <c r="H157" i="38" s="1"/>
  <c r="F156" i="38"/>
  <c r="G156" i="38" s="1"/>
  <c r="H156" i="38" s="1"/>
  <c r="E156" i="38"/>
  <c r="D156" i="38"/>
  <c r="D155" i="38"/>
  <c r="E155" i="38" s="1"/>
  <c r="F155" i="38" s="1"/>
  <c r="G155" i="38" s="1"/>
  <c r="H155" i="38" s="1"/>
  <c r="D154" i="38"/>
  <c r="E154" i="38" s="1"/>
  <c r="F154" i="38" s="1"/>
  <c r="G154" i="38" s="1"/>
  <c r="H154" i="38" s="1"/>
  <c r="E153" i="38"/>
  <c r="F153" i="38" s="1"/>
  <c r="G153" i="38" s="1"/>
  <c r="H153" i="38" s="1"/>
  <c r="D153" i="38"/>
  <c r="E152" i="38"/>
  <c r="F152" i="38" s="1"/>
  <c r="G152" i="38" s="1"/>
  <c r="H152" i="38" s="1"/>
  <c r="D152" i="38"/>
  <c r="D151" i="38"/>
  <c r="E151" i="38" s="1"/>
  <c r="F151" i="38" s="1"/>
  <c r="G151" i="38" s="1"/>
  <c r="H151" i="38" s="1"/>
  <c r="D150" i="38"/>
  <c r="E150" i="38" s="1"/>
  <c r="F150" i="38" s="1"/>
  <c r="G150" i="38" s="1"/>
  <c r="H150" i="38" s="1"/>
  <c r="D149" i="38"/>
  <c r="E149" i="38" s="1"/>
  <c r="F149" i="38" s="1"/>
  <c r="G149" i="38" s="1"/>
  <c r="H149" i="38" s="1"/>
  <c r="D148" i="38"/>
  <c r="E148" i="38" s="1"/>
  <c r="F148" i="38" s="1"/>
  <c r="G148" i="38" s="1"/>
  <c r="H148" i="38" s="1"/>
  <c r="E147" i="38"/>
  <c r="F147" i="38" s="1"/>
  <c r="G147" i="38" s="1"/>
  <c r="H147" i="38" s="1"/>
  <c r="D147" i="38"/>
  <c r="D146" i="38"/>
  <c r="E146" i="38" s="1"/>
  <c r="F146" i="38" s="1"/>
  <c r="G146" i="38" s="1"/>
  <c r="H146" i="38" s="1"/>
  <c r="D145" i="38"/>
  <c r="E145" i="38" s="1"/>
  <c r="F145" i="38" s="1"/>
  <c r="G145" i="38" s="1"/>
  <c r="H145" i="38" s="1"/>
  <c r="D144" i="38"/>
  <c r="E144" i="38" s="1"/>
  <c r="F144" i="38" s="1"/>
  <c r="G144" i="38" s="1"/>
  <c r="H144" i="38" s="1"/>
  <c r="D143" i="38"/>
  <c r="E143" i="38" s="1"/>
  <c r="F143" i="38" s="1"/>
  <c r="G143" i="38" s="1"/>
  <c r="H143" i="38" s="1"/>
  <c r="D142" i="38"/>
  <c r="E142" i="38" s="1"/>
  <c r="F142" i="38" s="1"/>
  <c r="G142" i="38" s="1"/>
  <c r="H142" i="38" s="1"/>
  <c r="D141" i="38"/>
  <c r="E141" i="38" s="1"/>
  <c r="F141" i="38" s="1"/>
  <c r="G141" i="38" s="1"/>
  <c r="H141" i="38" s="1"/>
  <c r="D140" i="38"/>
  <c r="E140" i="38" s="1"/>
  <c r="F140" i="38" s="1"/>
  <c r="G140" i="38" s="1"/>
  <c r="H140" i="38" s="1"/>
  <c r="E139" i="38"/>
  <c r="F139" i="38" s="1"/>
  <c r="G139" i="38" s="1"/>
  <c r="H139" i="38" s="1"/>
  <c r="D139" i="38"/>
  <c r="D138" i="38"/>
  <c r="E138" i="38" s="1"/>
  <c r="F138" i="38" s="1"/>
  <c r="G138" i="38" s="1"/>
  <c r="H138" i="38" s="1"/>
  <c r="D137" i="38"/>
  <c r="E137" i="38" s="1"/>
  <c r="F137" i="38" s="1"/>
  <c r="G137" i="38" s="1"/>
  <c r="H137" i="38" s="1"/>
  <c r="E136" i="38"/>
  <c r="F136" i="38" s="1"/>
  <c r="G136" i="38" s="1"/>
  <c r="H136" i="38" s="1"/>
  <c r="D136" i="38"/>
  <c r="D135" i="38"/>
  <c r="E135" i="38" s="1"/>
  <c r="F135" i="38" s="1"/>
  <c r="G135" i="38" s="1"/>
  <c r="H135" i="38" s="1"/>
  <c r="D134" i="38"/>
  <c r="E134" i="38" s="1"/>
  <c r="F134" i="38" s="1"/>
  <c r="G134" i="38" s="1"/>
  <c r="H134" i="38" s="1"/>
  <c r="D133" i="38"/>
  <c r="E133" i="38" s="1"/>
  <c r="F133" i="38" s="1"/>
  <c r="G133" i="38" s="1"/>
  <c r="H133" i="38" s="1"/>
  <c r="D132" i="38"/>
  <c r="E132" i="38" s="1"/>
  <c r="F132" i="38" s="1"/>
  <c r="G132" i="38" s="1"/>
  <c r="H132" i="38" s="1"/>
  <c r="D131" i="38"/>
  <c r="E131" i="38" s="1"/>
  <c r="F131" i="38" s="1"/>
  <c r="G131" i="38" s="1"/>
  <c r="H131" i="38" s="1"/>
  <c r="D130" i="38"/>
  <c r="E130" i="38" s="1"/>
  <c r="F130" i="38" s="1"/>
  <c r="G130" i="38" s="1"/>
  <c r="H130" i="38" s="1"/>
  <c r="D129" i="38"/>
  <c r="E129" i="38" s="1"/>
  <c r="F129" i="38" s="1"/>
  <c r="G129" i="38" s="1"/>
  <c r="H129" i="38" s="1"/>
  <c r="D128" i="38"/>
  <c r="E128" i="38" s="1"/>
  <c r="F128" i="38" s="1"/>
  <c r="G128" i="38" s="1"/>
  <c r="H128" i="38" s="1"/>
  <c r="D127" i="38"/>
  <c r="E127" i="38" s="1"/>
  <c r="F127" i="38" s="1"/>
  <c r="G127" i="38" s="1"/>
  <c r="H127" i="38" s="1"/>
  <c r="D126" i="38"/>
  <c r="E126" i="38" s="1"/>
  <c r="F126" i="38" s="1"/>
  <c r="G126" i="38" s="1"/>
  <c r="H126" i="38" s="1"/>
  <c r="D125" i="38"/>
  <c r="E125" i="38" s="1"/>
  <c r="F125" i="38" s="1"/>
  <c r="G125" i="38" s="1"/>
  <c r="H125" i="38" s="1"/>
  <c r="D124" i="38"/>
  <c r="E124" i="38" s="1"/>
  <c r="F124" i="38" s="1"/>
  <c r="G124" i="38" s="1"/>
  <c r="H124" i="38" s="1"/>
  <c r="D123" i="38"/>
  <c r="E123" i="38" s="1"/>
  <c r="F123" i="38" s="1"/>
  <c r="G123" i="38" s="1"/>
  <c r="H123" i="38" s="1"/>
  <c r="D122" i="38"/>
  <c r="E122" i="38" s="1"/>
  <c r="F122" i="38" s="1"/>
  <c r="G122" i="38" s="1"/>
  <c r="H122" i="38" s="1"/>
  <c r="D121" i="38"/>
  <c r="E121" i="38" s="1"/>
  <c r="F121" i="38" s="1"/>
  <c r="G121" i="38" s="1"/>
  <c r="H121" i="38" s="1"/>
  <c r="D120" i="38"/>
  <c r="E120" i="38" s="1"/>
  <c r="F120" i="38" s="1"/>
  <c r="G120" i="38" s="1"/>
  <c r="H120" i="38" s="1"/>
  <c r="D119" i="38"/>
  <c r="E119" i="38" s="1"/>
  <c r="F119" i="38" s="1"/>
  <c r="G119" i="38" s="1"/>
  <c r="H119" i="38" s="1"/>
  <c r="D118" i="38"/>
  <c r="E118" i="38" s="1"/>
  <c r="F118" i="38" s="1"/>
  <c r="G118" i="38" s="1"/>
  <c r="H118" i="38" s="1"/>
  <c r="D117" i="38"/>
  <c r="E117" i="38" s="1"/>
  <c r="F117" i="38" s="1"/>
  <c r="G117" i="38" s="1"/>
  <c r="H117" i="38" s="1"/>
  <c r="E116" i="38"/>
  <c r="F116" i="38" s="1"/>
  <c r="G116" i="38" s="1"/>
  <c r="H116" i="38" s="1"/>
  <c r="D116" i="38"/>
  <c r="D115" i="38"/>
  <c r="E115" i="38" s="1"/>
  <c r="F115" i="38" s="1"/>
  <c r="G115" i="38" s="1"/>
  <c r="H115" i="38" s="1"/>
  <c r="D114" i="38"/>
  <c r="E114" i="38" s="1"/>
  <c r="F114" i="38" s="1"/>
  <c r="G114" i="38" s="1"/>
  <c r="H114" i="38" s="1"/>
  <c r="D113" i="38"/>
  <c r="E113" i="38" s="1"/>
  <c r="F113" i="38" s="1"/>
  <c r="G113" i="38" s="1"/>
  <c r="H113" i="38" s="1"/>
  <c r="D112" i="38"/>
  <c r="E112" i="38" s="1"/>
  <c r="F112" i="38" s="1"/>
  <c r="G112" i="38" s="1"/>
  <c r="H112" i="38" s="1"/>
  <c r="D111" i="38"/>
  <c r="E111" i="38" s="1"/>
  <c r="F111" i="38" s="1"/>
  <c r="G111" i="38" s="1"/>
  <c r="H111" i="38" s="1"/>
  <c r="D110" i="38"/>
  <c r="E110" i="38" s="1"/>
  <c r="F110" i="38" s="1"/>
  <c r="G110" i="38" s="1"/>
  <c r="H110" i="38" s="1"/>
  <c r="D109" i="38"/>
  <c r="E109" i="38" s="1"/>
  <c r="F109" i="38" s="1"/>
  <c r="G109" i="38" s="1"/>
  <c r="H109" i="38" s="1"/>
  <c r="E108" i="38"/>
  <c r="F108" i="38" s="1"/>
  <c r="G108" i="38" s="1"/>
  <c r="H108" i="38" s="1"/>
  <c r="D108" i="38"/>
  <c r="D107" i="38"/>
  <c r="E107" i="38" s="1"/>
  <c r="F107" i="38" s="1"/>
  <c r="G107" i="38" s="1"/>
  <c r="H107" i="38" s="1"/>
  <c r="D106" i="38"/>
  <c r="E106" i="38" s="1"/>
  <c r="F106" i="38" s="1"/>
  <c r="G106" i="38" s="1"/>
  <c r="H106" i="38" s="1"/>
  <c r="D105" i="38"/>
  <c r="E105" i="38" s="1"/>
  <c r="F105" i="38" s="1"/>
  <c r="G105" i="38" s="1"/>
  <c r="H105" i="38" s="1"/>
  <c r="D104" i="38"/>
  <c r="E104" i="38" s="1"/>
  <c r="F104" i="38" s="1"/>
  <c r="G104" i="38" s="1"/>
  <c r="H104" i="38" s="1"/>
  <c r="D103" i="38"/>
  <c r="E103" i="38" s="1"/>
  <c r="F103" i="38" s="1"/>
  <c r="G103" i="38" s="1"/>
  <c r="H103" i="38" s="1"/>
  <c r="D102" i="38"/>
  <c r="E102" i="38" s="1"/>
  <c r="F102" i="38" s="1"/>
  <c r="G102" i="38" s="1"/>
  <c r="H102" i="38" s="1"/>
  <c r="D101" i="38"/>
  <c r="E101" i="38" s="1"/>
  <c r="F101" i="38" s="1"/>
  <c r="G101" i="38" s="1"/>
  <c r="H101" i="38" s="1"/>
  <c r="D100" i="38"/>
  <c r="E100" i="38" s="1"/>
  <c r="F100" i="38" s="1"/>
  <c r="G100" i="38" s="1"/>
  <c r="H100" i="38" s="1"/>
  <c r="D99" i="38"/>
  <c r="E99" i="38" s="1"/>
  <c r="F99" i="38" s="1"/>
  <c r="G99" i="38" s="1"/>
  <c r="H99" i="38" s="1"/>
  <c r="D98" i="38"/>
  <c r="E98" i="38" s="1"/>
  <c r="F98" i="38" s="1"/>
  <c r="G98" i="38" s="1"/>
  <c r="H98" i="38" s="1"/>
  <c r="D97" i="38"/>
  <c r="E97" i="38" s="1"/>
  <c r="F97" i="38" s="1"/>
  <c r="G97" i="38" s="1"/>
  <c r="H97" i="38" s="1"/>
  <c r="E96" i="38"/>
  <c r="F96" i="38" s="1"/>
  <c r="G96" i="38" s="1"/>
  <c r="H96" i="38" s="1"/>
  <c r="D96" i="38"/>
  <c r="F95" i="38"/>
  <c r="G95" i="38" s="1"/>
  <c r="H95" i="38" s="1"/>
  <c r="E95" i="38"/>
  <c r="D95" i="38"/>
  <c r="D94" i="38"/>
  <c r="E94" i="38" s="1"/>
  <c r="F94" i="38" s="1"/>
  <c r="G94" i="38" s="1"/>
  <c r="H94" i="38" s="1"/>
  <c r="D93" i="38"/>
  <c r="E93" i="38" s="1"/>
  <c r="F93" i="38" s="1"/>
  <c r="G93" i="38" s="1"/>
  <c r="H93" i="38" s="1"/>
  <c r="D92" i="38"/>
  <c r="E92" i="38" s="1"/>
  <c r="F92" i="38" s="1"/>
  <c r="G92" i="38" s="1"/>
  <c r="H92" i="38" s="1"/>
  <c r="E91" i="38"/>
  <c r="F91" i="38" s="1"/>
  <c r="G91" i="38" s="1"/>
  <c r="H91" i="38" s="1"/>
  <c r="D91" i="38"/>
  <c r="D90" i="38"/>
  <c r="E90" i="38" s="1"/>
  <c r="F90" i="38" s="1"/>
  <c r="G90" i="38" s="1"/>
  <c r="H90" i="38" s="1"/>
  <c r="D89" i="38"/>
  <c r="E89" i="38" s="1"/>
  <c r="F89" i="38" s="1"/>
  <c r="G89" i="38" s="1"/>
  <c r="H89" i="38" s="1"/>
  <c r="D88" i="38"/>
  <c r="E88" i="38" s="1"/>
  <c r="F88" i="38" s="1"/>
  <c r="G88" i="38" s="1"/>
  <c r="H88" i="38" s="1"/>
  <c r="E87" i="38"/>
  <c r="F87" i="38" s="1"/>
  <c r="G87" i="38" s="1"/>
  <c r="H87" i="38" s="1"/>
  <c r="D87" i="38"/>
  <c r="D86" i="38"/>
  <c r="E86" i="38" s="1"/>
  <c r="F86" i="38" s="1"/>
  <c r="G86" i="38" s="1"/>
  <c r="H86" i="38" s="1"/>
  <c r="D85" i="38"/>
  <c r="E85" i="38" s="1"/>
  <c r="F85" i="38" s="1"/>
  <c r="G85" i="38" s="1"/>
  <c r="H85" i="38" s="1"/>
  <c r="D84" i="38"/>
  <c r="E84" i="38" s="1"/>
  <c r="F84" i="38" s="1"/>
  <c r="G84" i="38" s="1"/>
  <c r="H84" i="38" s="1"/>
  <c r="E83" i="38"/>
  <c r="F83" i="38" s="1"/>
  <c r="G83" i="38" s="1"/>
  <c r="H83" i="38" s="1"/>
  <c r="D83" i="38"/>
  <c r="D82" i="38"/>
  <c r="E82" i="38" s="1"/>
  <c r="F82" i="38" s="1"/>
  <c r="G82" i="38" s="1"/>
  <c r="H82" i="38" s="1"/>
  <c r="D81" i="38"/>
  <c r="E81" i="38" s="1"/>
  <c r="F81" i="38" s="1"/>
  <c r="G81" i="38" s="1"/>
  <c r="H81" i="38" s="1"/>
  <c r="D80" i="38"/>
  <c r="E80" i="38" s="1"/>
  <c r="F80" i="38" s="1"/>
  <c r="G80" i="38" s="1"/>
  <c r="H80" i="38" s="1"/>
  <c r="E79" i="38"/>
  <c r="F79" i="38" s="1"/>
  <c r="G79" i="38" s="1"/>
  <c r="H79" i="38" s="1"/>
  <c r="D79" i="38"/>
  <c r="G78" i="38"/>
  <c r="H78" i="38" s="1"/>
  <c r="F78" i="38"/>
  <c r="D78" i="38"/>
  <c r="E78" i="38" s="1"/>
  <c r="E77" i="38"/>
  <c r="F77" i="38" s="1"/>
  <c r="G77" i="38" s="1"/>
  <c r="H77" i="38" s="1"/>
  <c r="D77" i="38"/>
  <c r="D76" i="38"/>
  <c r="E76" i="38" s="1"/>
  <c r="F76" i="38" s="1"/>
  <c r="G76" i="38" s="1"/>
  <c r="H76" i="38" s="1"/>
  <c r="D75" i="38"/>
  <c r="E75" i="38" s="1"/>
  <c r="F75" i="38" s="1"/>
  <c r="G75" i="38" s="1"/>
  <c r="H75" i="38" s="1"/>
  <c r="D74" i="38"/>
  <c r="E74" i="38" s="1"/>
  <c r="F74" i="38" s="1"/>
  <c r="G74" i="38" s="1"/>
  <c r="H74" i="38" s="1"/>
  <c r="E73" i="38"/>
  <c r="F73" i="38" s="1"/>
  <c r="G73" i="38" s="1"/>
  <c r="H73" i="38" s="1"/>
  <c r="D73" i="38"/>
  <c r="D72" i="38"/>
  <c r="E72" i="38" s="1"/>
  <c r="F72" i="38" s="1"/>
  <c r="G72" i="38" s="1"/>
  <c r="H72" i="38" s="1"/>
  <c r="D71" i="38"/>
  <c r="E71" i="38" s="1"/>
  <c r="F71" i="38" s="1"/>
  <c r="G71" i="38" s="1"/>
  <c r="H71" i="38" s="1"/>
  <c r="F70" i="38"/>
  <c r="G70" i="38" s="1"/>
  <c r="H70" i="38" s="1"/>
  <c r="D70" i="38"/>
  <c r="E70" i="38" s="1"/>
  <c r="D69" i="38"/>
  <c r="E69" i="38" s="1"/>
  <c r="F69" i="38" s="1"/>
  <c r="G69" i="38" s="1"/>
  <c r="H69" i="38" s="1"/>
  <c r="D68" i="38"/>
  <c r="E68" i="38" s="1"/>
  <c r="F68" i="38" s="1"/>
  <c r="G68" i="38" s="1"/>
  <c r="H68" i="38" s="1"/>
  <c r="D67" i="38"/>
  <c r="E67" i="38" s="1"/>
  <c r="F67" i="38" s="1"/>
  <c r="G67" i="38" s="1"/>
  <c r="H67" i="38" s="1"/>
  <c r="F66" i="38"/>
  <c r="G66" i="38" s="1"/>
  <c r="H66" i="38" s="1"/>
  <c r="D66" i="38"/>
  <c r="E66" i="38" s="1"/>
  <c r="E65" i="38"/>
  <c r="F65" i="38" s="1"/>
  <c r="G65" i="38" s="1"/>
  <c r="H65" i="38" s="1"/>
  <c r="D65" i="38"/>
  <c r="D64" i="38"/>
  <c r="E64" i="38" s="1"/>
  <c r="F64" i="38" s="1"/>
  <c r="G64" i="38" s="1"/>
  <c r="H64" i="38" s="1"/>
  <c r="D63" i="38"/>
  <c r="E63" i="38" s="1"/>
  <c r="F63" i="38" s="1"/>
  <c r="G63" i="38" s="1"/>
  <c r="H63" i="38" s="1"/>
  <c r="F62" i="38"/>
  <c r="G62" i="38" s="1"/>
  <c r="H62" i="38" s="1"/>
  <c r="D62" i="38"/>
  <c r="E62" i="38" s="1"/>
  <c r="E61" i="38"/>
  <c r="F61" i="38" s="1"/>
  <c r="G61" i="38" s="1"/>
  <c r="H61" i="38" s="1"/>
  <c r="D61" i="38"/>
  <c r="D60" i="38"/>
  <c r="E60" i="38" s="1"/>
  <c r="F60" i="38" s="1"/>
  <c r="G60" i="38" s="1"/>
  <c r="H60" i="38" s="1"/>
  <c r="D59" i="38"/>
  <c r="E59" i="38" s="1"/>
  <c r="F59" i="38" s="1"/>
  <c r="G59" i="38" s="1"/>
  <c r="H59" i="38" s="1"/>
  <c r="D58" i="38"/>
  <c r="E58" i="38" s="1"/>
  <c r="F58" i="38" s="1"/>
  <c r="G58" i="38" s="1"/>
  <c r="H58" i="38" s="1"/>
  <c r="E57" i="38"/>
  <c r="F57" i="38" s="1"/>
  <c r="G57" i="38" s="1"/>
  <c r="H57" i="38" s="1"/>
  <c r="D57" i="38"/>
  <c r="D56" i="38"/>
  <c r="E56" i="38" s="1"/>
  <c r="F56" i="38" s="1"/>
  <c r="G56" i="38" s="1"/>
  <c r="H56" i="38" s="1"/>
  <c r="D55" i="38"/>
  <c r="E55" i="38" s="1"/>
  <c r="F55" i="38" s="1"/>
  <c r="G55" i="38" s="1"/>
  <c r="H55" i="38" s="1"/>
  <c r="F54" i="38"/>
  <c r="G54" i="38" s="1"/>
  <c r="H54" i="38" s="1"/>
  <c r="D54" i="38"/>
  <c r="E54" i="38" s="1"/>
  <c r="D53" i="38"/>
  <c r="E53" i="38" s="1"/>
  <c r="F53" i="38" s="1"/>
  <c r="G53" i="38" s="1"/>
  <c r="H53" i="38" s="1"/>
  <c r="D52" i="38"/>
  <c r="E52" i="38" s="1"/>
  <c r="F52" i="38" s="1"/>
  <c r="G52" i="38" s="1"/>
  <c r="H52" i="38" s="1"/>
  <c r="D51" i="38"/>
  <c r="E51" i="38" s="1"/>
  <c r="F51" i="38" s="1"/>
  <c r="G51" i="38" s="1"/>
  <c r="H51" i="38" s="1"/>
  <c r="F50" i="38"/>
  <c r="G50" i="38" s="1"/>
  <c r="H50" i="38" s="1"/>
  <c r="D50" i="38"/>
  <c r="E50" i="38" s="1"/>
  <c r="E49" i="38"/>
  <c r="F49" i="38" s="1"/>
  <c r="G49" i="38" s="1"/>
  <c r="H49" i="38" s="1"/>
  <c r="D49" i="38"/>
  <c r="D48" i="38"/>
  <c r="E48" i="38" s="1"/>
  <c r="F48" i="38" s="1"/>
  <c r="G48" i="38" s="1"/>
  <c r="H48" i="38" s="1"/>
  <c r="D47" i="38"/>
  <c r="E47" i="38" s="1"/>
  <c r="F47" i="38" s="1"/>
  <c r="G47" i="38" s="1"/>
  <c r="H47" i="38" s="1"/>
  <c r="F46" i="38"/>
  <c r="G46" i="38" s="1"/>
  <c r="H46" i="38" s="1"/>
  <c r="D46" i="38"/>
  <c r="E46" i="38" s="1"/>
  <c r="E45" i="38"/>
  <c r="F45" i="38" s="1"/>
  <c r="G45" i="38" s="1"/>
  <c r="H45" i="38" s="1"/>
  <c r="D45" i="38"/>
  <c r="D44" i="38"/>
  <c r="E44" i="38" s="1"/>
  <c r="F44" i="38" s="1"/>
  <c r="G44" i="38" s="1"/>
  <c r="H44" i="38" s="1"/>
  <c r="D43" i="38"/>
  <c r="E43" i="38" s="1"/>
  <c r="F43" i="38" s="1"/>
  <c r="G43" i="38" s="1"/>
  <c r="H43" i="38" s="1"/>
  <c r="D42" i="38"/>
  <c r="E42" i="38" s="1"/>
  <c r="F42" i="38" s="1"/>
  <c r="G42" i="38" s="1"/>
  <c r="H42" i="38" s="1"/>
  <c r="E41" i="38"/>
  <c r="F41" i="38" s="1"/>
  <c r="G41" i="38" s="1"/>
  <c r="H41" i="38" s="1"/>
  <c r="D41" i="38"/>
  <c r="D40" i="38"/>
  <c r="E40" i="38" s="1"/>
  <c r="F40" i="38" s="1"/>
  <c r="G40" i="38" s="1"/>
  <c r="H40" i="38" s="1"/>
  <c r="D39" i="38"/>
  <c r="E39" i="38" s="1"/>
  <c r="F39" i="38" s="1"/>
  <c r="G39" i="38" s="1"/>
  <c r="H39" i="38" s="1"/>
  <c r="F38" i="38"/>
  <c r="G38" i="38" s="1"/>
  <c r="H38" i="38" s="1"/>
  <c r="D38" i="38"/>
  <c r="E38" i="38" s="1"/>
  <c r="D37" i="38"/>
  <c r="E37" i="38" s="1"/>
  <c r="F37" i="38" s="1"/>
  <c r="G37" i="38" s="1"/>
  <c r="H37" i="38" s="1"/>
  <c r="D36" i="38"/>
  <c r="E36" i="38" s="1"/>
  <c r="F36" i="38" s="1"/>
  <c r="G36" i="38" s="1"/>
  <c r="H36" i="38" s="1"/>
  <c r="D35" i="38"/>
  <c r="E35" i="38" s="1"/>
  <c r="F35" i="38" s="1"/>
  <c r="G35" i="38" s="1"/>
  <c r="H35" i="38" s="1"/>
  <c r="F34" i="38"/>
  <c r="G34" i="38" s="1"/>
  <c r="H34" i="38" s="1"/>
  <c r="D34" i="38"/>
  <c r="E34" i="38" s="1"/>
  <c r="E33" i="38"/>
  <c r="F33" i="38" s="1"/>
  <c r="G33" i="38" s="1"/>
  <c r="H33" i="38" s="1"/>
  <c r="D33" i="38"/>
  <c r="D32" i="38"/>
  <c r="E32" i="38" s="1"/>
  <c r="F32" i="38" s="1"/>
  <c r="G32" i="38" s="1"/>
  <c r="H32" i="38" s="1"/>
  <c r="D31" i="38"/>
  <c r="E31" i="38" s="1"/>
  <c r="F31" i="38" s="1"/>
  <c r="G31" i="38" s="1"/>
  <c r="H31" i="38" s="1"/>
  <c r="F30" i="38"/>
  <c r="G30" i="38" s="1"/>
  <c r="H30" i="38" s="1"/>
  <c r="D30" i="38"/>
  <c r="E30" i="38" s="1"/>
  <c r="E29" i="38"/>
  <c r="F29" i="38" s="1"/>
  <c r="G29" i="38" s="1"/>
  <c r="H29" i="38" s="1"/>
  <c r="D29" i="38"/>
  <c r="D28" i="38"/>
  <c r="E28" i="38" s="1"/>
  <c r="F28" i="38" s="1"/>
  <c r="G28" i="38" s="1"/>
  <c r="H28" i="38" s="1"/>
  <c r="D27" i="38"/>
  <c r="E27" i="38" s="1"/>
  <c r="F27" i="38" s="1"/>
  <c r="G27" i="38" s="1"/>
  <c r="H27" i="38" s="1"/>
  <c r="D26" i="38"/>
  <c r="E26" i="38" s="1"/>
  <c r="F26" i="38" s="1"/>
  <c r="G26" i="38" s="1"/>
  <c r="H26" i="38" s="1"/>
  <c r="E25" i="38"/>
  <c r="F25" i="38" s="1"/>
  <c r="G25" i="38" s="1"/>
  <c r="H25" i="38" s="1"/>
  <c r="D25" i="38"/>
  <c r="D24" i="38"/>
  <c r="E24" i="38" s="1"/>
  <c r="F24" i="38" s="1"/>
  <c r="G24" i="38" s="1"/>
  <c r="H24" i="38" s="1"/>
  <c r="D23" i="38"/>
  <c r="E23" i="38" s="1"/>
  <c r="F23" i="38" s="1"/>
  <c r="G23" i="38" s="1"/>
  <c r="H23" i="38" s="1"/>
  <c r="F22" i="38"/>
  <c r="G22" i="38" s="1"/>
  <c r="H22" i="38" s="1"/>
  <c r="D22" i="38"/>
  <c r="E22" i="38" s="1"/>
  <c r="D21" i="38"/>
  <c r="E21" i="38" s="1"/>
  <c r="F21" i="38" s="1"/>
  <c r="G21" i="38" s="1"/>
  <c r="H21" i="38" s="1"/>
  <c r="D20" i="38"/>
  <c r="E20" i="38" s="1"/>
  <c r="F20" i="38" s="1"/>
  <c r="G20" i="38" s="1"/>
  <c r="H20" i="38" s="1"/>
  <c r="D19" i="38"/>
  <c r="E19" i="38" s="1"/>
  <c r="F19" i="38" s="1"/>
  <c r="G19" i="38" s="1"/>
  <c r="H19" i="38" s="1"/>
  <c r="F18" i="38"/>
  <c r="G18" i="38" s="1"/>
  <c r="H18" i="38" s="1"/>
  <c r="D18" i="38"/>
  <c r="E18" i="38" s="1"/>
  <c r="E17" i="38"/>
  <c r="F17" i="38" s="1"/>
  <c r="G17" i="38" s="1"/>
  <c r="H17" i="38" s="1"/>
  <c r="D17" i="38"/>
  <c r="D16" i="38"/>
  <c r="E16" i="38" s="1"/>
  <c r="F16" i="38" s="1"/>
  <c r="G16" i="38" s="1"/>
  <c r="H16" i="38" s="1"/>
  <c r="D15" i="38"/>
  <c r="E15" i="38" s="1"/>
  <c r="F15" i="38" s="1"/>
  <c r="G15" i="38" s="1"/>
  <c r="H15" i="38" s="1"/>
  <c r="F14" i="38"/>
  <c r="G14" i="38" s="1"/>
  <c r="H14" i="38" s="1"/>
  <c r="D14" i="38"/>
  <c r="E14" i="38" s="1"/>
  <c r="E13" i="38"/>
  <c r="F13" i="38" s="1"/>
  <c r="G13" i="38" s="1"/>
  <c r="H13" i="38" s="1"/>
  <c r="D13" i="38"/>
  <c r="D12" i="38"/>
  <c r="E12" i="38" s="1"/>
  <c r="F12" i="38" s="1"/>
  <c r="G12" i="38" s="1"/>
  <c r="H12" i="38" s="1"/>
  <c r="D11" i="38"/>
  <c r="E11" i="38" s="1"/>
  <c r="F11" i="38" s="1"/>
  <c r="G11" i="38" s="1"/>
  <c r="H11" i="38" s="1"/>
  <c r="D10" i="38"/>
  <c r="E10" i="38" s="1"/>
  <c r="F10" i="38" s="1"/>
  <c r="G10" i="38" s="1"/>
  <c r="H10" i="38" s="1"/>
  <c r="E9" i="38"/>
  <c r="F9" i="38" s="1"/>
  <c r="G9" i="38" s="1"/>
  <c r="H9" i="38" s="1"/>
  <c r="D9" i="38"/>
  <c r="D8" i="38"/>
  <c r="E8" i="38" s="1"/>
  <c r="F8" i="38" s="1"/>
  <c r="G8" i="38" s="1"/>
  <c r="H8" i="38" s="1"/>
  <c r="D7" i="38"/>
  <c r="E7" i="38" s="1"/>
  <c r="F7" i="38" s="1"/>
  <c r="G7" i="38" s="1"/>
  <c r="H7" i="38" s="1"/>
  <c r="F6" i="38"/>
  <c r="G6" i="38" s="1"/>
  <c r="H6" i="38" s="1"/>
  <c r="D6" i="38"/>
  <c r="E6" i="38" s="1"/>
  <c r="D5" i="38"/>
  <c r="E5" i="38" s="1"/>
  <c r="F5" i="38" s="1"/>
  <c r="G5" i="38" s="1"/>
  <c r="H5" i="38" s="1"/>
  <c r="D4" i="38"/>
  <c r="E4" i="38" s="1"/>
  <c r="F4" i="38" s="1"/>
  <c r="G4" i="38" s="1"/>
  <c r="H4" i="38" s="1"/>
  <c r="D3" i="38"/>
  <c r="E3" i="38" s="1"/>
  <c r="F3" i="38" s="1"/>
  <c r="G3" i="38" s="1"/>
  <c r="H3" i="38" s="1"/>
  <c r="D2" i="38"/>
  <c r="D2" i="52" l="1"/>
  <c r="C5" i="30" s="1"/>
  <c r="E7" i="52"/>
  <c r="AY13" i="56"/>
  <c r="AY13" i="55"/>
  <c r="AY14" i="55"/>
  <c r="AY14" i="56"/>
  <c r="AY15" i="56"/>
  <c r="AH11" i="53"/>
  <c r="AH12" i="53" s="1"/>
  <c r="AL14" i="56"/>
  <c r="AL14" i="55"/>
  <c r="AL15" i="56"/>
  <c r="AY16" i="56"/>
  <c r="AJ87" i="55"/>
  <c r="AO87" i="55" s="1"/>
  <c r="AJ55" i="55"/>
  <c r="AJ23" i="55"/>
  <c r="AJ17" i="55"/>
  <c r="AJ37" i="55"/>
  <c r="AJ29" i="55"/>
  <c r="AJ49" i="55"/>
  <c r="AJ96" i="55"/>
  <c r="AO96" i="55" s="1"/>
  <c r="AJ45" i="55"/>
  <c r="AJ48" i="55"/>
  <c r="AJ60" i="55"/>
  <c r="AJ97" i="56"/>
  <c r="AO97" i="56" s="1"/>
  <c r="AJ57" i="55"/>
  <c r="AJ18" i="56"/>
  <c r="AJ40" i="56"/>
  <c r="AJ94" i="55"/>
  <c r="AO94" i="55" s="1"/>
  <c r="AJ56" i="55"/>
  <c r="AJ85" i="55"/>
  <c r="AO85" i="55" s="1"/>
  <c r="AJ81" i="55"/>
  <c r="AO81" i="55" s="1"/>
  <c r="AJ80" i="56"/>
  <c r="AO80" i="56" s="1"/>
  <c r="AJ101" i="55"/>
  <c r="AO101" i="55" s="1"/>
  <c r="AJ62" i="55"/>
  <c r="AJ87" i="56"/>
  <c r="AO87" i="56" s="1"/>
  <c r="AJ65" i="56"/>
  <c r="AJ83" i="55"/>
  <c r="AO83" i="55" s="1"/>
  <c r="AJ45" i="56"/>
  <c r="AJ54" i="56"/>
  <c r="AJ76" i="55"/>
  <c r="AO76" i="55" s="1"/>
  <c r="AJ60" i="56"/>
  <c r="AJ101" i="56"/>
  <c r="AO101" i="56" s="1"/>
  <c r="AJ99" i="55"/>
  <c r="AO99" i="55" s="1"/>
  <c r="AJ71" i="55"/>
  <c r="AJ63" i="55"/>
  <c r="AJ53" i="55"/>
  <c r="AJ103" i="55"/>
  <c r="AO103" i="55" s="1"/>
  <c r="AJ81" i="56"/>
  <c r="AO81" i="56" s="1"/>
  <c r="AJ24" i="56"/>
  <c r="AJ42" i="56"/>
  <c r="AJ102" i="56"/>
  <c r="AO102" i="56" s="1"/>
  <c r="AJ67" i="56"/>
  <c r="AJ41" i="55"/>
  <c r="AJ62" i="56"/>
  <c r="AJ99" i="56"/>
  <c r="AO99" i="56" s="1"/>
  <c r="AJ94" i="56"/>
  <c r="AO94" i="56" s="1"/>
  <c r="AJ41" i="56"/>
  <c r="AJ25" i="55"/>
  <c r="AJ89" i="56"/>
  <c r="AO89" i="56" s="1"/>
  <c r="AJ27" i="55"/>
  <c r="AJ20" i="56"/>
  <c r="AJ97" i="55"/>
  <c r="AO97" i="55" s="1"/>
  <c r="AJ96" i="56"/>
  <c r="AO96" i="56" s="1"/>
  <c r="AJ30" i="55"/>
  <c r="AJ50" i="56"/>
  <c r="AJ70" i="55"/>
  <c r="AJ72" i="56"/>
  <c r="AJ78" i="55"/>
  <c r="AO78" i="55" s="1"/>
  <c r="AJ43" i="55"/>
  <c r="AJ14" i="56"/>
  <c r="AJ59" i="55"/>
  <c r="AJ38" i="56"/>
  <c r="AJ89" i="55"/>
  <c r="AO89" i="55" s="1"/>
  <c r="AJ37" i="56"/>
  <c r="AJ95" i="56"/>
  <c r="AO95" i="56" s="1"/>
  <c r="AJ92" i="55"/>
  <c r="AO92" i="55" s="1"/>
  <c r="AJ15" i="56"/>
  <c r="AJ61" i="56"/>
  <c r="AJ46" i="55"/>
  <c r="AJ98" i="56"/>
  <c r="AO98" i="56" s="1"/>
  <c r="AJ18" i="55"/>
  <c r="AJ90" i="55"/>
  <c r="AO90" i="55" s="1"/>
  <c r="AJ74" i="56"/>
  <c r="AO74" i="56" s="1"/>
  <c r="AJ20" i="55"/>
  <c r="AJ64" i="56"/>
  <c r="AJ14" i="55"/>
  <c r="AJ86" i="55"/>
  <c r="AO86" i="55" s="1"/>
  <c r="AJ84" i="55"/>
  <c r="AO84" i="55" s="1"/>
  <c r="AJ91" i="56"/>
  <c r="AO91" i="56" s="1"/>
  <c r="AJ39" i="55"/>
  <c r="AJ21" i="56"/>
  <c r="AJ79" i="55"/>
  <c r="AO79" i="55" s="1"/>
  <c r="AJ79" i="56"/>
  <c r="AO79" i="56" s="1"/>
  <c r="AJ38" i="55"/>
  <c r="AJ77" i="55"/>
  <c r="AO77" i="55" s="1"/>
  <c r="AJ48" i="56"/>
  <c r="AJ52" i="55"/>
  <c r="AJ16" i="56"/>
  <c r="AJ58" i="56"/>
  <c r="AJ102" i="55"/>
  <c r="AO102" i="55" s="1"/>
  <c r="AJ68" i="55"/>
  <c r="AJ35" i="56"/>
  <c r="AJ69" i="55"/>
  <c r="AJ25" i="56"/>
  <c r="AJ93" i="56"/>
  <c r="AO93" i="56" s="1"/>
  <c r="AJ47" i="55"/>
  <c r="AJ83" i="56"/>
  <c r="AO83" i="56" s="1"/>
  <c r="AJ64" i="55"/>
  <c r="AJ22" i="55"/>
  <c r="AJ100" i="56"/>
  <c r="AO100" i="56" s="1"/>
  <c r="AJ32" i="56"/>
  <c r="AJ30" i="56"/>
  <c r="AJ75" i="56"/>
  <c r="AO75" i="56" s="1"/>
  <c r="AJ36" i="56"/>
  <c r="AJ15" i="55"/>
  <c r="AJ53" i="56"/>
  <c r="AJ75" i="55"/>
  <c r="AO75" i="55" s="1"/>
  <c r="AJ70" i="56"/>
  <c r="AJ44" i="55"/>
  <c r="AJ93" i="55"/>
  <c r="AO93" i="55" s="1"/>
  <c r="AJ27" i="56"/>
  <c r="AJ49" i="56"/>
  <c r="AJ35" i="55"/>
  <c r="AJ85" i="56"/>
  <c r="AO85" i="56" s="1"/>
  <c r="AJ57" i="56"/>
  <c r="AJ72" i="55"/>
  <c r="AJ78" i="56"/>
  <c r="AO78" i="56" s="1"/>
  <c r="AJ73" i="55"/>
  <c r="AJ52" i="56"/>
  <c r="AJ43" i="56"/>
  <c r="AJ56" i="56"/>
  <c r="AJ19" i="55"/>
  <c r="AJ39" i="56"/>
  <c r="AJ86" i="56"/>
  <c r="AO86" i="56" s="1"/>
  <c r="AJ74" i="55"/>
  <c r="AO74" i="55" s="1"/>
  <c r="AJ33" i="55"/>
  <c r="AJ71" i="56"/>
  <c r="AJ16" i="55"/>
  <c r="AJ76" i="56"/>
  <c r="AO76" i="56" s="1"/>
  <c r="AJ95" i="55"/>
  <c r="AO95" i="55" s="1"/>
  <c r="AJ34" i="55"/>
  <c r="AJ40" i="55"/>
  <c r="AJ34" i="56"/>
  <c r="AJ21" i="55"/>
  <c r="AJ73" i="56"/>
  <c r="AJ32" i="55"/>
  <c r="AJ103" i="56"/>
  <c r="AO103" i="56" s="1"/>
  <c r="AJ28" i="55"/>
  <c r="AJ23" i="56"/>
  <c r="AJ22" i="56"/>
  <c r="AJ29" i="56"/>
  <c r="AJ31" i="55"/>
  <c r="AJ58" i="55"/>
  <c r="AJ51" i="56"/>
  <c r="AJ24" i="55"/>
  <c r="AJ50" i="55"/>
  <c r="AJ82" i="56"/>
  <c r="AO82" i="56" s="1"/>
  <c r="AJ26" i="55"/>
  <c r="AJ90" i="56"/>
  <c r="AO90" i="56" s="1"/>
  <c r="AJ51" i="55"/>
  <c r="AJ19" i="56"/>
  <c r="AJ66" i="56"/>
  <c r="AJ61" i="55"/>
  <c r="AJ47" i="56"/>
  <c r="AJ54" i="55"/>
  <c r="AJ55" i="56"/>
  <c r="AJ65" i="55"/>
  <c r="AJ46" i="56"/>
  <c r="AJ42" i="55"/>
  <c r="AJ31" i="56"/>
  <c r="AJ88" i="56"/>
  <c r="AO88" i="56" s="1"/>
  <c r="AJ80" i="55"/>
  <c r="AO80" i="55" s="1"/>
  <c r="AJ68" i="56"/>
  <c r="AJ28" i="56"/>
  <c r="AJ17" i="56"/>
  <c r="AJ67" i="55"/>
  <c r="AJ100" i="55"/>
  <c r="AO100" i="55" s="1"/>
  <c r="AJ44" i="56"/>
  <c r="AJ88" i="55"/>
  <c r="AO88" i="55" s="1"/>
  <c r="AJ69" i="56"/>
  <c r="AJ82" i="55"/>
  <c r="AO82" i="55" s="1"/>
  <c r="AJ26" i="56"/>
  <c r="AJ77" i="56"/>
  <c r="AO77" i="56" s="1"/>
  <c r="AJ36" i="55"/>
  <c r="AJ98" i="55"/>
  <c r="AO98" i="55" s="1"/>
  <c r="AJ33" i="56"/>
  <c r="AJ84" i="56"/>
  <c r="AO84" i="56" s="1"/>
  <c r="AJ91" i="55"/>
  <c r="AO91" i="55" s="1"/>
  <c r="AJ59" i="56"/>
  <c r="AJ92" i="56"/>
  <c r="AO92" i="56" s="1"/>
  <c r="AJ66" i="55"/>
  <c r="AJ63" i="56"/>
  <c r="AJ13" i="55"/>
  <c r="AJ13" i="56"/>
  <c r="AW13" i="55"/>
  <c r="AW13" i="56"/>
  <c r="AW14" i="55"/>
  <c r="AW14" i="56"/>
  <c r="AW15" i="56"/>
  <c r="AI11" i="53"/>
  <c r="AI12" i="53" s="1"/>
  <c r="AW16" i="56"/>
  <c r="AU13" i="56"/>
  <c r="AU13" i="55"/>
  <c r="AU14" i="55"/>
  <c r="AU14" i="56"/>
  <c r="AU15" i="56"/>
  <c r="AG11" i="53"/>
  <c r="AL13" i="55"/>
  <c r="AQ13" i="56"/>
  <c r="AQ13" i="55"/>
  <c r="AQ14" i="56"/>
  <c r="AQ15" i="56"/>
  <c r="AL13" i="56"/>
  <c r="AL16" i="56"/>
  <c r="V14" i="55"/>
  <c r="T14" i="55"/>
  <c r="AS17" i="56"/>
  <c r="V18" i="56"/>
  <c r="X18" i="56"/>
  <c r="AB18" i="56"/>
  <c r="AW17" i="56"/>
  <c r="AU17" i="56"/>
  <c r="AL17" i="56"/>
  <c r="AQ17" i="56"/>
  <c r="AF17" i="56"/>
  <c r="T18" i="56"/>
  <c r="AY17" i="56"/>
  <c r="Z18" i="56"/>
  <c r="AD18" i="56"/>
  <c r="G5" i="54"/>
  <c r="H5" i="54" s="1"/>
  <c r="G13" i="54"/>
  <c r="H13" i="54" s="1"/>
  <c r="G21" i="54"/>
  <c r="H21" i="54" s="1"/>
  <c r="G29" i="54"/>
  <c r="H29" i="54" s="1"/>
  <c r="G37" i="54"/>
  <c r="H37" i="54" s="1"/>
  <c r="G45" i="54"/>
  <c r="H45" i="54" s="1"/>
  <c r="G53" i="54"/>
  <c r="H53" i="54" s="1"/>
  <c r="G61" i="54"/>
  <c r="H61" i="54" s="1"/>
  <c r="G69" i="54"/>
  <c r="H69" i="54" s="1"/>
  <c r="G77" i="54"/>
  <c r="H77" i="54" s="1"/>
  <c r="G85" i="54"/>
  <c r="H85" i="54" s="1"/>
  <c r="G48" i="54"/>
  <c r="H48" i="54" s="1"/>
  <c r="G64" i="54"/>
  <c r="H64" i="54" s="1"/>
  <c r="G17" i="54"/>
  <c r="H17" i="54" s="1"/>
  <c r="G41" i="54"/>
  <c r="H41" i="54" s="1"/>
  <c r="G65" i="54"/>
  <c r="H65" i="54" s="1"/>
  <c r="G81" i="54"/>
  <c r="H81" i="54" s="1"/>
  <c r="G6" i="54"/>
  <c r="H6" i="54" s="1"/>
  <c r="G14" i="54"/>
  <c r="H14" i="54" s="1"/>
  <c r="G22" i="54"/>
  <c r="H22" i="54" s="1"/>
  <c r="G30" i="54"/>
  <c r="H30" i="54" s="1"/>
  <c r="G38" i="54"/>
  <c r="H38" i="54" s="1"/>
  <c r="G46" i="54"/>
  <c r="H46" i="54" s="1"/>
  <c r="G54" i="54"/>
  <c r="H54" i="54" s="1"/>
  <c r="G62" i="54"/>
  <c r="H62" i="54" s="1"/>
  <c r="G70" i="54"/>
  <c r="H70" i="54" s="1"/>
  <c r="G78" i="54"/>
  <c r="H78" i="54" s="1"/>
  <c r="G4" i="54"/>
  <c r="H4" i="54" s="1"/>
  <c r="G15" i="54"/>
  <c r="H15" i="54" s="1"/>
  <c r="G23" i="54"/>
  <c r="H23" i="54" s="1"/>
  <c r="G31" i="54"/>
  <c r="H31" i="54" s="1"/>
  <c r="G39" i="54"/>
  <c r="H39" i="54" s="1"/>
  <c r="G47" i="54"/>
  <c r="H47" i="54" s="1"/>
  <c r="G55" i="54"/>
  <c r="H55" i="54" s="1"/>
  <c r="G63" i="54"/>
  <c r="H63" i="54" s="1"/>
  <c r="G71" i="54"/>
  <c r="H71" i="54" s="1"/>
  <c r="G79" i="54"/>
  <c r="H79" i="54" s="1"/>
  <c r="G16" i="54"/>
  <c r="H16" i="54" s="1"/>
  <c r="G24" i="54"/>
  <c r="H24" i="54" s="1"/>
  <c r="G32" i="54"/>
  <c r="H32" i="54" s="1"/>
  <c r="G40" i="54"/>
  <c r="H40" i="54" s="1"/>
  <c r="G56" i="54"/>
  <c r="H56" i="54" s="1"/>
  <c r="G72" i="54"/>
  <c r="H72" i="54" s="1"/>
  <c r="G80" i="54"/>
  <c r="H80" i="54" s="1"/>
  <c r="G25" i="54"/>
  <c r="H25" i="54" s="1"/>
  <c r="G49" i="54"/>
  <c r="H49" i="54" s="1"/>
  <c r="G57" i="54"/>
  <c r="H57" i="54" s="1"/>
  <c r="G73" i="54"/>
  <c r="H73" i="54" s="1"/>
  <c r="G76" i="54"/>
  <c r="H76" i="54" s="1"/>
  <c r="G7" i="54"/>
  <c r="H7" i="54" s="1"/>
  <c r="G33" i="54"/>
  <c r="H33" i="54" s="1"/>
  <c r="G8" i="54"/>
  <c r="H8" i="54" s="1"/>
  <c r="G9" i="54"/>
  <c r="H9" i="54" s="1"/>
  <c r="G10" i="54"/>
  <c r="H10" i="54" s="1"/>
  <c r="G18" i="54"/>
  <c r="H18" i="54" s="1"/>
  <c r="G26" i="54"/>
  <c r="H26" i="54" s="1"/>
  <c r="G34" i="54"/>
  <c r="H34" i="54" s="1"/>
  <c r="G42" i="54"/>
  <c r="H42" i="54" s="1"/>
  <c r="G50" i="54"/>
  <c r="H50" i="54" s="1"/>
  <c r="G58" i="54"/>
  <c r="H58" i="54" s="1"/>
  <c r="G66" i="54"/>
  <c r="H66" i="54" s="1"/>
  <c r="G74" i="54"/>
  <c r="H74" i="54" s="1"/>
  <c r="G82" i="54"/>
  <c r="H82" i="54" s="1"/>
  <c r="G19" i="54"/>
  <c r="H19" i="54" s="1"/>
  <c r="G27" i="54"/>
  <c r="H27" i="54" s="1"/>
  <c r="G35" i="54"/>
  <c r="H35" i="54" s="1"/>
  <c r="G43" i="54"/>
  <c r="H43" i="54" s="1"/>
  <c r="G51" i="54"/>
  <c r="H51" i="54" s="1"/>
  <c r="G59" i="54"/>
  <c r="H59" i="54" s="1"/>
  <c r="G67" i="54"/>
  <c r="H67" i="54" s="1"/>
  <c r="G75" i="54"/>
  <c r="H75" i="54" s="1"/>
  <c r="G83" i="54"/>
  <c r="H83" i="54" s="1"/>
  <c r="G20" i="54"/>
  <c r="H20" i="54" s="1"/>
  <c r="G28" i="54"/>
  <c r="H28" i="54" s="1"/>
  <c r="G36" i="54"/>
  <c r="H36" i="54" s="1"/>
  <c r="G44" i="54"/>
  <c r="H44" i="54" s="1"/>
  <c r="G52" i="54"/>
  <c r="H52" i="54" s="1"/>
  <c r="G60" i="54"/>
  <c r="H60" i="54" s="1"/>
  <c r="G68" i="54"/>
  <c r="H68" i="54" s="1"/>
  <c r="G84" i="54"/>
  <c r="H84" i="54" s="1"/>
  <c r="G11" i="54"/>
  <c r="H11" i="54" s="1"/>
  <c r="G12" i="54"/>
  <c r="H12" i="54" s="1"/>
  <c r="J40" i="54"/>
  <c r="K40" i="54" s="1"/>
  <c r="L40" i="54" s="1"/>
  <c r="J60" i="54"/>
  <c r="K60" i="54" s="1"/>
  <c r="L60" i="54" s="1"/>
  <c r="J67" i="54"/>
  <c r="K67" i="54" s="1"/>
  <c r="L67" i="54" s="1"/>
  <c r="J79" i="54"/>
  <c r="K79" i="54" s="1"/>
  <c r="L79" i="54" s="1"/>
  <c r="J32" i="54"/>
  <c r="K32" i="54" s="1"/>
  <c r="L32" i="54" s="1"/>
  <c r="J77" i="54"/>
  <c r="K77" i="54" s="1"/>
  <c r="L77" i="54" s="1"/>
  <c r="J20" i="54"/>
  <c r="K20" i="54" s="1"/>
  <c r="L20" i="54" s="1"/>
  <c r="J63" i="54"/>
  <c r="K63" i="54" s="1"/>
  <c r="L63" i="54" s="1"/>
  <c r="J62" i="54"/>
  <c r="K62" i="54" s="1"/>
  <c r="L62" i="54" s="1"/>
  <c r="J74" i="54"/>
  <c r="K74" i="54" s="1"/>
  <c r="L74" i="54" s="1"/>
  <c r="J15" i="54"/>
  <c r="K15" i="54" s="1"/>
  <c r="L15" i="54" s="1"/>
  <c r="J49" i="54"/>
  <c r="K49" i="54" s="1"/>
  <c r="L49" i="54" s="1"/>
  <c r="J75" i="54"/>
  <c r="K75" i="54" s="1"/>
  <c r="L75" i="54" s="1"/>
  <c r="J39" i="54"/>
  <c r="K39" i="54" s="1"/>
  <c r="L39" i="54" s="1"/>
  <c r="J53" i="54"/>
  <c r="K53" i="54" s="1"/>
  <c r="L53" i="54" s="1"/>
  <c r="J73" i="54"/>
  <c r="K73" i="54" s="1"/>
  <c r="L73" i="54" s="1"/>
  <c r="J24" i="54"/>
  <c r="K24" i="54" s="1"/>
  <c r="L24" i="54" s="1"/>
  <c r="J41" i="54"/>
  <c r="K41" i="54" s="1"/>
  <c r="L41" i="54" s="1"/>
  <c r="J69" i="54"/>
  <c r="K69" i="54" s="1"/>
  <c r="L69" i="54" s="1"/>
  <c r="J61" i="54"/>
  <c r="K61" i="54" s="1"/>
  <c r="L61" i="54" s="1"/>
  <c r="J12" i="54"/>
  <c r="K12" i="54" s="1"/>
  <c r="L12" i="54" s="1"/>
  <c r="J19" i="54"/>
  <c r="K19" i="54" s="1"/>
  <c r="L19" i="54" s="1"/>
  <c r="J44" i="54"/>
  <c r="K44" i="54" s="1"/>
  <c r="L44" i="54" s="1"/>
  <c r="J54" i="54"/>
  <c r="K54" i="54" s="1"/>
  <c r="L54" i="54" s="1"/>
  <c r="J72" i="54"/>
  <c r="K72" i="54" s="1"/>
  <c r="L72" i="54" s="1"/>
  <c r="J81" i="54"/>
  <c r="K81" i="54" s="1"/>
  <c r="L81" i="54" s="1"/>
  <c r="J42" i="54"/>
  <c r="K42" i="54" s="1"/>
  <c r="L42" i="54" s="1"/>
  <c r="J16" i="54"/>
  <c r="K16" i="54" s="1"/>
  <c r="L16" i="54" s="1"/>
  <c r="J84" i="54"/>
  <c r="K84" i="54" s="1"/>
  <c r="L84" i="54" s="1"/>
  <c r="J6" i="54"/>
  <c r="K6" i="54" s="1"/>
  <c r="L6" i="54" s="1"/>
  <c r="J57" i="54"/>
  <c r="K57" i="54" s="1"/>
  <c r="L57" i="54" s="1"/>
  <c r="J18" i="54"/>
  <c r="K18" i="54" s="1"/>
  <c r="L18" i="54" s="1"/>
  <c r="J29" i="54"/>
  <c r="K29" i="54" s="1"/>
  <c r="L29" i="54" s="1"/>
  <c r="J25" i="54"/>
  <c r="K25" i="54" s="1"/>
  <c r="L25" i="54" s="1"/>
  <c r="J28" i="54"/>
  <c r="K28" i="54" s="1"/>
  <c r="L28" i="54" s="1"/>
  <c r="J13" i="54"/>
  <c r="K13" i="54" s="1"/>
  <c r="L13" i="54" s="1"/>
  <c r="J8" i="54"/>
  <c r="K8" i="54" s="1"/>
  <c r="L8" i="54" s="1"/>
  <c r="J23" i="54"/>
  <c r="K23" i="54" s="1"/>
  <c r="L23" i="54" s="1"/>
  <c r="J21" i="54"/>
  <c r="K21" i="54" s="1"/>
  <c r="L21" i="54" s="1"/>
  <c r="J50" i="54"/>
  <c r="K50" i="54" s="1"/>
  <c r="L50" i="54" s="1"/>
  <c r="J68" i="54"/>
  <c r="K68" i="54" s="1"/>
  <c r="L68" i="54" s="1"/>
  <c r="J43" i="54"/>
  <c r="K43" i="54" s="1"/>
  <c r="L43" i="54" s="1"/>
  <c r="J17" i="54"/>
  <c r="K17" i="54" s="1"/>
  <c r="L17" i="54" s="1"/>
  <c r="J33" i="54"/>
  <c r="K33" i="54" s="1"/>
  <c r="L33" i="54" s="1"/>
  <c r="J11" i="54"/>
  <c r="K11" i="54" s="1"/>
  <c r="L11" i="54" s="1"/>
  <c r="J64" i="54"/>
  <c r="K64" i="54" s="1"/>
  <c r="L64" i="54" s="1"/>
  <c r="J37" i="54"/>
  <c r="K37" i="54" s="1"/>
  <c r="L37" i="54" s="1"/>
  <c r="J9" i="54"/>
  <c r="K9" i="54" s="1"/>
  <c r="L9" i="54" s="1"/>
  <c r="J35" i="54"/>
  <c r="K35" i="54" s="1"/>
  <c r="L35" i="54" s="1"/>
  <c r="J82" i="54"/>
  <c r="K82" i="54" s="1"/>
  <c r="L82" i="54" s="1"/>
  <c r="J48" i="54"/>
  <c r="K48" i="54" s="1"/>
  <c r="L48" i="54" s="1"/>
  <c r="J27" i="54"/>
  <c r="K27" i="54" s="1"/>
  <c r="L27" i="54" s="1"/>
  <c r="J4" i="54"/>
  <c r="K4" i="54" s="1"/>
  <c r="L4" i="54" s="1"/>
  <c r="J80" i="54"/>
  <c r="K80" i="54" s="1"/>
  <c r="L80" i="54" s="1"/>
  <c r="J7" i="54"/>
  <c r="K7" i="54" s="1"/>
  <c r="L7" i="54" s="1"/>
  <c r="J78" i="54"/>
  <c r="K78" i="54" s="1"/>
  <c r="L78" i="54" s="1"/>
  <c r="J51" i="54"/>
  <c r="K51" i="54" s="1"/>
  <c r="L51" i="54" s="1"/>
  <c r="J36" i="54"/>
  <c r="K36" i="54" s="1"/>
  <c r="L36" i="54" s="1"/>
  <c r="J52" i="54"/>
  <c r="K52" i="54" s="1"/>
  <c r="L52" i="54" s="1"/>
  <c r="J71" i="54"/>
  <c r="K71" i="54" s="1"/>
  <c r="L71" i="54" s="1"/>
  <c r="J66" i="54"/>
  <c r="K66" i="54" s="1"/>
  <c r="L66" i="54" s="1"/>
  <c r="J34" i="54"/>
  <c r="K34" i="54" s="1"/>
  <c r="L34" i="54" s="1"/>
  <c r="J55" i="54"/>
  <c r="K55" i="54" s="1"/>
  <c r="L55" i="54" s="1"/>
  <c r="J59" i="54"/>
  <c r="K59" i="54" s="1"/>
  <c r="L59" i="54" s="1"/>
  <c r="J65" i="54"/>
  <c r="K65" i="54" s="1"/>
  <c r="L65" i="54" s="1"/>
  <c r="J10" i="54"/>
  <c r="K10" i="54" s="1"/>
  <c r="L10" i="54" s="1"/>
  <c r="J22" i="54"/>
  <c r="K22" i="54" s="1"/>
  <c r="L22" i="54" s="1"/>
  <c r="J56" i="54"/>
  <c r="K56" i="54" s="1"/>
  <c r="L56" i="54" s="1"/>
  <c r="J70" i="54"/>
  <c r="K70" i="54" s="1"/>
  <c r="L70" i="54" s="1"/>
  <c r="J26" i="54"/>
  <c r="K26" i="54" s="1"/>
  <c r="L26" i="54" s="1"/>
  <c r="J14" i="54"/>
  <c r="K14" i="54" s="1"/>
  <c r="L14" i="54" s="1"/>
  <c r="J47" i="54"/>
  <c r="K47" i="54" s="1"/>
  <c r="L47" i="54" s="1"/>
  <c r="J58" i="54"/>
  <c r="K58" i="54" s="1"/>
  <c r="L58" i="54" s="1"/>
  <c r="J45" i="54"/>
  <c r="K45" i="54" s="1"/>
  <c r="L45" i="54" s="1"/>
  <c r="J46" i="54"/>
  <c r="K46" i="54" s="1"/>
  <c r="L46" i="54" s="1"/>
  <c r="J30" i="54"/>
  <c r="K30" i="54" s="1"/>
  <c r="L30" i="54" s="1"/>
  <c r="J76" i="54"/>
  <c r="K76" i="54" s="1"/>
  <c r="L76" i="54" s="1"/>
  <c r="J38" i="54"/>
  <c r="K38" i="54" s="1"/>
  <c r="L38" i="54" s="1"/>
  <c r="J5" i="54"/>
  <c r="K5" i="54" s="1"/>
  <c r="L5" i="54" s="1"/>
  <c r="J83" i="54"/>
  <c r="K83" i="54" s="1"/>
  <c r="L83" i="54" s="1"/>
  <c r="J31" i="54"/>
  <c r="K31" i="54" s="1"/>
  <c r="L31" i="54" s="1"/>
  <c r="E12" i="54"/>
  <c r="F12" i="54" s="1"/>
  <c r="E20" i="54"/>
  <c r="F20" i="54" s="1"/>
  <c r="E28" i="54"/>
  <c r="F28" i="54" s="1"/>
  <c r="E36" i="54"/>
  <c r="F36" i="54" s="1"/>
  <c r="E44" i="54"/>
  <c r="F44" i="54" s="1"/>
  <c r="E52" i="54"/>
  <c r="F52" i="54" s="1"/>
  <c r="E60" i="54"/>
  <c r="F60" i="54" s="1"/>
  <c r="E68" i="54"/>
  <c r="F68" i="54" s="1"/>
  <c r="E76" i="54"/>
  <c r="F76" i="54" s="1"/>
  <c r="E84" i="54"/>
  <c r="F84" i="54" s="1"/>
  <c r="E54" i="54"/>
  <c r="F54" i="54" s="1"/>
  <c r="E70" i="54"/>
  <c r="F70" i="54" s="1"/>
  <c r="E74" i="54"/>
  <c r="F74" i="54" s="1"/>
  <c r="E51" i="54"/>
  <c r="F51" i="54" s="1"/>
  <c r="E75" i="54"/>
  <c r="F75" i="54" s="1"/>
  <c r="E5" i="54"/>
  <c r="F5" i="54" s="1"/>
  <c r="E13" i="54"/>
  <c r="F13" i="54" s="1"/>
  <c r="E21" i="54"/>
  <c r="F21" i="54" s="1"/>
  <c r="E29" i="54"/>
  <c r="F29" i="54" s="1"/>
  <c r="E37" i="54"/>
  <c r="F37" i="54" s="1"/>
  <c r="E45" i="54"/>
  <c r="F45" i="54" s="1"/>
  <c r="E53" i="54"/>
  <c r="F53" i="54" s="1"/>
  <c r="E61" i="54"/>
  <c r="F61" i="54" s="1"/>
  <c r="E69" i="54"/>
  <c r="F69" i="54" s="1"/>
  <c r="E77" i="54"/>
  <c r="F77" i="54" s="1"/>
  <c r="E4" i="54"/>
  <c r="F4" i="54" s="1"/>
  <c r="E38" i="54"/>
  <c r="F38" i="54" s="1"/>
  <c r="E62" i="54"/>
  <c r="F62" i="54" s="1"/>
  <c r="E82" i="54"/>
  <c r="F82" i="54" s="1"/>
  <c r="E59" i="54"/>
  <c r="F59" i="54" s="1"/>
  <c r="E6" i="54"/>
  <c r="F6" i="54" s="1"/>
  <c r="E14" i="54"/>
  <c r="F14" i="54" s="1"/>
  <c r="E22" i="54"/>
  <c r="F22" i="54" s="1"/>
  <c r="E30" i="54"/>
  <c r="F30" i="54" s="1"/>
  <c r="E46" i="54"/>
  <c r="F46" i="54" s="1"/>
  <c r="E78" i="54"/>
  <c r="F78" i="54" s="1"/>
  <c r="E19" i="54"/>
  <c r="F19" i="54" s="1"/>
  <c r="E7" i="54"/>
  <c r="F7" i="54" s="1"/>
  <c r="E15" i="54"/>
  <c r="F15" i="54" s="1"/>
  <c r="E23" i="54"/>
  <c r="F23" i="54" s="1"/>
  <c r="E31" i="54"/>
  <c r="F31" i="54" s="1"/>
  <c r="E39" i="54"/>
  <c r="F39" i="54" s="1"/>
  <c r="E47" i="54"/>
  <c r="F47" i="54" s="1"/>
  <c r="E55" i="54"/>
  <c r="F55" i="54" s="1"/>
  <c r="E63" i="54"/>
  <c r="F63" i="54" s="1"/>
  <c r="E71" i="54"/>
  <c r="F71" i="54" s="1"/>
  <c r="E79" i="54"/>
  <c r="F79" i="54" s="1"/>
  <c r="E33" i="54"/>
  <c r="F33" i="54" s="1"/>
  <c r="E49" i="54"/>
  <c r="F49" i="54" s="1"/>
  <c r="E73" i="54"/>
  <c r="F73" i="54" s="1"/>
  <c r="E11" i="54"/>
  <c r="F11" i="54" s="1"/>
  <c r="E83" i="54"/>
  <c r="F83" i="54" s="1"/>
  <c r="E8" i="54"/>
  <c r="F8" i="54" s="1"/>
  <c r="E16" i="54"/>
  <c r="F16" i="54" s="1"/>
  <c r="E24" i="54"/>
  <c r="F24" i="54" s="1"/>
  <c r="E32" i="54"/>
  <c r="F32" i="54" s="1"/>
  <c r="E40" i="54"/>
  <c r="F40" i="54" s="1"/>
  <c r="E48" i="54"/>
  <c r="F48" i="54" s="1"/>
  <c r="E56" i="54"/>
  <c r="F56" i="54" s="1"/>
  <c r="E64" i="54"/>
  <c r="F64" i="54" s="1"/>
  <c r="E72" i="54"/>
  <c r="F72" i="54" s="1"/>
  <c r="E80" i="54"/>
  <c r="F80" i="54" s="1"/>
  <c r="E25" i="54"/>
  <c r="F25" i="54" s="1"/>
  <c r="E65" i="54"/>
  <c r="F65" i="54" s="1"/>
  <c r="E27" i="54"/>
  <c r="F27" i="54" s="1"/>
  <c r="E9" i="54"/>
  <c r="F9" i="54" s="1"/>
  <c r="E17" i="54"/>
  <c r="F17" i="54" s="1"/>
  <c r="E41" i="54"/>
  <c r="F41" i="54" s="1"/>
  <c r="E57" i="54"/>
  <c r="F57" i="54" s="1"/>
  <c r="E81" i="54"/>
  <c r="F81" i="54" s="1"/>
  <c r="E35" i="54"/>
  <c r="F35" i="54" s="1"/>
  <c r="E67" i="54"/>
  <c r="F67" i="54" s="1"/>
  <c r="E10" i="54"/>
  <c r="F10" i="54" s="1"/>
  <c r="E18" i="54"/>
  <c r="F18" i="54" s="1"/>
  <c r="E26" i="54"/>
  <c r="F26" i="54" s="1"/>
  <c r="E34" i="54"/>
  <c r="F34" i="54" s="1"/>
  <c r="E42" i="54"/>
  <c r="F42" i="54" s="1"/>
  <c r="E50" i="54"/>
  <c r="F50" i="54" s="1"/>
  <c r="E58" i="54"/>
  <c r="F58" i="54" s="1"/>
  <c r="E66" i="54"/>
  <c r="F66" i="54" s="1"/>
  <c r="E43" i="54"/>
  <c r="F43" i="54" s="1"/>
  <c r="C7" i="54"/>
  <c r="D7" i="54" s="1"/>
  <c r="O28" i="54"/>
  <c r="C65" i="54"/>
  <c r="D65" i="54" s="1"/>
  <c r="O16" i="54"/>
  <c r="O8" i="54"/>
  <c r="C84" i="54"/>
  <c r="D84" i="54" s="1"/>
  <c r="C14" i="54"/>
  <c r="D14" i="54" s="1"/>
  <c r="O41" i="54"/>
  <c r="O6" i="54"/>
  <c r="C9" i="54"/>
  <c r="D9" i="54" s="1"/>
  <c r="C22" i="54"/>
  <c r="D22" i="54" s="1"/>
  <c r="O69" i="54"/>
  <c r="O70" i="54"/>
  <c r="O26" i="54"/>
  <c r="O36" i="54"/>
  <c r="C48" i="54"/>
  <c r="D48" i="54" s="1"/>
  <c r="O11" i="54"/>
  <c r="O31" i="54"/>
  <c r="C34" i="54"/>
  <c r="D34" i="54" s="1"/>
  <c r="C47" i="54"/>
  <c r="D47" i="54" s="1"/>
  <c r="C73" i="54"/>
  <c r="D73" i="54" s="1"/>
  <c r="O83" i="54"/>
  <c r="O39" i="54"/>
  <c r="C53" i="54"/>
  <c r="D53" i="54" s="1"/>
  <c r="C21" i="54"/>
  <c r="D21" i="54" s="1"/>
  <c r="C50" i="54"/>
  <c r="D50" i="54" s="1"/>
  <c r="O71" i="54"/>
  <c r="O7" i="54"/>
  <c r="C28" i="54"/>
  <c r="D28" i="54" s="1"/>
  <c r="O65" i="54"/>
  <c r="C16" i="54"/>
  <c r="D16" i="54" s="1"/>
  <c r="C8" i="54"/>
  <c r="D8" i="54" s="1"/>
  <c r="O84" i="54"/>
  <c r="O14" i="54"/>
  <c r="C41" i="54"/>
  <c r="D41" i="54" s="1"/>
  <c r="C6" i="54"/>
  <c r="D6" i="54" s="1"/>
  <c r="O9" i="54"/>
  <c r="O22" i="54"/>
  <c r="C69" i="54"/>
  <c r="D69" i="54" s="1"/>
  <c r="C70" i="54"/>
  <c r="D70" i="54" s="1"/>
  <c r="C26" i="54"/>
  <c r="D26" i="54" s="1"/>
  <c r="C36" i="54"/>
  <c r="D36" i="54" s="1"/>
  <c r="O48" i="54"/>
  <c r="C11" i="54"/>
  <c r="D11" i="54" s="1"/>
  <c r="C31" i="54"/>
  <c r="D31" i="54" s="1"/>
  <c r="O34" i="54"/>
  <c r="O47" i="54"/>
  <c r="O73" i="54"/>
  <c r="C52" i="54"/>
  <c r="D52" i="54" s="1"/>
  <c r="O17" i="54"/>
  <c r="O60" i="54"/>
  <c r="C35" i="54"/>
  <c r="D35" i="54" s="1"/>
  <c r="O24" i="54"/>
  <c r="O27" i="54"/>
  <c r="O59" i="54"/>
  <c r="C38" i="54"/>
  <c r="D38" i="54" s="1"/>
  <c r="C64" i="54"/>
  <c r="D64" i="54" s="1"/>
  <c r="O4" i="54"/>
  <c r="O80" i="54"/>
  <c r="C5" i="54"/>
  <c r="D5" i="54" s="1"/>
  <c r="C37" i="54"/>
  <c r="D37" i="54" s="1"/>
  <c r="C51" i="54"/>
  <c r="D51" i="54" s="1"/>
  <c r="C10" i="54"/>
  <c r="D10" i="54" s="1"/>
  <c r="O63" i="54"/>
  <c r="C68" i="54"/>
  <c r="D68" i="54" s="1"/>
  <c r="O74" i="54"/>
  <c r="C40" i="54"/>
  <c r="D40" i="54" s="1"/>
  <c r="C75" i="54"/>
  <c r="D75" i="54" s="1"/>
  <c r="O53" i="54"/>
  <c r="C45" i="54"/>
  <c r="D45" i="54" s="1"/>
  <c r="C62" i="54"/>
  <c r="D62" i="54" s="1"/>
  <c r="C54" i="54"/>
  <c r="D54" i="54" s="1"/>
  <c r="C27" i="54"/>
  <c r="D27" i="54" s="1"/>
  <c r="C59" i="54"/>
  <c r="D59" i="54" s="1"/>
  <c r="O38" i="54"/>
  <c r="O64" i="54"/>
  <c r="C4" i="54"/>
  <c r="C80" i="54"/>
  <c r="D80" i="54" s="1"/>
  <c r="O5" i="54"/>
  <c r="O37" i="54"/>
  <c r="O51" i="54"/>
  <c r="O10" i="54"/>
  <c r="C63" i="54"/>
  <c r="D63" i="54" s="1"/>
  <c r="O68" i="54"/>
  <c r="C74" i="54"/>
  <c r="D74" i="54" s="1"/>
  <c r="C83" i="54"/>
  <c r="D83" i="54" s="1"/>
  <c r="O40" i="54"/>
  <c r="O52" i="54"/>
  <c r="O75" i="54"/>
  <c r="C17" i="54"/>
  <c r="D17" i="54" s="1"/>
  <c r="C39" i="54"/>
  <c r="D39" i="54" s="1"/>
  <c r="C23" i="54"/>
  <c r="D23" i="54" s="1"/>
  <c r="C43" i="54"/>
  <c r="D43" i="54" s="1"/>
  <c r="O58" i="54"/>
  <c r="O42" i="54"/>
  <c r="O72" i="54"/>
  <c r="O46" i="54"/>
  <c r="C30" i="54"/>
  <c r="D30" i="54" s="1"/>
  <c r="C76" i="54"/>
  <c r="D76" i="54" s="1"/>
  <c r="C79" i="54"/>
  <c r="D79" i="54" s="1"/>
  <c r="C32" i="54"/>
  <c r="D32" i="54" s="1"/>
  <c r="C55" i="54"/>
  <c r="D55" i="54" s="1"/>
  <c r="C20" i="54"/>
  <c r="D20" i="54" s="1"/>
  <c r="O56" i="54"/>
  <c r="O61" i="54"/>
  <c r="O12" i="54"/>
  <c r="O57" i="54"/>
  <c r="C15" i="54"/>
  <c r="D15" i="54" s="1"/>
  <c r="C49" i="54"/>
  <c r="D49" i="54" s="1"/>
  <c r="C29" i="54"/>
  <c r="D29" i="54" s="1"/>
  <c r="C25" i="54"/>
  <c r="D25" i="54" s="1"/>
  <c r="O44" i="54"/>
  <c r="O33" i="54"/>
  <c r="C13" i="54"/>
  <c r="D13" i="54" s="1"/>
  <c r="C77" i="54"/>
  <c r="D77" i="54" s="1"/>
  <c r="C19" i="54"/>
  <c r="D19" i="54" s="1"/>
  <c r="C58" i="54"/>
  <c r="D58" i="54" s="1"/>
  <c r="C42" i="54"/>
  <c r="D42" i="54" s="1"/>
  <c r="C72" i="54"/>
  <c r="D72" i="54" s="1"/>
  <c r="C46" i="54"/>
  <c r="D46" i="54" s="1"/>
  <c r="O30" i="54"/>
  <c r="O76" i="54"/>
  <c r="O79" i="54"/>
  <c r="O32" i="54"/>
  <c r="O55" i="54"/>
  <c r="O20" i="54"/>
  <c r="C56" i="54"/>
  <c r="D56" i="54" s="1"/>
  <c r="C61" i="54"/>
  <c r="D61" i="54" s="1"/>
  <c r="C12" i="54"/>
  <c r="D12" i="54" s="1"/>
  <c r="C57" i="54"/>
  <c r="D57" i="54" s="1"/>
  <c r="O15" i="54"/>
  <c r="O49" i="54"/>
  <c r="O29" i="54"/>
  <c r="O25" i="54"/>
  <c r="C44" i="54"/>
  <c r="D44" i="54" s="1"/>
  <c r="C33" i="54"/>
  <c r="D33" i="54" s="1"/>
  <c r="C71" i="54"/>
  <c r="D71" i="54" s="1"/>
  <c r="O54" i="54"/>
  <c r="C81" i="54"/>
  <c r="D81" i="54" s="1"/>
  <c r="O78" i="54"/>
  <c r="C82" i="54"/>
  <c r="D82" i="54" s="1"/>
  <c r="O66" i="54"/>
  <c r="O81" i="54"/>
  <c r="O13" i="54"/>
  <c r="O45" i="54"/>
  <c r="C60" i="54"/>
  <c r="D60" i="54" s="1"/>
  <c r="O67" i="54"/>
  <c r="O23" i="54"/>
  <c r="O21" i="54"/>
  <c r="C78" i="54"/>
  <c r="D78" i="54" s="1"/>
  <c r="O77" i="54"/>
  <c r="O50" i="54"/>
  <c r="O62" i="54"/>
  <c r="O35" i="54"/>
  <c r="O82" i="54"/>
  <c r="O43" i="54"/>
  <c r="O19" i="54"/>
  <c r="C18" i="54"/>
  <c r="D18" i="54" s="1"/>
  <c r="C24" i="54"/>
  <c r="D24" i="54" s="1"/>
  <c r="C66" i="54"/>
  <c r="D66" i="54" s="1"/>
  <c r="C67" i="54"/>
  <c r="D67" i="54" s="1"/>
  <c r="O18" i="54"/>
  <c r="D24" i="50"/>
  <c r="V23" i="50"/>
  <c r="X22" i="50"/>
  <c r="Y22" i="50" s="1"/>
  <c r="F23" i="50"/>
  <c r="AL13" i="47"/>
  <c r="AL14" i="47"/>
  <c r="AL15" i="47"/>
  <c r="AJ14" i="47"/>
  <c r="AJ22" i="47"/>
  <c r="AJ30" i="47"/>
  <c r="AJ38" i="47"/>
  <c r="AJ46" i="47"/>
  <c r="AJ54" i="47"/>
  <c r="AJ62" i="47"/>
  <c r="AJ70" i="47"/>
  <c r="AJ78" i="47"/>
  <c r="AJ86" i="47"/>
  <c r="AJ94" i="47"/>
  <c r="AJ102" i="47"/>
  <c r="AJ24" i="47"/>
  <c r="AJ48" i="47"/>
  <c r="AJ64" i="47"/>
  <c r="AJ80" i="47"/>
  <c r="AJ96" i="47"/>
  <c r="AJ21" i="47"/>
  <c r="AJ77" i="47"/>
  <c r="AJ15" i="47"/>
  <c r="AJ23" i="47"/>
  <c r="AJ31" i="47"/>
  <c r="AJ39" i="47"/>
  <c r="AJ47" i="47"/>
  <c r="AJ55" i="47"/>
  <c r="AJ63" i="47"/>
  <c r="AJ71" i="47"/>
  <c r="AJ79" i="47"/>
  <c r="AJ87" i="47"/>
  <c r="AJ95" i="47"/>
  <c r="AJ103" i="47"/>
  <c r="AJ16" i="47"/>
  <c r="AJ40" i="47"/>
  <c r="AJ56" i="47"/>
  <c r="AJ72" i="47"/>
  <c r="AJ88" i="47"/>
  <c r="AJ37" i="47"/>
  <c r="AJ101" i="47"/>
  <c r="AJ32" i="47"/>
  <c r="AJ85" i="47"/>
  <c r="AJ17" i="47"/>
  <c r="AJ25" i="47"/>
  <c r="AJ33" i="47"/>
  <c r="AJ41" i="47"/>
  <c r="AJ49" i="47"/>
  <c r="AJ57" i="47"/>
  <c r="AJ65" i="47"/>
  <c r="AJ73" i="47"/>
  <c r="AJ81" i="47"/>
  <c r="AJ89" i="47"/>
  <c r="AJ97" i="47"/>
  <c r="AJ45" i="47"/>
  <c r="AJ93" i="47"/>
  <c r="AJ18" i="47"/>
  <c r="AJ26" i="47"/>
  <c r="AJ34" i="47"/>
  <c r="AJ42" i="47"/>
  <c r="AJ50" i="47"/>
  <c r="AJ58" i="47"/>
  <c r="AJ66" i="47"/>
  <c r="AJ74" i="47"/>
  <c r="AJ82" i="47"/>
  <c r="AJ90" i="47"/>
  <c r="AJ98" i="47"/>
  <c r="AJ28" i="47"/>
  <c r="AJ52" i="47"/>
  <c r="AJ68" i="47"/>
  <c r="AJ84" i="47"/>
  <c r="AJ53" i="47"/>
  <c r="AJ19" i="47"/>
  <c r="AJ27" i="47"/>
  <c r="AJ35" i="47"/>
  <c r="AJ43" i="47"/>
  <c r="AJ51" i="47"/>
  <c r="AJ59" i="47"/>
  <c r="AJ67" i="47"/>
  <c r="AJ75" i="47"/>
  <c r="AJ83" i="47"/>
  <c r="AJ91" i="47"/>
  <c r="AJ99" i="47"/>
  <c r="AJ20" i="47"/>
  <c r="AJ44" i="47"/>
  <c r="AJ60" i="47"/>
  <c r="AJ76" i="47"/>
  <c r="AJ92" i="47"/>
  <c r="AJ100" i="47"/>
  <c r="AJ29" i="47"/>
  <c r="AJ61" i="47"/>
  <c r="AJ36" i="47"/>
  <c r="AJ69" i="47"/>
  <c r="AJ13" i="47"/>
  <c r="AJ13" i="46"/>
  <c r="AL13" i="46"/>
  <c r="AJ14" i="46"/>
  <c r="AJ22" i="46"/>
  <c r="AJ30" i="46"/>
  <c r="AJ38" i="46"/>
  <c r="AJ46" i="46"/>
  <c r="AJ54" i="46"/>
  <c r="AJ62" i="46"/>
  <c r="AJ70" i="46"/>
  <c r="AJ78" i="46"/>
  <c r="AJ86" i="46"/>
  <c r="AJ94" i="46"/>
  <c r="AJ102" i="46"/>
  <c r="AJ25" i="46"/>
  <c r="AJ15" i="46"/>
  <c r="AJ23" i="46"/>
  <c r="AJ31" i="46"/>
  <c r="AJ39" i="46"/>
  <c r="AJ47" i="46"/>
  <c r="AJ55" i="46"/>
  <c r="AJ63" i="46"/>
  <c r="AJ71" i="46"/>
  <c r="AJ79" i="46"/>
  <c r="AJ87" i="46"/>
  <c r="AJ95" i="46"/>
  <c r="AJ103" i="46"/>
  <c r="AJ33" i="46"/>
  <c r="AJ89" i="46"/>
  <c r="AJ82" i="46"/>
  <c r="AJ16" i="46"/>
  <c r="AJ24" i="46"/>
  <c r="AJ32" i="46"/>
  <c r="AJ40" i="46"/>
  <c r="AJ48" i="46"/>
  <c r="AJ56" i="46"/>
  <c r="AJ64" i="46"/>
  <c r="AJ72" i="46"/>
  <c r="AJ80" i="46"/>
  <c r="AJ88" i="46"/>
  <c r="AJ96" i="46"/>
  <c r="AJ49" i="46"/>
  <c r="AJ73" i="46"/>
  <c r="AJ97" i="46"/>
  <c r="AJ58" i="46"/>
  <c r="AJ17" i="46"/>
  <c r="AJ41" i="46"/>
  <c r="AJ57" i="46"/>
  <c r="AJ65" i="46"/>
  <c r="AJ81" i="46"/>
  <c r="AJ66" i="46"/>
  <c r="AJ90" i="46"/>
  <c r="AJ18" i="46"/>
  <c r="AJ26" i="46"/>
  <c r="AJ34" i="46"/>
  <c r="AJ42" i="46"/>
  <c r="AJ50" i="46"/>
  <c r="AJ74" i="46"/>
  <c r="AJ98" i="46"/>
  <c r="AJ19" i="46"/>
  <c r="AJ27" i="46"/>
  <c r="AJ35" i="46"/>
  <c r="AJ43" i="46"/>
  <c r="AJ51" i="46"/>
  <c r="AJ59" i="46"/>
  <c r="AJ67" i="46"/>
  <c r="AJ75" i="46"/>
  <c r="AJ83" i="46"/>
  <c r="AJ91" i="46"/>
  <c r="AJ99" i="46"/>
  <c r="AJ20" i="46"/>
  <c r="AJ28" i="46"/>
  <c r="AJ36" i="46"/>
  <c r="AJ44" i="46"/>
  <c r="AJ52" i="46"/>
  <c r="AJ60" i="46"/>
  <c r="AJ68" i="46"/>
  <c r="AJ76" i="46"/>
  <c r="AJ84" i="46"/>
  <c r="AJ92" i="46"/>
  <c r="AJ100" i="46"/>
  <c r="AJ21" i="46"/>
  <c r="AJ29" i="46"/>
  <c r="AJ37" i="46"/>
  <c r="AJ45" i="46"/>
  <c r="AJ53" i="46"/>
  <c r="AJ61" i="46"/>
  <c r="AJ69" i="46"/>
  <c r="AJ77" i="46"/>
  <c r="AJ85" i="46"/>
  <c r="AJ93" i="46"/>
  <c r="AJ101" i="46"/>
  <c r="AA20" i="44"/>
  <c r="AB20" i="44" s="1"/>
  <c r="AF20" i="44" s="1"/>
  <c r="AA21" i="44"/>
  <c r="AC21" i="44" s="1"/>
  <c r="AH21" i="44" s="1"/>
  <c r="AA29" i="44"/>
  <c r="AC29" i="44" s="1"/>
  <c r="AH29" i="44" s="1"/>
  <c r="AA37" i="44"/>
  <c r="AD37" i="44" s="1"/>
  <c r="AJ37" i="44" s="1"/>
  <c r="AA45" i="44"/>
  <c r="AC45" i="44" s="1"/>
  <c r="AH45" i="44" s="1"/>
  <c r="AA53" i="44"/>
  <c r="AC53" i="44" s="1"/>
  <c r="AH53" i="44" s="1"/>
  <c r="AA61" i="44"/>
  <c r="AC61" i="44" s="1"/>
  <c r="AH61" i="44" s="1"/>
  <c r="AA69" i="44"/>
  <c r="AD69" i="44" s="1"/>
  <c r="AJ69" i="44" s="1"/>
  <c r="AA77" i="44"/>
  <c r="AB77" i="44" s="1"/>
  <c r="AF77" i="44" s="1"/>
  <c r="AA54" i="44"/>
  <c r="AB54" i="44" s="1"/>
  <c r="AF54" i="44" s="1"/>
  <c r="AA70" i="44"/>
  <c r="AB70" i="44" s="1"/>
  <c r="AF70" i="44" s="1"/>
  <c r="AA31" i="44"/>
  <c r="AC31" i="44" s="1"/>
  <c r="AH31" i="44" s="1"/>
  <c r="AA55" i="44"/>
  <c r="AD55" i="44" s="1"/>
  <c r="AJ55" i="44" s="1"/>
  <c r="AA63" i="44"/>
  <c r="AC63" i="44" s="1"/>
  <c r="AH63" i="44" s="1"/>
  <c r="AA24" i="44"/>
  <c r="AC24" i="44" s="1"/>
  <c r="AH24" i="44" s="1"/>
  <c r="AA56" i="44"/>
  <c r="AB56" i="44" s="1"/>
  <c r="AF56" i="44" s="1"/>
  <c r="AA72" i="44"/>
  <c r="AB72" i="44" s="1"/>
  <c r="AF72" i="44" s="1"/>
  <c r="AA51" i="44"/>
  <c r="AD51" i="44" s="1"/>
  <c r="AJ51" i="44" s="1"/>
  <c r="AA75" i="44"/>
  <c r="AB75" i="44" s="1"/>
  <c r="AF75" i="44" s="1"/>
  <c r="AA44" i="44"/>
  <c r="AD44" i="44" s="1"/>
  <c r="AJ44" i="44" s="1"/>
  <c r="AA22" i="44"/>
  <c r="AC22" i="44" s="1"/>
  <c r="AH22" i="44" s="1"/>
  <c r="AA30" i="44"/>
  <c r="AC30" i="44" s="1"/>
  <c r="AH30" i="44" s="1"/>
  <c r="AA38" i="44"/>
  <c r="AC38" i="44" s="1"/>
  <c r="AH38" i="44" s="1"/>
  <c r="AA46" i="44"/>
  <c r="AB46" i="44" s="1"/>
  <c r="AF46" i="44" s="1"/>
  <c r="AA62" i="44"/>
  <c r="AC62" i="44" s="1"/>
  <c r="AH62" i="44" s="1"/>
  <c r="AA78" i="44"/>
  <c r="AB78" i="44" s="1"/>
  <c r="AF78" i="44" s="1"/>
  <c r="AA39" i="44"/>
  <c r="AB39" i="44" s="1"/>
  <c r="AF39" i="44" s="1"/>
  <c r="AA47" i="44"/>
  <c r="AB47" i="44" s="1"/>
  <c r="AF47" i="44" s="1"/>
  <c r="AA71" i="44"/>
  <c r="AB71" i="44" s="1"/>
  <c r="AF71" i="44" s="1"/>
  <c r="AA32" i="44"/>
  <c r="AC32" i="44" s="1"/>
  <c r="AH32" i="44" s="1"/>
  <c r="AA48" i="44"/>
  <c r="AC48" i="44" s="1"/>
  <c r="AH48" i="44" s="1"/>
  <c r="AA64" i="44"/>
  <c r="AB64" i="44" s="1"/>
  <c r="AF64" i="44" s="1"/>
  <c r="AA59" i="44"/>
  <c r="AC59" i="44" s="1"/>
  <c r="AH59" i="44" s="1"/>
  <c r="AA28" i="44"/>
  <c r="AD28" i="44" s="1"/>
  <c r="AJ28" i="44" s="1"/>
  <c r="AA23" i="44"/>
  <c r="AB23" i="44" s="1"/>
  <c r="AF23" i="44" s="1"/>
  <c r="AA40" i="44"/>
  <c r="AB40" i="44" s="1"/>
  <c r="AF40" i="44" s="1"/>
  <c r="AA67" i="44"/>
  <c r="AC67" i="44" s="1"/>
  <c r="AH67" i="44" s="1"/>
  <c r="AA52" i="44"/>
  <c r="AB52" i="44" s="1"/>
  <c r="AF52" i="44" s="1"/>
  <c r="AA68" i="44"/>
  <c r="AC68" i="44" s="1"/>
  <c r="AH68" i="44" s="1"/>
  <c r="AA25" i="44"/>
  <c r="AC25" i="44" s="1"/>
  <c r="AH25" i="44" s="1"/>
  <c r="AA33" i="44"/>
  <c r="AC33" i="44" s="1"/>
  <c r="AH33" i="44" s="1"/>
  <c r="AA41" i="44"/>
  <c r="AB41" i="44" s="1"/>
  <c r="AF41" i="44" s="1"/>
  <c r="AA49" i="44"/>
  <c r="AC49" i="44" s="1"/>
  <c r="AH49" i="44" s="1"/>
  <c r="AA57" i="44"/>
  <c r="AC57" i="44" s="1"/>
  <c r="AH57" i="44" s="1"/>
  <c r="AA65" i="44"/>
  <c r="AB65" i="44" s="1"/>
  <c r="AF65" i="44" s="1"/>
  <c r="AA73" i="44"/>
  <c r="AD73" i="44" s="1"/>
  <c r="AJ73" i="44" s="1"/>
  <c r="AA34" i="44"/>
  <c r="AC34" i="44" s="1"/>
  <c r="AH34" i="44" s="1"/>
  <c r="AA42" i="44"/>
  <c r="AB42" i="44" s="1"/>
  <c r="AF42" i="44" s="1"/>
  <c r="AA50" i="44"/>
  <c r="AC50" i="44" s="1"/>
  <c r="AH50" i="44" s="1"/>
  <c r="AA58" i="44"/>
  <c r="AC58" i="44" s="1"/>
  <c r="AH58" i="44" s="1"/>
  <c r="AA66" i="44"/>
  <c r="AD66" i="44" s="1"/>
  <c r="AJ66" i="44" s="1"/>
  <c r="AA74" i="44"/>
  <c r="AB74" i="44" s="1"/>
  <c r="AF74" i="44" s="1"/>
  <c r="AA27" i="44"/>
  <c r="AD27" i="44" s="1"/>
  <c r="AJ27" i="44" s="1"/>
  <c r="AA35" i="44"/>
  <c r="AC35" i="44" s="1"/>
  <c r="AH35" i="44" s="1"/>
  <c r="AA43" i="44"/>
  <c r="AC43" i="44" s="1"/>
  <c r="AH43" i="44" s="1"/>
  <c r="AA36" i="44"/>
  <c r="AC36" i="44" s="1"/>
  <c r="AH36" i="44" s="1"/>
  <c r="AA60" i="44"/>
  <c r="AD60" i="44" s="1"/>
  <c r="AJ60" i="44" s="1"/>
  <c r="AA76" i="44"/>
  <c r="AD76" i="44" s="1"/>
  <c r="AJ76" i="44" s="1"/>
  <c r="AA26" i="44"/>
  <c r="AB26" i="44" s="1"/>
  <c r="AF26" i="44" s="1"/>
  <c r="AA79" i="44"/>
  <c r="AA19" i="44"/>
  <c r="AD19" i="44" s="1"/>
  <c r="AB14" i="46"/>
  <c r="AW14" i="46" s="1"/>
  <c r="Z14" i="46"/>
  <c r="AY14" i="46" s="1"/>
  <c r="AB16" i="47"/>
  <c r="AW16" i="47" s="1"/>
  <c r="Z16" i="47"/>
  <c r="AY16" i="47" s="1"/>
  <c r="AD16" i="47"/>
  <c r="AU14" i="46"/>
  <c r="AF15" i="47"/>
  <c r="T16" i="47"/>
  <c r="AQ16" i="47" s="1"/>
  <c r="V16" i="47"/>
  <c r="AS16" i="47" s="1"/>
  <c r="X16" i="47"/>
  <c r="AU16" i="47" s="1"/>
  <c r="AW13" i="46"/>
  <c r="AW13" i="47"/>
  <c r="AW14" i="47"/>
  <c r="AW15" i="47"/>
  <c r="AU13" i="46"/>
  <c r="AU13" i="47"/>
  <c r="AU14" i="47"/>
  <c r="AU15" i="47"/>
  <c r="AY13" i="47"/>
  <c r="AY13" i="46"/>
  <c r="AY14" i="47"/>
  <c r="AY15" i="47"/>
  <c r="AQ13" i="47"/>
  <c r="AQ13" i="46"/>
  <c r="AQ14" i="47"/>
  <c r="AQ15" i="47"/>
  <c r="AD14" i="46"/>
  <c r="T14" i="46"/>
  <c r="V14" i="46"/>
  <c r="AS14" i="46" s="1"/>
  <c r="AC5" i="44"/>
  <c r="AH5" i="44" s="1"/>
  <c r="AC13" i="44"/>
  <c r="AH13" i="44" s="1"/>
  <c r="AC85" i="44"/>
  <c r="AH85" i="44" s="1"/>
  <c r="AC93" i="44"/>
  <c r="AH93" i="44" s="1"/>
  <c r="AC14" i="44"/>
  <c r="AH14" i="44" s="1"/>
  <c r="AC86" i="44"/>
  <c r="AH86" i="44" s="1"/>
  <c r="AC6" i="44"/>
  <c r="AH6" i="44" s="1"/>
  <c r="AC94" i="44"/>
  <c r="AH94" i="44" s="1"/>
  <c r="AC7" i="44"/>
  <c r="AH7" i="44" s="1"/>
  <c r="AC15" i="44"/>
  <c r="AH15" i="44" s="1"/>
  <c r="AC87" i="44"/>
  <c r="AH87" i="44" s="1"/>
  <c r="AC4" i="44"/>
  <c r="AH4" i="44" s="1"/>
  <c r="AC8" i="44"/>
  <c r="AH8" i="44" s="1"/>
  <c r="AC16" i="44"/>
  <c r="AH16" i="44" s="1"/>
  <c r="AC80" i="44"/>
  <c r="AH80" i="44" s="1"/>
  <c r="AC88" i="44"/>
  <c r="AH88" i="44" s="1"/>
  <c r="AC9" i="44"/>
  <c r="AH9" i="44" s="1"/>
  <c r="AC17" i="44"/>
  <c r="AH17" i="44" s="1"/>
  <c r="AC81" i="44"/>
  <c r="AH81" i="44" s="1"/>
  <c r="AC89" i="44"/>
  <c r="AH89" i="44" s="1"/>
  <c r="AC10" i="44"/>
  <c r="AH10" i="44" s="1"/>
  <c r="AC18" i="44"/>
  <c r="AH18" i="44" s="1"/>
  <c r="AC82" i="44"/>
  <c r="AH82" i="44" s="1"/>
  <c r="AC90" i="44"/>
  <c r="AH90" i="44" s="1"/>
  <c r="AC11" i="44"/>
  <c r="AH11" i="44" s="1"/>
  <c r="AC83" i="44"/>
  <c r="AH83" i="44" s="1"/>
  <c r="AC91" i="44"/>
  <c r="AH91" i="44" s="1"/>
  <c r="AC12" i="44"/>
  <c r="AH12" i="44" s="1"/>
  <c r="AC84" i="44"/>
  <c r="AH84" i="44" s="1"/>
  <c r="AC92" i="44"/>
  <c r="AH92" i="44" s="1"/>
  <c r="AD10" i="44"/>
  <c r="AJ10" i="44" s="1"/>
  <c r="AD18" i="44"/>
  <c r="AJ18" i="44" s="1"/>
  <c r="AD82" i="44"/>
  <c r="AJ82" i="44" s="1"/>
  <c r="AD90" i="44"/>
  <c r="AJ90" i="44" s="1"/>
  <c r="AD11" i="44"/>
  <c r="AJ11" i="44" s="1"/>
  <c r="AD91" i="44"/>
  <c r="AJ91" i="44" s="1"/>
  <c r="AD83" i="44"/>
  <c r="AJ83" i="44" s="1"/>
  <c r="AD12" i="44"/>
  <c r="AJ12" i="44" s="1"/>
  <c r="AD84" i="44"/>
  <c r="AJ84" i="44" s="1"/>
  <c r="AD92" i="44"/>
  <c r="AJ92" i="44" s="1"/>
  <c r="AD5" i="44"/>
  <c r="AJ5" i="44" s="1"/>
  <c r="AD13" i="44"/>
  <c r="AJ13" i="44" s="1"/>
  <c r="AD6" i="44"/>
  <c r="AJ6" i="44" s="1"/>
  <c r="AD14" i="44"/>
  <c r="AJ14" i="44" s="1"/>
  <c r="AD86" i="44"/>
  <c r="AJ86" i="44" s="1"/>
  <c r="AD94" i="44"/>
  <c r="AJ94" i="44" s="1"/>
  <c r="AD7" i="44"/>
  <c r="AJ7" i="44" s="1"/>
  <c r="AD15" i="44"/>
  <c r="AJ15" i="44" s="1"/>
  <c r="AD87" i="44"/>
  <c r="AJ87" i="44" s="1"/>
  <c r="AD4" i="44"/>
  <c r="AJ4" i="44" s="1"/>
  <c r="AD8" i="44"/>
  <c r="AJ8" i="44" s="1"/>
  <c r="AD16" i="44"/>
  <c r="AJ16" i="44" s="1"/>
  <c r="AD80" i="44"/>
  <c r="AJ80" i="44" s="1"/>
  <c r="AD88" i="44"/>
  <c r="AJ88" i="44" s="1"/>
  <c r="AD9" i="44"/>
  <c r="AJ9" i="44" s="1"/>
  <c r="AD17" i="44"/>
  <c r="AJ17" i="44" s="1"/>
  <c r="AD81" i="44"/>
  <c r="AJ81" i="44" s="1"/>
  <c r="AD89" i="44"/>
  <c r="AJ89" i="44" s="1"/>
  <c r="AD85" i="44"/>
  <c r="AJ85" i="44" s="1"/>
  <c r="AD93" i="44"/>
  <c r="AJ93" i="44" s="1"/>
  <c r="AB6" i="44"/>
  <c r="AF6" i="44" s="1"/>
  <c r="AB14" i="44"/>
  <c r="AF14" i="44" s="1"/>
  <c r="AB86" i="44"/>
  <c r="AF86" i="44" s="1"/>
  <c r="AB94" i="44"/>
  <c r="AF94" i="44" s="1"/>
  <c r="AB15" i="44"/>
  <c r="AF15" i="44" s="1"/>
  <c r="AB7" i="44"/>
  <c r="AF7" i="44" s="1"/>
  <c r="AB8" i="44"/>
  <c r="AF8" i="44" s="1"/>
  <c r="AB16" i="44"/>
  <c r="AF16" i="44" s="1"/>
  <c r="AB80" i="44"/>
  <c r="AF80" i="44" s="1"/>
  <c r="AB88" i="44"/>
  <c r="AF88" i="44" s="1"/>
  <c r="AB11" i="44"/>
  <c r="AF11" i="44" s="1"/>
  <c r="AB83" i="44"/>
  <c r="AF83" i="44" s="1"/>
  <c r="AB91" i="44"/>
  <c r="AF91" i="44" s="1"/>
  <c r="AB12" i="44"/>
  <c r="AF12" i="44" s="1"/>
  <c r="AB84" i="44"/>
  <c r="AF84" i="44" s="1"/>
  <c r="AB92" i="44"/>
  <c r="AF92" i="44" s="1"/>
  <c r="AB5" i="44"/>
  <c r="AF5" i="44" s="1"/>
  <c r="AB13" i="44"/>
  <c r="AF13" i="44" s="1"/>
  <c r="AB85" i="44"/>
  <c r="AF85" i="44" s="1"/>
  <c r="AB93" i="44"/>
  <c r="AF93" i="44" s="1"/>
  <c r="AB9" i="44"/>
  <c r="AF9" i="44" s="1"/>
  <c r="AB4" i="44"/>
  <c r="AF4" i="44" s="1"/>
  <c r="AB10" i="44"/>
  <c r="AF10" i="44" s="1"/>
  <c r="AB17" i="44"/>
  <c r="AF17" i="44" s="1"/>
  <c r="AB18" i="44"/>
  <c r="AF18" i="44" s="1"/>
  <c r="AB81" i="44"/>
  <c r="AF81" i="44" s="1"/>
  <c r="AB82" i="44"/>
  <c r="AF82" i="44" s="1"/>
  <c r="AB87" i="44"/>
  <c r="AF87" i="44" s="1"/>
  <c r="AB89" i="44"/>
  <c r="AF89" i="44" s="1"/>
  <c r="AB90" i="44"/>
  <c r="AF90" i="44" s="1"/>
  <c r="E2" i="38"/>
  <c r="D166" i="38"/>
  <c r="B5" i="30" l="1"/>
  <c r="E16" i="52"/>
  <c r="C22" i="52"/>
  <c r="E17" i="52"/>
  <c r="E6" i="52"/>
  <c r="E5" i="52"/>
  <c r="E15" i="52"/>
  <c r="E10" i="52"/>
  <c r="E14" i="52"/>
  <c r="E11" i="52"/>
  <c r="E8" i="52"/>
  <c r="G25" i="43"/>
  <c r="G27" i="43" s="1"/>
  <c r="E12" i="52"/>
  <c r="E9" i="52"/>
  <c r="E13" i="52"/>
  <c r="AO17" i="56"/>
  <c r="BA16" i="56"/>
  <c r="BA14" i="56"/>
  <c r="AO13" i="55"/>
  <c r="BA13" i="56"/>
  <c r="AO16" i="56"/>
  <c r="AO13" i="56"/>
  <c r="BA13" i="55"/>
  <c r="AO14" i="55"/>
  <c r="AO14" i="56"/>
  <c r="AK11" i="53"/>
  <c r="AG12" i="53"/>
  <c r="AK12" i="53" s="1"/>
  <c r="E5" i="30" s="1"/>
  <c r="BA15" i="56"/>
  <c r="AO15" i="56"/>
  <c r="AD15" i="55"/>
  <c r="AF14" i="55"/>
  <c r="AQ14" i="55"/>
  <c r="T15" i="55"/>
  <c r="AB15" i="55"/>
  <c r="V15" i="55"/>
  <c r="X15" i="55"/>
  <c r="Z15" i="55"/>
  <c r="AS14" i="55"/>
  <c r="AF18" i="56"/>
  <c r="T19" i="56"/>
  <c r="AQ18" i="56"/>
  <c r="AB19" i="56"/>
  <c r="AW18" i="56"/>
  <c r="AU18" i="56"/>
  <c r="AL18" i="56"/>
  <c r="AO18" i="56" s="1"/>
  <c r="AD19" i="56"/>
  <c r="BA17" i="56"/>
  <c r="AS18" i="56"/>
  <c r="V19" i="56"/>
  <c r="X19" i="56"/>
  <c r="Z19" i="56"/>
  <c r="AY18" i="56"/>
  <c r="K25" i="42"/>
  <c r="F85" i="54"/>
  <c r="E85" i="54"/>
  <c r="K24" i="42"/>
  <c r="C85" i="54"/>
  <c r="D4" i="54"/>
  <c r="K21" i="42"/>
  <c r="K26" i="42"/>
  <c r="K27" i="42" s="1"/>
  <c r="K28" i="42" s="1"/>
  <c r="K23" i="42"/>
  <c r="X23" i="50"/>
  <c r="Y23" i="50" s="1"/>
  <c r="F24" i="50"/>
  <c r="V24" i="50"/>
  <c r="D25" i="50"/>
  <c r="AL16" i="47"/>
  <c r="AL14" i="46"/>
  <c r="AQ14" i="46"/>
  <c r="BA14" i="46" s="1"/>
  <c r="AD20" i="44"/>
  <c r="AJ20" i="44" s="1"/>
  <c r="AD72" i="44"/>
  <c r="AJ72" i="44" s="1"/>
  <c r="AC77" i="44"/>
  <c r="AH77" i="44" s="1"/>
  <c r="AD77" i="44"/>
  <c r="AJ77" i="44" s="1"/>
  <c r="AC72" i="44"/>
  <c r="AH72" i="44" s="1"/>
  <c r="AC20" i="44"/>
  <c r="AH20" i="44" s="1"/>
  <c r="AD33" i="44"/>
  <c r="AJ33" i="44" s="1"/>
  <c r="AB60" i="44"/>
  <c r="AF60" i="44" s="1"/>
  <c r="AD59" i="44"/>
  <c r="AJ59" i="44" s="1"/>
  <c r="AB62" i="44"/>
  <c r="AF62" i="44" s="1"/>
  <c r="AB50" i="44"/>
  <c r="AF50" i="44" s="1"/>
  <c r="AB59" i="44"/>
  <c r="AF59" i="44" s="1"/>
  <c r="AB33" i="44"/>
  <c r="AF33" i="44" s="1"/>
  <c r="AD50" i="44"/>
  <c r="AJ50" i="44" s="1"/>
  <c r="AD62" i="44"/>
  <c r="AJ62" i="44" s="1"/>
  <c r="AC39" i="44"/>
  <c r="AH39" i="44" s="1"/>
  <c r="AC60" i="44"/>
  <c r="AH60" i="44" s="1"/>
  <c r="AB30" i="44"/>
  <c r="AF30" i="44" s="1"/>
  <c r="AD30" i="44"/>
  <c r="AJ30" i="44" s="1"/>
  <c r="AD52" i="44"/>
  <c r="AJ52" i="44" s="1"/>
  <c r="AB51" i="44"/>
  <c r="AF51" i="44" s="1"/>
  <c r="AC51" i="44"/>
  <c r="AH51" i="44" s="1"/>
  <c r="AB28" i="44"/>
  <c r="AF28" i="44" s="1"/>
  <c r="AC28" i="44"/>
  <c r="AH28" i="44" s="1"/>
  <c r="AC52" i="44"/>
  <c r="AH52" i="44" s="1"/>
  <c r="AC73" i="44"/>
  <c r="AH73" i="44" s="1"/>
  <c r="AB63" i="44"/>
  <c r="AF63" i="44" s="1"/>
  <c r="AB73" i="44"/>
  <c r="AF73" i="44" s="1"/>
  <c r="AB55" i="44"/>
  <c r="AF55" i="44" s="1"/>
  <c r="AD71" i="44"/>
  <c r="AJ71" i="44" s="1"/>
  <c r="AD53" i="44"/>
  <c r="AJ53" i="44" s="1"/>
  <c r="AB38" i="44"/>
  <c r="AF38" i="44" s="1"/>
  <c r="AD65" i="44"/>
  <c r="AJ65" i="44" s="1"/>
  <c r="AD32" i="44"/>
  <c r="AJ32" i="44" s="1"/>
  <c r="AD63" i="44"/>
  <c r="AJ63" i="44" s="1"/>
  <c r="AB48" i="44"/>
  <c r="AF48" i="44" s="1"/>
  <c r="AB61" i="44"/>
  <c r="AF61" i="44" s="1"/>
  <c r="AB43" i="44"/>
  <c r="AF43" i="44" s="1"/>
  <c r="AB32" i="44"/>
  <c r="AF32" i="44" s="1"/>
  <c r="AD24" i="44"/>
  <c r="AJ24" i="44" s="1"/>
  <c r="AB34" i="44"/>
  <c r="AF34" i="44" s="1"/>
  <c r="AB53" i="44"/>
  <c r="AF53" i="44" s="1"/>
  <c r="AB24" i="44"/>
  <c r="AF24" i="44" s="1"/>
  <c r="AB68" i="44"/>
  <c r="AF68" i="44" s="1"/>
  <c r="AD48" i="44"/>
  <c r="AJ48" i="44" s="1"/>
  <c r="AB35" i="44"/>
  <c r="AF35" i="44" s="1"/>
  <c r="AB27" i="44"/>
  <c r="AF27" i="44" s="1"/>
  <c r="AD61" i="44"/>
  <c r="AJ61" i="44" s="1"/>
  <c r="AC75" i="44"/>
  <c r="AH75" i="44" s="1"/>
  <c r="AB49" i="44"/>
  <c r="AF49" i="44" s="1"/>
  <c r="AD49" i="44"/>
  <c r="AJ49" i="44" s="1"/>
  <c r="AB66" i="44"/>
  <c r="AF66" i="44" s="1"/>
  <c r="AD70" i="44"/>
  <c r="AJ70" i="44" s="1"/>
  <c r="AD35" i="44"/>
  <c r="AJ35" i="44" s="1"/>
  <c r="AD68" i="44"/>
  <c r="AJ68" i="44" s="1"/>
  <c r="AC66" i="44"/>
  <c r="AH66" i="44" s="1"/>
  <c r="AB45" i="44"/>
  <c r="AF45" i="44" s="1"/>
  <c r="AC71" i="44"/>
  <c r="AH71" i="44" s="1"/>
  <c r="AD67" i="44"/>
  <c r="AJ67" i="44" s="1"/>
  <c r="AC27" i="44"/>
  <c r="AH27" i="44" s="1"/>
  <c r="AC55" i="44"/>
  <c r="AH55" i="44" s="1"/>
  <c r="AD22" i="44"/>
  <c r="AJ22" i="44" s="1"/>
  <c r="AC65" i="44"/>
  <c r="AH65" i="44" s="1"/>
  <c r="AB67" i="44"/>
  <c r="AF67" i="44" s="1"/>
  <c r="AB22" i="44"/>
  <c r="AF22" i="44" s="1"/>
  <c r="AD45" i="44"/>
  <c r="AJ45" i="44" s="1"/>
  <c r="AC41" i="44"/>
  <c r="AH41" i="44" s="1"/>
  <c r="AC70" i="44"/>
  <c r="AH70" i="44" s="1"/>
  <c r="AC23" i="44"/>
  <c r="AH23" i="44" s="1"/>
  <c r="AD39" i="44"/>
  <c r="AJ39" i="44" s="1"/>
  <c r="AC26" i="44"/>
  <c r="AH26" i="44" s="1"/>
  <c r="AB29" i="44"/>
  <c r="AF29" i="44" s="1"/>
  <c r="AD23" i="44"/>
  <c r="AJ23" i="44" s="1"/>
  <c r="AD75" i="44"/>
  <c r="AJ75" i="44" s="1"/>
  <c r="AD26" i="44"/>
  <c r="AJ26" i="44" s="1"/>
  <c r="AD29" i="44"/>
  <c r="AJ29" i="44" s="1"/>
  <c r="AB58" i="44"/>
  <c r="AF58" i="44" s="1"/>
  <c r="AB76" i="44"/>
  <c r="AF76" i="44" s="1"/>
  <c r="AD21" i="44"/>
  <c r="AJ21" i="44" s="1"/>
  <c r="AC78" i="44"/>
  <c r="AH78" i="44" s="1"/>
  <c r="AC54" i="44"/>
  <c r="AH54" i="44" s="1"/>
  <c r="AD41" i="44"/>
  <c r="AJ41" i="44" s="1"/>
  <c r="AD78" i="44"/>
  <c r="AJ78" i="44" s="1"/>
  <c r="AD54" i="44"/>
  <c r="AJ54" i="44" s="1"/>
  <c r="AD58" i="44"/>
  <c r="AJ58" i="44" s="1"/>
  <c r="AC76" i="44"/>
  <c r="AH76" i="44" s="1"/>
  <c r="AD38" i="44"/>
  <c r="AJ38" i="44" s="1"/>
  <c r="AB21" i="44"/>
  <c r="AF21" i="44" s="1"/>
  <c r="AD43" i="44"/>
  <c r="AJ43" i="44" s="1"/>
  <c r="AD34" i="44"/>
  <c r="AJ34" i="44" s="1"/>
  <c r="AB44" i="44"/>
  <c r="AF44" i="44" s="1"/>
  <c r="AC47" i="44"/>
  <c r="AH47" i="44" s="1"/>
  <c r="AD74" i="44"/>
  <c r="AJ74" i="44" s="1"/>
  <c r="AB15" i="46"/>
  <c r="AW15" i="46" s="1"/>
  <c r="X15" i="46"/>
  <c r="AB19" i="44"/>
  <c r="AF19" i="44" s="1"/>
  <c r="AC19" i="44"/>
  <c r="AH19" i="44" s="1"/>
  <c r="AC69" i="44"/>
  <c r="AH69" i="44" s="1"/>
  <c r="AJ19" i="44"/>
  <c r="AD79" i="44"/>
  <c r="AJ79" i="44" s="1"/>
  <c r="AD47" i="44"/>
  <c r="AJ47" i="44" s="1"/>
  <c r="AB37" i="44"/>
  <c r="AF37" i="44" s="1"/>
  <c r="AC40" i="44"/>
  <c r="AH40" i="44" s="1"/>
  <c r="AD31" i="44"/>
  <c r="AJ31" i="44" s="1"/>
  <c r="AC44" i="44"/>
  <c r="AH44" i="44" s="1"/>
  <c r="AD57" i="44"/>
  <c r="AJ57" i="44" s="1"/>
  <c r="AC74" i="44"/>
  <c r="AH74" i="44" s="1"/>
  <c r="AD40" i="44"/>
  <c r="AJ40" i="44" s="1"/>
  <c r="AC37" i="44"/>
  <c r="AH37" i="44" s="1"/>
  <c r="AB79" i="44"/>
  <c r="AF79" i="44" s="1"/>
  <c r="AC79" i="44"/>
  <c r="AH79" i="44" s="1"/>
  <c r="AB57" i="44"/>
  <c r="AF57" i="44" s="1"/>
  <c r="AB31" i="44"/>
  <c r="AF31" i="44" s="1"/>
  <c r="AD64" i="44"/>
  <c r="AJ64" i="44" s="1"/>
  <c r="AD42" i="44"/>
  <c r="AJ42" i="44" s="1"/>
  <c r="AC46" i="44"/>
  <c r="AH46" i="44" s="1"/>
  <c r="AD56" i="44"/>
  <c r="AJ56" i="44" s="1"/>
  <c r="AC42" i="44"/>
  <c r="AH42" i="44" s="1"/>
  <c r="AD25" i="44"/>
  <c r="AJ25" i="44" s="1"/>
  <c r="AD46" i="44"/>
  <c r="AJ46" i="44" s="1"/>
  <c r="AB25" i="44"/>
  <c r="AF25" i="44" s="1"/>
  <c r="AB69" i="44"/>
  <c r="AF69" i="44" s="1"/>
  <c r="AB36" i="44"/>
  <c r="AF36" i="44" s="1"/>
  <c r="AD36" i="44"/>
  <c r="AJ36" i="44" s="1"/>
  <c r="AC64" i="44"/>
  <c r="AH64" i="44" s="1"/>
  <c r="AC56" i="44"/>
  <c r="AH56" i="44" s="1"/>
  <c r="X17" i="47"/>
  <c r="V17" i="47"/>
  <c r="AS17" i="47" s="1"/>
  <c r="AF16" i="47"/>
  <c r="T17" i="47"/>
  <c r="AD17" i="47"/>
  <c r="Z17" i="47"/>
  <c r="AB17" i="47"/>
  <c r="BA16" i="47"/>
  <c r="BA15" i="47"/>
  <c r="BA13" i="46"/>
  <c r="BA13" i="47"/>
  <c r="BA14" i="47"/>
  <c r="Z15" i="46"/>
  <c r="AY15" i="46" s="1"/>
  <c r="AD15" i="46"/>
  <c r="V15" i="46"/>
  <c r="AS15" i="46" s="1"/>
  <c r="T15" i="46"/>
  <c r="AF14" i="46"/>
  <c r="E166" i="38"/>
  <c r="F2" i="38"/>
  <c r="E2" i="52" l="1"/>
  <c r="BA14" i="55"/>
  <c r="Z16" i="55"/>
  <c r="AY15" i="55"/>
  <c r="AU15" i="55"/>
  <c r="AL15" i="55"/>
  <c r="AO15" i="55" s="1"/>
  <c r="V16" i="55"/>
  <c r="X16" i="55"/>
  <c r="AS15" i="55"/>
  <c r="AW15" i="55"/>
  <c r="AB16" i="55"/>
  <c r="T16" i="55"/>
  <c r="AF15" i="55"/>
  <c r="AQ15" i="55"/>
  <c r="AD16" i="55"/>
  <c r="AS19" i="56"/>
  <c r="X20" i="56"/>
  <c r="V20" i="56"/>
  <c r="AB20" i="56"/>
  <c r="AW19" i="56"/>
  <c r="BA18" i="56"/>
  <c r="AD20" i="56"/>
  <c r="AQ19" i="56"/>
  <c r="AF19" i="56"/>
  <c r="T20" i="56"/>
  <c r="Z20" i="56"/>
  <c r="AY19" i="56"/>
  <c r="AU19" i="56"/>
  <c r="AL19" i="56"/>
  <c r="AO19" i="56" s="1"/>
  <c r="K22" i="42"/>
  <c r="D85" i="54"/>
  <c r="D26" i="50"/>
  <c r="V25" i="50"/>
  <c r="X24" i="50"/>
  <c r="Y24" i="50" s="1"/>
  <c r="F25" i="50"/>
  <c r="AU17" i="47"/>
  <c r="AL17" i="47"/>
  <c r="AL15" i="46"/>
  <c r="AU15" i="46"/>
  <c r="AQ15" i="46"/>
  <c r="X16" i="46"/>
  <c r="AD18" i="47"/>
  <c r="AB18" i="47"/>
  <c r="AW17" i="47"/>
  <c r="Z18" i="47"/>
  <c r="AY17" i="47"/>
  <c r="AF17" i="47"/>
  <c r="T18" i="47"/>
  <c r="AQ17" i="47"/>
  <c r="X18" i="47"/>
  <c r="V18" i="47"/>
  <c r="AS18" i="47" s="1"/>
  <c r="Z16" i="46"/>
  <c r="AY16" i="46" s="1"/>
  <c r="AB16" i="46"/>
  <c r="AW16" i="46" s="1"/>
  <c r="AD16" i="46"/>
  <c r="AF15" i="46"/>
  <c r="T16" i="46"/>
  <c r="V16" i="46"/>
  <c r="AS16" i="46" s="1"/>
  <c r="F166" i="38"/>
  <c r="G2" i="38"/>
  <c r="AD17" i="55" l="1"/>
  <c r="AU16" i="55"/>
  <c r="AL16" i="55"/>
  <c r="AO16" i="55" s="1"/>
  <c r="AS16" i="55"/>
  <c r="V17" i="55"/>
  <c r="X17" i="55"/>
  <c r="T17" i="55"/>
  <c r="AF16" i="55"/>
  <c r="AQ16" i="55"/>
  <c r="BA15" i="55"/>
  <c r="AW16" i="55"/>
  <c r="AB17" i="55"/>
  <c r="AY16" i="55"/>
  <c r="Z17" i="55"/>
  <c r="T21" i="56"/>
  <c r="AF20" i="56"/>
  <c r="AQ20" i="56"/>
  <c r="AW20" i="56"/>
  <c r="AB21" i="56"/>
  <c r="BA19" i="56"/>
  <c r="X21" i="56"/>
  <c r="V21" i="56"/>
  <c r="AS20" i="56"/>
  <c r="AD21" i="56"/>
  <c r="AU20" i="56"/>
  <c r="AL20" i="56"/>
  <c r="AO20" i="56" s="1"/>
  <c r="Z21" i="56"/>
  <c r="AY20" i="56"/>
  <c r="F26" i="50"/>
  <c r="X25" i="50"/>
  <c r="Y25" i="50" s="1"/>
  <c r="V26" i="50"/>
  <c r="D27" i="50"/>
  <c r="AU18" i="47"/>
  <c r="AL18" i="47"/>
  <c r="AL16" i="46"/>
  <c r="BA15" i="46"/>
  <c r="AU16" i="46"/>
  <c r="AQ16" i="46"/>
  <c r="X17" i="46"/>
  <c r="BA17" i="47"/>
  <c r="AF18" i="47"/>
  <c r="T19" i="47"/>
  <c r="AQ18" i="47"/>
  <c r="Z19" i="47"/>
  <c r="AY18" i="47"/>
  <c r="X19" i="47"/>
  <c r="V19" i="47"/>
  <c r="AS19" i="47" s="1"/>
  <c r="AD19" i="47"/>
  <c r="AB19" i="47"/>
  <c r="AW18" i="47"/>
  <c r="AB17" i="46"/>
  <c r="AW17" i="46" s="1"/>
  <c r="Z17" i="46"/>
  <c r="AY17" i="46" s="1"/>
  <c r="AD17" i="46"/>
  <c r="V17" i="46"/>
  <c r="AS17" i="46" s="1"/>
  <c r="T17" i="46"/>
  <c r="AF16" i="46"/>
  <c r="G166" i="38"/>
  <c r="H2" i="38"/>
  <c r="H166" i="38" s="1"/>
  <c r="T18" i="55" l="1"/>
  <c r="AQ17" i="55"/>
  <c r="AF17" i="55"/>
  <c r="AU17" i="55"/>
  <c r="AL17" i="55"/>
  <c r="AO17" i="55" s="1"/>
  <c r="AS17" i="55"/>
  <c r="X18" i="55"/>
  <c r="V18" i="55"/>
  <c r="AY17" i="55"/>
  <c r="Z18" i="55"/>
  <c r="AB18" i="55"/>
  <c r="AW17" i="55"/>
  <c r="AD18" i="55"/>
  <c r="BA16" i="55"/>
  <c r="BA20" i="56"/>
  <c r="AS21" i="56"/>
  <c r="X22" i="56"/>
  <c r="V22" i="56"/>
  <c r="AU21" i="56"/>
  <c r="AL21" i="56"/>
  <c r="AO21" i="56" s="1"/>
  <c r="Z22" i="56"/>
  <c r="AY21" i="56"/>
  <c r="T22" i="56"/>
  <c r="AF21" i="56"/>
  <c r="AQ21" i="56"/>
  <c r="AW21" i="56"/>
  <c r="AB22" i="56"/>
  <c r="AD22" i="56"/>
  <c r="D28" i="50"/>
  <c r="V27" i="50"/>
  <c r="X26" i="50"/>
  <c r="Y26" i="50" s="1"/>
  <c r="F27" i="50"/>
  <c r="AU19" i="47"/>
  <c r="AL19" i="47"/>
  <c r="AL17" i="46"/>
  <c r="BA16" i="46"/>
  <c r="AU17" i="46"/>
  <c r="AQ17" i="46"/>
  <c r="X18" i="46"/>
  <c r="Z20" i="47"/>
  <c r="AY19" i="47"/>
  <c r="V20" i="47"/>
  <c r="AS20" i="47" s="1"/>
  <c r="X20" i="47"/>
  <c r="BA18" i="47"/>
  <c r="AF19" i="47"/>
  <c r="T20" i="47"/>
  <c r="AQ19" i="47"/>
  <c r="AD20" i="47"/>
  <c r="AB20" i="47"/>
  <c r="AW19" i="47"/>
  <c r="Z18" i="46"/>
  <c r="AY18" i="46" s="1"/>
  <c r="AB18" i="46"/>
  <c r="AW18" i="46" s="1"/>
  <c r="AD18" i="46"/>
  <c r="T18" i="46"/>
  <c r="AF17" i="46"/>
  <c r="V18" i="46"/>
  <c r="AS18" i="46" s="1"/>
  <c r="AU18" i="55" l="1"/>
  <c r="AL18" i="55"/>
  <c r="AO18" i="55" s="1"/>
  <c r="AS18" i="55"/>
  <c r="V19" i="55"/>
  <c r="X19" i="55"/>
  <c r="AD19" i="55"/>
  <c r="AW18" i="55"/>
  <c r="AB19" i="55"/>
  <c r="Z19" i="55"/>
  <c r="AY18" i="55"/>
  <c r="BA17" i="55"/>
  <c r="AQ18" i="55"/>
  <c r="T19" i="55"/>
  <c r="AF18" i="55"/>
  <c r="Z23" i="56"/>
  <c r="AY22" i="56"/>
  <c r="AD23" i="56"/>
  <c r="AS22" i="56"/>
  <c r="X23" i="56"/>
  <c r="V23" i="56"/>
  <c r="AU22" i="56"/>
  <c r="AL22" i="56"/>
  <c r="AO22" i="56" s="1"/>
  <c r="BA21" i="56"/>
  <c r="AW22" i="56"/>
  <c r="AB23" i="56"/>
  <c r="AQ22" i="56"/>
  <c r="T23" i="56"/>
  <c r="AF22" i="56"/>
  <c r="F28" i="50"/>
  <c r="X27" i="50"/>
  <c r="Y27" i="50" s="1"/>
  <c r="V28" i="50"/>
  <c r="D29" i="50"/>
  <c r="AU20" i="47"/>
  <c r="AL20" i="47"/>
  <c r="AL18" i="46"/>
  <c r="BA17" i="46"/>
  <c r="AU18" i="46"/>
  <c r="AQ18" i="46"/>
  <c r="X19" i="46"/>
  <c r="BA19" i="47"/>
  <c r="AF20" i="47"/>
  <c r="T21" i="47"/>
  <c r="AQ20" i="47"/>
  <c r="X21" i="47"/>
  <c r="V21" i="47"/>
  <c r="AS21" i="47" s="1"/>
  <c r="AB21" i="47"/>
  <c r="AW20" i="47"/>
  <c r="AD21" i="47"/>
  <c r="Z21" i="47"/>
  <c r="AY20" i="47"/>
  <c r="AB19" i="46"/>
  <c r="AW19" i="46" s="1"/>
  <c r="Z19" i="46"/>
  <c r="AY19" i="46" s="1"/>
  <c r="AD19" i="46"/>
  <c r="V19" i="46"/>
  <c r="AS19" i="46" s="1"/>
  <c r="AF18" i="46"/>
  <c r="T19" i="46"/>
  <c r="AD24" i="56" l="1"/>
  <c r="AD20" i="55"/>
  <c r="AB20" i="55"/>
  <c r="AW19" i="55"/>
  <c r="AF19" i="55"/>
  <c r="T20" i="55"/>
  <c r="AQ19" i="55"/>
  <c r="AL19" i="55"/>
  <c r="AO19" i="55" s="1"/>
  <c r="AU19" i="55"/>
  <c r="BA18" i="55"/>
  <c r="AS19" i="55"/>
  <c r="V20" i="55"/>
  <c r="X20" i="55"/>
  <c r="Z20" i="55"/>
  <c r="AY19" i="55"/>
  <c r="T24" i="56"/>
  <c r="AF23" i="56"/>
  <c r="AQ23" i="56"/>
  <c r="Z24" i="56"/>
  <c r="AY23" i="56"/>
  <c r="BA22" i="56"/>
  <c r="AS23" i="56"/>
  <c r="X24" i="56"/>
  <c r="V24" i="56"/>
  <c r="AW23" i="56"/>
  <c r="AB24" i="56"/>
  <c r="AU23" i="56"/>
  <c r="AL23" i="56"/>
  <c r="AO23" i="56" s="1"/>
  <c r="D30" i="50"/>
  <c r="V29" i="50"/>
  <c r="X28" i="50"/>
  <c r="Y28" i="50" s="1"/>
  <c r="F29" i="50"/>
  <c r="AU21" i="47"/>
  <c r="AL21" i="47"/>
  <c r="AL19" i="46"/>
  <c r="BA18" i="46"/>
  <c r="AU19" i="46"/>
  <c r="AQ19" i="46"/>
  <c r="X20" i="46"/>
  <c r="AD22" i="47"/>
  <c r="AB22" i="47"/>
  <c r="AW21" i="47"/>
  <c r="V22" i="47"/>
  <c r="AS22" i="47" s="1"/>
  <c r="X22" i="47"/>
  <c r="BA20" i="47"/>
  <c r="AF21" i="47"/>
  <c r="T22" i="47"/>
  <c r="AQ21" i="47"/>
  <c r="Z22" i="47"/>
  <c r="AY21" i="47"/>
  <c r="Z20" i="46"/>
  <c r="AY20" i="46" s="1"/>
  <c r="AB20" i="46"/>
  <c r="AW20" i="46" s="1"/>
  <c r="AD20" i="46"/>
  <c r="AF19" i="46"/>
  <c r="T20" i="46"/>
  <c r="V20" i="46"/>
  <c r="AS20" i="46" s="1"/>
  <c r="C12" i="30"/>
  <c r="B12" i="30"/>
  <c r="C44" i="31" s="1"/>
  <c r="C40" i="31"/>
  <c r="AD25" i="56" l="1"/>
  <c r="BA19" i="55"/>
  <c r="AY20" i="55"/>
  <c r="Z21" i="55"/>
  <c r="AF20" i="55"/>
  <c r="AQ20" i="55"/>
  <c r="T21" i="55"/>
  <c r="AL20" i="55"/>
  <c r="AO20" i="55" s="1"/>
  <c r="AU20" i="55"/>
  <c r="AS20" i="55"/>
  <c r="X21" i="55"/>
  <c r="V21" i="55"/>
  <c r="AB21" i="55"/>
  <c r="AW20" i="55"/>
  <c r="AD21" i="55"/>
  <c r="Z25" i="56"/>
  <c r="AY24" i="56"/>
  <c r="BA23" i="56"/>
  <c r="X25" i="56"/>
  <c r="AS24" i="56"/>
  <c r="V25" i="56"/>
  <c r="AU24" i="56"/>
  <c r="AL24" i="56"/>
  <c r="AO24" i="56" s="1"/>
  <c r="AF24" i="56"/>
  <c r="T25" i="56"/>
  <c r="AQ24" i="56"/>
  <c r="AW24" i="56"/>
  <c r="AB25" i="56"/>
  <c r="X29" i="50"/>
  <c r="Y29" i="50" s="1"/>
  <c r="F30" i="50"/>
  <c r="D31" i="50"/>
  <c r="V30" i="50"/>
  <c r="AU22" i="47"/>
  <c r="AL22" i="47"/>
  <c r="AL20" i="46"/>
  <c r="BA19" i="46"/>
  <c r="AU20" i="46"/>
  <c r="AQ20" i="46"/>
  <c r="X21" i="46"/>
  <c r="C36" i="31"/>
  <c r="C32" i="31"/>
  <c r="C28" i="31"/>
  <c r="C9" i="31"/>
  <c r="C56" i="31"/>
  <c r="C24" i="31"/>
  <c r="C52" i="31"/>
  <c r="C19" i="31"/>
  <c r="C48" i="31"/>
  <c r="Z23" i="47"/>
  <c r="AY22" i="47"/>
  <c r="AB23" i="47"/>
  <c r="AW22" i="47"/>
  <c r="AF22" i="47"/>
  <c r="T23" i="47"/>
  <c r="AQ22" i="47"/>
  <c r="X23" i="47"/>
  <c r="V23" i="47"/>
  <c r="AS23" i="47" s="1"/>
  <c r="BA21" i="47"/>
  <c r="AD23" i="47"/>
  <c r="AB21" i="46"/>
  <c r="AW21" i="46" s="1"/>
  <c r="Z21" i="46"/>
  <c r="AY21" i="46" s="1"/>
  <c r="AD21" i="46"/>
  <c r="V21" i="46"/>
  <c r="AS21" i="46" s="1"/>
  <c r="T21" i="46"/>
  <c r="AF20" i="46"/>
  <c r="C7" i="31"/>
  <c r="C55" i="31"/>
  <c r="C51" i="31"/>
  <c r="C47" i="31"/>
  <c r="C43" i="31"/>
  <c r="C39" i="31"/>
  <c r="C35" i="31"/>
  <c r="C31" i="31"/>
  <c r="C27" i="31"/>
  <c r="C23" i="31"/>
  <c r="C18" i="31"/>
  <c r="C58" i="31"/>
  <c r="C54" i="31"/>
  <c r="C50" i="31"/>
  <c r="C46" i="31"/>
  <c r="C42" i="31"/>
  <c r="C38" i="31"/>
  <c r="C34" i="31"/>
  <c r="C30" i="31"/>
  <c r="C26" i="31"/>
  <c r="C22" i="31"/>
  <c r="C17" i="31"/>
  <c r="C57" i="31"/>
  <c r="C53" i="31"/>
  <c r="C49" i="31"/>
  <c r="C45" i="31"/>
  <c r="C41" i="31"/>
  <c r="C37" i="31"/>
  <c r="C33" i="31"/>
  <c r="C29" i="31"/>
  <c r="C25" i="31"/>
  <c r="C21" i="31"/>
  <c r="C14" i="31"/>
  <c r="C13" i="31"/>
  <c r="C11" i="31"/>
  <c r="C15" i="31"/>
  <c r="C10" i="31"/>
  <c r="C8" i="31"/>
  <c r="C20" i="31"/>
  <c r="C16" i="31"/>
  <c r="C12" i="31"/>
  <c r="AD22" i="55" l="1"/>
  <c r="AQ21" i="55"/>
  <c r="T22" i="55"/>
  <c r="AF21" i="55"/>
  <c r="BA20" i="55"/>
  <c r="AW21" i="55"/>
  <c r="AB22" i="55"/>
  <c r="V22" i="55"/>
  <c r="AS21" i="55"/>
  <c r="X22" i="55"/>
  <c r="Z22" i="55"/>
  <c r="AY21" i="55"/>
  <c r="AL21" i="55"/>
  <c r="AO21" i="55" s="1"/>
  <c r="AU21" i="55"/>
  <c r="V26" i="56"/>
  <c r="X26" i="56"/>
  <c r="AS25" i="56"/>
  <c r="AY25" i="56"/>
  <c r="Z26" i="56"/>
  <c r="BA24" i="56"/>
  <c r="AU25" i="56"/>
  <c r="AL25" i="56"/>
  <c r="AO25" i="56" s="1"/>
  <c r="T26" i="56"/>
  <c r="AF25" i="56"/>
  <c r="AQ25" i="56"/>
  <c r="AW25" i="56"/>
  <c r="AB26" i="56"/>
  <c r="AD26" i="56"/>
  <c r="D32" i="50"/>
  <c r="V31" i="50"/>
  <c r="X30" i="50"/>
  <c r="Y30" i="50" s="1"/>
  <c r="F31" i="50"/>
  <c r="AU23" i="47"/>
  <c r="AL23" i="47"/>
  <c r="AL21" i="46"/>
  <c r="BA20" i="46"/>
  <c r="AU21" i="46"/>
  <c r="AQ21" i="46"/>
  <c r="X22" i="46"/>
  <c r="AD24" i="47"/>
  <c r="AB24" i="47"/>
  <c r="AW23" i="47"/>
  <c r="AF23" i="47"/>
  <c r="T24" i="47"/>
  <c r="AQ23" i="47"/>
  <c r="BA22" i="47"/>
  <c r="X24" i="47"/>
  <c r="V24" i="47"/>
  <c r="AS24" i="47" s="1"/>
  <c r="Z24" i="47"/>
  <c r="AY23" i="47"/>
  <c r="Z22" i="46"/>
  <c r="AY22" i="46" s="1"/>
  <c r="AB22" i="46"/>
  <c r="AW22" i="46" s="1"/>
  <c r="AD22" i="46"/>
  <c r="V22" i="46"/>
  <c r="AS22" i="46" s="1"/>
  <c r="T22" i="46"/>
  <c r="AF21" i="46"/>
  <c r="D5" i="28"/>
  <c r="D6" i="28" s="1"/>
  <c r="G5" i="28"/>
  <c r="C4" i="1"/>
  <c r="AD27" i="56" l="1"/>
  <c r="AS22" i="55"/>
  <c r="X23" i="55"/>
  <c r="V23" i="55"/>
  <c r="AW22" i="55"/>
  <c r="AB23" i="55"/>
  <c r="Z23" i="55"/>
  <c r="AY22" i="55"/>
  <c r="AQ22" i="55"/>
  <c r="T23" i="55"/>
  <c r="AF22" i="55"/>
  <c r="AU22" i="55"/>
  <c r="AL22" i="55"/>
  <c r="AO22" i="55" s="1"/>
  <c r="BA21" i="55"/>
  <c r="AD23" i="55"/>
  <c r="BA25" i="56"/>
  <c r="Z27" i="56"/>
  <c r="AY26" i="56"/>
  <c r="T27" i="56"/>
  <c r="AF26" i="56"/>
  <c r="AQ26" i="56"/>
  <c r="AU26" i="56"/>
  <c r="AL26" i="56"/>
  <c r="AO26" i="56" s="1"/>
  <c r="X27" i="56"/>
  <c r="AS26" i="56"/>
  <c r="V27" i="56"/>
  <c r="AW26" i="56"/>
  <c r="AB27" i="56"/>
  <c r="X31" i="50"/>
  <c r="Y31" i="50" s="1"/>
  <c r="F32" i="50"/>
  <c r="V32" i="50"/>
  <c r="D33" i="50"/>
  <c r="AU24" i="47"/>
  <c r="AL24" i="47"/>
  <c r="AL22" i="46"/>
  <c r="BA21" i="46"/>
  <c r="AU22" i="46"/>
  <c r="AQ22" i="46"/>
  <c r="X23" i="46"/>
  <c r="BA23" i="47"/>
  <c r="AF24" i="47"/>
  <c r="T25" i="47"/>
  <c r="AQ24" i="47"/>
  <c r="Z25" i="47"/>
  <c r="AY24" i="47"/>
  <c r="AB25" i="47"/>
  <c r="AW24" i="47"/>
  <c r="X25" i="47"/>
  <c r="V25" i="47"/>
  <c r="AS25" i="47" s="1"/>
  <c r="AD25" i="47"/>
  <c r="AB23" i="46"/>
  <c r="AW23" i="46" s="1"/>
  <c r="Z23" i="46"/>
  <c r="AY23" i="46" s="1"/>
  <c r="AD23" i="46"/>
  <c r="T23" i="46"/>
  <c r="AF22" i="46"/>
  <c r="V23" i="46"/>
  <c r="AS23" i="46" s="1"/>
  <c r="F6" i="28"/>
  <c r="E6" i="28"/>
  <c r="H4" i="28"/>
  <c r="F5" i="28"/>
  <c r="E5" i="28"/>
  <c r="H5" i="28"/>
  <c r="I4" i="28"/>
  <c r="G6" i="28"/>
  <c r="D7" i="28"/>
  <c r="BA22" i="55" l="1"/>
  <c r="AD24" i="55"/>
  <c r="Z24" i="55"/>
  <c r="AY23" i="55"/>
  <c r="AB24" i="55"/>
  <c r="AW23" i="55"/>
  <c r="V24" i="55"/>
  <c r="AS23" i="55"/>
  <c r="X24" i="55"/>
  <c r="AL23" i="55"/>
  <c r="AO23" i="55" s="1"/>
  <c r="AU23" i="55"/>
  <c r="T24" i="55"/>
  <c r="AF23" i="55"/>
  <c r="AQ23" i="55"/>
  <c r="BA26" i="56"/>
  <c r="X28" i="56"/>
  <c r="AS27" i="56"/>
  <c r="V28" i="56"/>
  <c r="AF27" i="56"/>
  <c r="AQ27" i="56"/>
  <c r="T28" i="56"/>
  <c r="AU27" i="56"/>
  <c r="AL27" i="56"/>
  <c r="AO27" i="56" s="1"/>
  <c r="AD28" i="56"/>
  <c r="AY27" i="56"/>
  <c r="Z28" i="56"/>
  <c r="AW27" i="56"/>
  <c r="AB28" i="56"/>
  <c r="D34" i="50"/>
  <c r="V33" i="50"/>
  <c r="X32" i="50"/>
  <c r="Y32" i="50" s="1"/>
  <c r="F33" i="50"/>
  <c r="AU25" i="47"/>
  <c r="AL25" i="47"/>
  <c r="AL23" i="46"/>
  <c r="BA22" i="46"/>
  <c r="AU23" i="46"/>
  <c r="AQ23" i="46"/>
  <c r="X24" i="46"/>
  <c r="AB26" i="47"/>
  <c r="AW25" i="47"/>
  <c r="Z26" i="47"/>
  <c r="AY25" i="47"/>
  <c r="AD26" i="47"/>
  <c r="BA24" i="47"/>
  <c r="V26" i="47"/>
  <c r="AS26" i="47" s="1"/>
  <c r="X26" i="47"/>
  <c r="AF25" i="47"/>
  <c r="T26" i="47"/>
  <c r="AQ25" i="47"/>
  <c r="Z24" i="46"/>
  <c r="AY24" i="46" s="1"/>
  <c r="AB24" i="46"/>
  <c r="AW24" i="46" s="1"/>
  <c r="AD24" i="46"/>
  <c r="V24" i="46"/>
  <c r="AS24" i="46" s="1"/>
  <c r="AF23" i="46"/>
  <c r="T24" i="46"/>
  <c r="H6" i="28"/>
  <c r="F7" i="28"/>
  <c r="E7" i="28"/>
  <c r="G7" i="28"/>
  <c r="D8" i="28"/>
  <c r="I5" i="28"/>
  <c r="BA23" i="55" l="1"/>
  <c r="AS24" i="55"/>
  <c r="V25" i="55"/>
  <c r="X25" i="55"/>
  <c r="AW24" i="55"/>
  <c r="AB25" i="55"/>
  <c r="AL24" i="55"/>
  <c r="AO24" i="55" s="1"/>
  <c r="AU24" i="55"/>
  <c r="AQ24" i="55"/>
  <c r="T25" i="55"/>
  <c r="AF24" i="55"/>
  <c r="AY24" i="55"/>
  <c r="Z25" i="55"/>
  <c r="AD25" i="55"/>
  <c r="AB29" i="56"/>
  <c r="AW28" i="56"/>
  <c r="T29" i="56"/>
  <c r="AF28" i="56"/>
  <c r="AQ28" i="56"/>
  <c r="BA27" i="56"/>
  <c r="Z29" i="56"/>
  <c r="AY28" i="56"/>
  <c r="X29" i="56"/>
  <c r="AS28" i="56"/>
  <c r="V29" i="56"/>
  <c r="AU28" i="56"/>
  <c r="AL28" i="56"/>
  <c r="AO28" i="56" s="1"/>
  <c r="AD29" i="56"/>
  <c r="X33" i="50"/>
  <c r="Y33" i="50" s="1"/>
  <c r="F34" i="50"/>
  <c r="D35" i="50"/>
  <c r="V34" i="50"/>
  <c r="AU26" i="47"/>
  <c r="AL26" i="47"/>
  <c r="AL24" i="46"/>
  <c r="BA23" i="46"/>
  <c r="AU24" i="46"/>
  <c r="AQ24" i="46"/>
  <c r="X25" i="46"/>
  <c r="Z27" i="47"/>
  <c r="AY26" i="47"/>
  <c r="X27" i="47"/>
  <c r="V27" i="47"/>
  <c r="AS27" i="47" s="1"/>
  <c r="AD27" i="47"/>
  <c r="BA25" i="47"/>
  <c r="AF26" i="47"/>
  <c r="T27" i="47"/>
  <c r="AQ26" i="47"/>
  <c r="AB27" i="47"/>
  <c r="AW26" i="47"/>
  <c r="AB25" i="46"/>
  <c r="AW25" i="46" s="1"/>
  <c r="Z25" i="46"/>
  <c r="AY25" i="46" s="1"/>
  <c r="AD25" i="46"/>
  <c r="V25" i="46"/>
  <c r="AS25" i="46" s="1"/>
  <c r="AF24" i="46"/>
  <c r="T25" i="46"/>
  <c r="H7" i="28"/>
  <c r="E8" i="28"/>
  <c r="F8" i="28"/>
  <c r="G8" i="28"/>
  <c r="I7" i="28" s="1"/>
  <c r="D9" i="28"/>
  <c r="I6" i="28"/>
  <c r="AD26" i="55" l="1"/>
  <c r="BA24" i="55"/>
  <c r="AW25" i="55"/>
  <c r="AB26" i="55"/>
  <c r="AY25" i="55"/>
  <c r="Z26" i="55"/>
  <c r="AU25" i="55"/>
  <c r="AL25" i="55"/>
  <c r="AO25" i="55" s="1"/>
  <c r="V26" i="55"/>
  <c r="X26" i="55"/>
  <c r="AS25" i="55"/>
  <c r="AQ25" i="55"/>
  <c r="T26" i="55"/>
  <c r="AF25" i="55"/>
  <c r="X30" i="56"/>
  <c r="AS29" i="56"/>
  <c r="V30" i="56"/>
  <c r="BA28" i="56"/>
  <c r="AD30" i="56"/>
  <c r="AU29" i="56"/>
  <c r="AL29" i="56"/>
  <c r="AO29" i="56" s="1"/>
  <c r="T30" i="56"/>
  <c r="AF29" i="56"/>
  <c r="AQ29" i="56"/>
  <c r="AY29" i="56"/>
  <c r="Z30" i="56"/>
  <c r="AW29" i="56"/>
  <c r="AB30" i="56"/>
  <c r="D36" i="50"/>
  <c r="V35" i="50"/>
  <c r="X34" i="50"/>
  <c r="Y34" i="50" s="1"/>
  <c r="F35" i="50"/>
  <c r="AU27" i="47"/>
  <c r="AL27" i="47"/>
  <c r="AL25" i="46"/>
  <c r="BA24" i="46"/>
  <c r="AU25" i="46"/>
  <c r="AQ25" i="46"/>
  <c r="AH13" i="46"/>
  <c r="AO13" i="46" s="1"/>
  <c r="X26" i="46"/>
  <c r="AD28" i="47"/>
  <c r="AF27" i="47"/>
  <c r="T28" i="47"/>
  <c r="AQ27" i="47"/>
  <c r="V28" i="47"/>
  <c r="AS28" i="47" s="1"/>
  <c r="X28" i="47"/>
  <c r="AB28" i="47"/>
  <c r="AW27" i="47"/>
  <c r="BA26" i="47"/>
  <c r="Z28" i="47"/>
  <c r="AY27" i="47"/>
  <c r="Z26" i="46"/>
  <c r="AY26" i="46" s="1"/>
  <c r="AB26" i="46"/>
  <c r="AW26" i="46" s="1"/>
  <c r="AD26" i="46"/>
  <c r="AF25" i="46"/>
  <c r="T26" i="46"/>
  <c r="V26" i="46"/>
  <c r="AS26" i="46" s="1"/>
  <c r="H8" i="28"/>
  <c r="E9" i="28"/>
  <c r="F9" i="28"/>
  <c r="G9" i="28"/>
  <c r="D10" i="28"/>
  <c r="AY26" i="55" l="1"/>
  <c r="Z27" i="55"/>
  <c r="AF26" i="55"/>
  <c r="T27" i="55"/>
  <c r="AQ26" i="55"/>
  <c r="BA25" i="55"/>
  <c r="AW26" i="55"/>
  <c r="AB27" i="55"/>
  <c r="V27" i="55"/>
  <c r="X27" i="55"/>
  <c r="AS26" i="55"/>
  <c r="AU26" i="55"/>
  <c r="AL26" i="55"/>
  <c r="AO26" i="55" s="1"/>
  <c r="AD27" i="55"/>
  <c r="AD31" i="56"/>
  <c r="T31" i="56"/>
  <c r="AF30" i="56"/>
  <c r="AQ30" i="56"/>
  <c r="AU30" i="56"/>
  <c r="AL30" i="56"/>
  <c r="AO30" i="56" s="1"/>
  <c r="AW30" i="56"/>
  <c r="AB31" i="56"/>
  <c r="AY30" i="56"/>
  <c r="Z31" i="56"/>
  <c r="BA29" i="56"/>
  <c r="X31" i="56"/>
  <c r="AS30" i="56"/>
  <c r="V31" i="56"/>
  <c r="X35" i="50"/>
  <c r="Y35" i="50" s="1"/>
  <c r="F36" i="50"/>
  <c r="D37" i="50"/>
  <c r="V36" i="50"/>
  <c r="AU28" i="47"/>
  <c r="AL28" i="47"/>
  <c r="AL26" i="46"/>
  <c r="BA25" i="46"/>
  <c r="AU26" i="46"/>
  <c r="AH21" i="46"/>
  <c r="AO21" i="46" s="1"/>
  <c r="AH29" i="46"/>
  <c r="AH37" i="46"/>
  <c r="AH45" i="46"/>
  <c r="AH53" i="46"/>
  <c r="AH61" i="46"/>
  <c r="AH69" i="46"/>
  <c r="AH77" i="46"/>
  <c r="AO77" i="46" s="1"/>
  <c r="AH85" i="46"/>
  <c r="AO85" i="46" s="1"/>
  <c r="AH93" i="46"/>
  <c r="AO93" i="46" s="1"/>
  <c r="AH101" i="46"/>
  <c r="AO101" i="46" s="1"/>
  <c r="AH49" i="46"/>
  <c r="AH34" i="46"/>
  <c r="AH74" i="46"/>
  <c r="AO74" i="46" s="1"/>
  <c r="AH27" i="46"/>
  <c r="AH67" i="46"/>
  <c r="AH99" i="46"/>
  <c r="AO99" i="46" s="1"/>
  <c r="AH44" i="46"/>
  <c r="AH84" i="46"/>
  <c r="AO84" i="46" s="1"/>
  <c r="AH14" i="46"/>
  <c r="AO14" i="46" s="1"/>
  <c r="AH22" i="46"/>
  <c r="AO22" i="46" s="1"/>
  <c r="AH30" i="46"/>
  <c r="AH38" i="46"/>
  <c r="AH46" i="46"/>
  <c r="AH54" i="46"/>
  <c r="AH62" i="46"/>
  <c r="AH70" i="46"/>
  <c r="AH78" i="46"/>
  <c r="AO78" i="46" s="1"/>
  <c r="AH86" i="46"/>
  <c r="AO86" i="46" s="1"/>
  <c r="AH94" i="46"/>
  <c r="AO94" i="46" s="1"/>
  <c r="AH102" i="46"/>
  <c r="AO102" i="46" s="1"/>
  <c r="AH33" i="46"/>
  <c r="AH57" i="46"/>
  <c r="AH81" i="46"/>
  <c r="AO81" i="46" s="1"/>
  <c r="AH97" i="46"/>
  <c r="AO97" i="46" s="1"/>
  <c r="AH18" i="46"/>
  <c r="AO18" i="46" s="1"/>
  <c r="AH50" i="46"/>
  <c r="AH82" i="46"/>
  <c r="AO82" i="46" s="1"/>
  <c r="AH19" i="46"/>
  <c r="AO19" i="46" s="1"/>
  <c r="AH43" i="46"/>
  <c r="AH59" i="46"/>
  <c r="AH75" i="46"/>
  <c r="AO75" i="46" s="1"/>
  <c r="AH20" i="46"/>
  <c r="AO20" i="46" s="1"/>
  <c r="AH76" i="46"/>
  <c r="AO76" i="46" s="1"/>
  <c r="AH15" i="46"/>
  <c r="AO15" i="46" s="1"/>
  <c r="AH23" i="46"/>
  <c r="AO23" i="46" s="1"/>
  <c r="AH31" i="46"/>
  <c r="AH39" i="46"/>
  <c r="AH47" i="46"/>
  <c r="AH55" i="46"/>
  <c r="AH63" i="46"/>
  <c r="AH71" i="46"/>
  <c r="AH79" i="46"/>
  <c r="AO79" i="46" s="1"/>
  <c r="AH87" i="46"/>
  <c r="AO87" i="46" s="1"/>
  <c r="AH95" i="46"/>
  <c r="AO95" i="46" s="1"/>
  <c r="AH103" i="46"/>
  <c r="AO103" i="46" s="1"/>
  <c r="AH25" i="46"/>
  <c r="AO25" i="46" s="1"/>
  <c r="AH65" i="46"/>
  <c r="AH42" i="46"/>
  <c r="AH66" i="46"/>
  <c r="AH90" i="46"/>
  <c r="AO90" i="46" s="1"/>
  <c r="AH35" i="46"/>
  <c r="AH83" i="46"/>
  <c r="AO83" i="46" s="1"/>
  <c r="AH36" i="46"/>
  <c r="AH68" i="46"/>
  <c r="AH100" i="46"/>
  <c r="AO100" i="46" s="1"/>
  <c r="AH16" i="46"/>
  <c r="AO16" i="46" s="1"/>
  <c r="AH24" i="46"/>
  <c r="AO24" i="46" s="1"/>
  <c r="AH32" i="46"/>
  <c r="AH40" i="46"/>
  <c r="AH48" i="46"/>
  <c r="AH56" i="46"/>
  <c r="AH64" i="46"/>
  <c r="AH72" i="46"/>
  <c r="AH80" i="46"/>
  <c r="AO80" i="46" s="1"/>
  <c r="AH88" i="46"/>
  <c r="AO88" i="46" s="1"/>
  <c r="AH96" i="46"/>
  <c r="AO96" i="46" s="1"/>
  <c r="AH17" i="46"/>
  <c r="AO17" i="46" s="1"/>
  <c r="AH73" i="46"/>
  <c r="AH89" i="46"/>
  <c r="AO89" i="46" s="1"/>
  <c r="AH26" i="46"/>
  <c r="AH58" i="46"/>
  <c r="AH51" i="46"/>
  <c r="AH91" i="46"/>
  <c r="AO91" i="46" s="1"/>
  <c r="AH28" i="46"/>
  <c r="AH60" i="46"/>
  <c r="AH92" i="46"/>
  <c r="AO92" i="46" s="1"/>
  <c r="AH41" i="46"/>
  <c r="AH98" i="46"/>
  <c r="AO98" i="46" s="1"/>
  <c r="AH52" i="46"/>
  <c r="AQ26" i="46"/>
  <c r="X27" i="46"/>
  <c r="BA27" i="47"/>
  <c r="AB29" i="47"/>
  <c r="AW28" i="47"/>
  <c r="X29" i="47"/>
  <c r="V29" i="47"/>
  <c r="AS29" i="47" s="1"/>
  <c r="Z29" i="47"/>
  <c r="AY28" i="47"/>
  <c r="T29" i="47"/>
  <c r="AF28" i="47"/>
  <c r="AQ28" i="47"/>
  <c r="AD29" i="47"/>
  <c r="AB27" i="46"/>
  <c r="AW27" i="46" s="1"/>
  <c r="Z27" i="46"/>
  <c r="AY27" i="46" s="1"/>
  <c r="AD27" i="46"/>
  <c r="V27" i="46"/>
  <c r="AS27" i="46" s="1"/>
  <c r="AF26" i="46"/>
  <c r="T27" i="46"/>
  <c r="H9" i="28"/>
  <c r="E10" i="28"/>
  <c r="F10" i="28"/>
  <c r="G10" i="28"/>
  <c r="I9" i="28" s="1"/>
  <c r="I8" i="28"/>
  <c r="D11" i="28"/>
  <c r="AD32" i="56" l="1"/>
  <c r="BA26" i="55"/>
  <c r="AB28" i="55"/>
  <c r="AW27" i="55"/>
  <c r="AD28" i="55"/>
  <c r="AF27" i="55"/>
  <c r="AQ27" i="55"/>
  <c r="T28" i="55"/>
  <c r="AL27" i="55"/>
  <c r="AO27" i="55" s="1"/>
  <c r="AU27" i="55"/>
  <c r="Z28" i="55"/>
  <c r="AY27" i="55"/>
  <c r="V28" i="55"/>
  <c r="AS27" i="55"/>
  <c r="X28" i="55"/>
  <c r="AU31" i="56"/>
  <c r="AL31" i="56"/>
  <c r="AO31" i="56" s="1"/>
  <c r="AY31" i="56"/>
  <c r="Z32" i="56"/>
  <c r="BA30" i="56"/>
  <c r="X32" i="56"/>
  <c r="AS31" i="56"/>
  <c r="V32" i="56"/>
  <c r="AW31" i="56"/>
  <c r="AB32" i="56"/>
  <c r="T32" i="56"/>
  <c r="AF31" i="56"/>
  <c r="AQ31" i="56"/>
  <c r="V37" i="50"/>
  <c r="D38" i="50"/>
  <c r="X36" i="50"/>
  <c r="Y36" i="50" s="1"/>
  <c r="F37" i="50"/>
  <c r="AH47" i="47"/>
  <c r="AH39" i="47"/>
  <c r="AH46" i="47"/>
  <c r="AH44" i="47"/>
  <c r="AH78" i="47"/>
  <c r="AO78" i="47" s="1"/>
  <c r="AH90" i="47"/>
  <c r="AO90" i="47" s="1"/>
  <c r="AH25" i="47"/>
  <c r="AO25" i="47" s="1"/>
  <c r="AH17" i="47"/>
  <c r="AO17" i="47" s="1"/>
  <c r="AH86" i="47"/>
  <c r="AO86" i="47" s="1"/>
  <c r="AH52" i="47"/>
  <c r="AH60" i="47"/>
  <c r="AH68" i="47"/>
  <c r="AH93" i="47"/>
  <c r="AO93" i="47" s="1"/>
  <c r="AH42" i="47"/>
  <c r="AH18" i="47"/>
  <c r="AO18" i="47" s="1"/>
  <c r="AH66" i="47"/>
  <c r="AH57" i="47"/>
  <c r="AH33" i="47"/>
  <c r="AH94" i="47"/>
  <c r="AO94" i="47" s="1"/>
  <c r="AH75" i="47"/>
  <c r="AO75" i="47" s="1"/>
  <c r="AH70" i="47"/>
  <c r="AH29" i="47"/>
  <c r="AH65" i="47"/>
  <c r="AH63" i="47"/>
  <c r="AH71" i="47"/>
  <c r="AH43" i="47"/>
  <c r="AH20" i="47"/>
  <c r="AO20" i="47" s="1"/>
  <c r="AH92" i="47"/>
  <c r="AO92" i="47" s="1"/>
  <c r="AH30" i="47"/>
  <c r="AH84" i="47"/>
  <c r="AO84" i="47" s="1"/>
  <c r="AH38" i="47"/>
  <c r="AH74" i="47"/>
  <c r="AO74" i="47" s="1"/>
  <c r="AH21" i="47"/>
  <c r="AO21" i="47" s="1"/>
  <c r="AH32" i="47"/>
  <c r="AH81" i="47"/>
  <c r="AO81" i="47" s="1"/>
  <c r="AH61" i="47"/>
  <c r="AH77" i="47"/>
  <c r="AO77" i="47" s="1"/>
  <c r="AH27" i="47"/>
  <c r="AO27" i="47" s="1"/>
  <c r="AH83" i="47"/>
  <c r="AO83" i="47" s="1"/>
  <c r="AH22" i="47"/>
  <c r="AO22" i="47" s="1"/>
  <c r="AH53" i="47"/>
  <c r="AH72" i="47"/>
  <c r="AH28" i="47"/>
  <c r="AO28" i="47" s="1"/>
  <c r="AH58" i="47"/>
  <c r="AH91" i="47"/>
  <c r="AO91" i="47" s="1"/>
  <c r="AH64" i="47"/>
  <c r="AH40" i="47"/>
  <c r="AH24" i="47"/>
  <c r="AO24" i="47" s="1"/>
  <c r="AH85" i="47"/>
  <c r="AO85" i="47" s="1"/>
  <c r="AH103" i="47"/>
  <c r="AO103" i="47" s="1"/>
  <c r="AH97" i="47"/>
  <c r="AO97" i="47" s="1"/>
  <c r="AH67" i="47"/>
  <c r="AH14" i="47"/>
  <c r="AO14" i="47" s="1"/>
  <c r="AH73" i="47"/>
  <c r="AH16" i="47"/>
  <c r="AO16" i="47" s="1"/>
  <c r="AH51" i="47"/>
  <c r="AH36" i="47"/>
  <c r="AH37" i="47"/>
  <c r="AH48" i="47"/>
  <c r="AH76" i="47"/>
  <c r="AO76" i="47" s="1"/>
  <c r="AH87" i="47"/>
  <c r="AO87" i="47" s="1"/>
  <c r="AH89" i="47"/>
  <c r="AO89" i="47" s="1"/>
  <c r="AH50" i="47"/>
  <c r="AH55" i="47"/>
  <c r="AH49" i="47"/>
  <c r="AH96" i="47"/>
  <c r="AO96" i="47" s="1"/>
  <c r="AH54" i="47"/>
  <c r="AH45" i="47"/>
  <c r="AH82" i="47"/>
  <c r="AO82" i="47" s="1"/>
  <c r="AH80" i="47"/>
  <c r="AO80" i="47" s="1"/>
  <c r="AH101" i="47"/>
  <c r="AO101" i="47" s="1"/>
  <c r="AH23" i="47"/>
  <c r="AO23" i="47" s="1"/>
  <c r="AH26" i="47"/>
  <c r="AO26" i="47" s="1"/>
  <c r="AH69" i="47"/>
  <c r="AH56" i="47"/>
  <c r="AH102" i="47"/>
  <c r="AO102" i="47" s="1"/>
  <c r="AH59" i="47"/>
  <c r="AH19" i="47"/>
  <c r="AO19" i="47" s="1"/>
  <c r="AH88" i="47"/>
  <c r="AO88" i="47" s="1"/>
  <c r="AH79" i="47"/>
  <c r="AO79" i="47" s="1"/>
  <c r="AH41" i="47"/>
  <c r="AH95" i="47"/>
  <c r="AO95" i="47" s="1"/>
  <c r="AH100" i="47"/>
  <c r="AO100" i="47" s="1"/>
  <c r="AH31" i="47"/>
  <c r="AH15" i="47"/>
  <c r="AO15" i="47" s="1"/>
  <c r="AH99" i="47"/>
  <c r="AO99" i="47" s="1"/>
  <c r="AH62" i="47"/>
  <c r="AH34" i="47"/>
  <c r="AH98" i="47"/>
  <c r="AO98" i="47" s="1"/>
  <c r="AH35" i="47"/>
  <c r="AH13" i="47"/>
  <c r="AO13" i="47" s="1"/>
  <c r="AO9" i="47" s="1"/>
  <c r="AU29" i="47"/>
  <c r="AL29" i="47"/>
  <c r="AO26" i="46"/>
  <c r="AL27" i="46"/>
  <c r="AO27" i="46" s="1"/>
  <c r="BA26" i="46"/>
  <c r="AU27" i="46"/>
  <c r="M25" i="43"/>
  <c r="K25" i="43"/>
  <c r="AQ27" i="46"/>
  <c r="X28" i="46"/>
  <c r="AF29" i="47"/>
  <c r="T30" i="47"/>
  <c r="AQ29" i="47"/>
  <c r="X30" i="47"/>
  <c r="V30" i="47"/>
  <c r="AS30" i="47" s="1"/>
  <c r="AD30" i="47"/>
  <c r="Z30" i="47"/>
  <c r="AY29" i="47"/>
  <c r="BA28" i="47"/>
  <c r="AB30" i="47"/>
  <c r="AW29" i="47"/>
  <c r="Z28" i="46"/>
  <c r="AY28" i="46" s="1"/>
  <c r="AB28" i="46"/>
  <c r="AW28" i="46" s="1"/>
  <c r="AD28" i="46"/>
  <c r="T28" i="46"/>
  <c r="AF27" i="46"/>
  <c r="V28" i="46"/>
  <c r="AS28" i="46" s="1"/>
  <c r="H10" i="28"/>
  <c r="E11" i="28"/>
  <c r="F11" i="28"/>
  <c r="D12" i="28"/>
  <c r="H11" i="28" s="1"/>
  <c r="G11" i="28"/>
  <c r="AQ28" i="55" l="1"/>
  <c r="T29" i="55"/>
  <c r="AF28" i="55"/>
  <c r="AU28" i="55"/>
  <c r="AL28" i="55"/>
  <c r="AO28" i="55" s="1"/>
  <c r="BA27" i="55"/>
  <c r="AS28" i="55"/>
  <c r="X29" i="55"/>
  <c r="V29" i="55"/>
  <c r="AD29" i="55"/>
  <c r="Z29" i="55"/>
  <c r="AY28" i="55"/>
  <c r="AB29" i="55"/>
  <c r="AW28" i="55"/>
  <c r="AD33" i="56"/>
  <c r="X33" i="56"/>
  <c r="AS32" i="56"/>
  <c r="V33" i="56"/>
  <c r="AU32" i="56"/>
  <c r="AL32" i="56"/>
  <c r="AO32" i="56" s="1"/>
  <c r="BA31" i="56"/>
  <c r="AY32" i="56"/>
  <c r="Z33" i="56"/>
  <c r="T33" i="56"/>
  <c r="AF32" i="56"/>
  <c r="AQ32" i="56"/>
  <c r="AW32" i="56"/>
  <c r="AB33" i="56"/>
  <c r="X37" i="50"/>
  <c r="Y37" i="50" s="1"/>
  <c r="F38" i="50"/>
  <c r="D39" i="50"/>
  <c r="V38" i="50"/>
  <c r="AO29" i="47"/>
  <c r="AU30" i="47"/>
  <c r="AL30" i="47"/>
  <c r="AO30" i="47" s="1"/>
  <c r="AL28" i="46"/>
  <c r="AO28" i="46" s="1"/>
  <c r="BA27" i="46"/>
  <c r="AU28" i="46"/>
  <c r="Q25" i="43"/>
  <c r="E25" i="43" s="1"/>
  <c r="K15" i="42" s="1"/>
  <c r="K27" i="43"/>
  <c r="M27" i="43"/>
  <c r="AQ28" i="46"/>
  <c r="X29" i="46"/>
  <c r="X31" i="47"/>
  <c r="V31" i="47"/>
  <c r="AS31" i="47" s="1"/>
  <c r="AB31" i="47"/>
  <c r="AW30" i="47"/>
  <c r="BA29" i="47"/>
  <c r="Z31" i="47"/>
  <c r="AY30" i="47"/>
  <c r="AF30" i="47"/>
  <c r="T31" i="47"/>
  <c r="AQ30" i="47"/>
  <c r="AD31" i="47"/>
  <c r="AB29" i="46"/>
  <c r="AW29" i="46" s="1"/>
  <c r="Z29" i="46"/>
  <c r="AY29" i="46" s="1"/>
  <c r="AD29" i="46"/>
  <c r="V29" i="46"/>
  <c r="AS29" i="46" s="1"/>
  <c r="T29" i="46"/>
  <c r="AF28" i="46"/>
  <c r="E12" i="28"/>
  <c r="F12" i="28"/>
  <c r="D13" i="28"/>
  <c r="H12" i="28" s="1"/>
  <c r="G12" i="28"/>
  <c r="I11" i="28" s="1"/>
  <c r="I10" i="28"/>
  <c r="AU29" i="55" l="1"/>
  <c r="AL29" i="55"/>
  <c r="AO29" i="55" s="1"/>
  <c r="AW29" i="55"/>
  <c r="AB30" i="55"/>
  <c r="Z30" i="55"/>
  <c r="AY29" i="55"/>
  <c r="AD30" i="55"/>
  <c r="AF29" i="55"/>
  <c r="AQ29" i="55"/>
  <c r="T30" i="55"/>
  <c r="V30" i="55"/>
  <c r="AS29" i="55"/>
  <c r="X30" i="55"/>
  <c r="BA28" i="55"/>
  <c r="AW33" i="56"/>
  <c r="AB34" i="56"/>
  <c r="BA32" i="56"/>
  <c r="T34" i="56"/>
  <c r="AF33" i="56"/>
  <c r="AQ33" i="56"/>
  <c r="V34" i="56"/>
  <c r="X34" i="56"/>
  <c r="AS33" i="56"/>
  <c r="AY33" i="56"/>
  <c r="Z34" i="56"/>
  <c r="AU33" i="56"/>
  <c r="AL33" i="56"/>
  <c r="AO33" i="56" s="1"/>
  <c r="AD34" i="56"/>
  <c r="K16" i="42"/>
  <c r="K29" i="42"/>
  <c r="D40" i="50"/>
  <c r="V39" i="50"/>
  <c r="X38" i="50"/>
  <c r="Y38" i="50" s="1"/>
  <c r="F39" i="50"/>
  <c r="Q27" i="43"/>
  <c r="E27" i="43" s="1"/>
  <c r="AU31" i="47"/>
  <c r="AL31" i="47"/>
  <c r="AO31" i="47" s="1"/>
  <c r="AL29" i="46"/>
  <c r="AO29" i="46" s="1"/>
  <c r="BA28" i="46"/>
  <c r="AU29" i="46"/>
  <c r="AQ29" i="46"/>
  <c r="X30" i="46"/>
  <c r="AB32" i="47"/>
  <c r="AW31" i="47"/>
  <c r="BA30" i="47"/>
  <c r="X32" i="47"/>
  <c r="V32" i="47"/>
  <c r="AS32" i="47" s="1"/>
  <c r="Z32" i="47"/>
  <c r="AY31" i="47"/>
  <c r="AD32" i="47"/>
  <c r="AF31" i="47"/>
  <c r="T32" i="47"/>
  <c r="AQ31" i="47"/>
  <c r="Z30" i="46"/>
  <c r="AY30" i="46" s="1"/>
  <c r="AB30" i="46"/>
  <c r="AW30" i="46" s="1"/>
  <c r="AD30" i="46"/>
  <c r="T30" i="46"/>
  <c r="AF29" i="46"/>
  <c r="V30" i="46"/>
  <c r="AS30" i="46" s="1"/>
  <c r="F13" i="28"/>
  <c r="E13" i="28"/>
  <c r="G13" i="28"/>
  <c r="I12" i="28" s="1"/>
  <c r="D14" i="28"/>
  <c r="H13" i="28" s="1"/>
  <c r="K20" i="42" l="1"/>
  <c r="F5" i="30"/>
  <c r="AD31" i="55"/>
  <c r="AL30" i="55"/>
  <c r="AO30" i="55" s="1"/>
  <c r="AU30" i="55"/>
  <c r="Z31" i="55"/>
  <c r="AY30" i="55"/>
  <c r="AW30" i="55"/>
  <c r="AB31" i="55"/>
  <c r="X31" i="55"/>
  <c r="V31" i="55"/>
  <c r="AS30" i="55"/>
  <c r="AQ30" i="55"/>
  <c r="T31" i="55"/>
  <c r="AF30" i="55"/>
  <c r="BA29" i="55"/>
  <c r="T35" i="56"/>
  <c r="AF34" i="56"/>
  <c r="AQ34" i="56"/>
  <c r="AD35" i="56"/>
  <c r="AU34" i="56"/>
  <c r="AL34" i="56"/>
  <c r="AO34" i="56" s="1"/>
  <c r="X35" i="56"/>
  <c r="AS34" i="56"/>
  <c r="V35" i="56"/>
  <c r="BA33" i="56"/>
  <c r="AW34" i="56"/>
  <c r="AB35" i="56"/>
  <c r="AY34" i="56"/>
  <c r="Z35" i="56"/>
  <c r="K30" i="42"/>
  <c r="K31" i="42" s="1"/>
  <c r="X39" i="50"/>
  <c r="Y39" i="50" s="1"/>
  <c r="F40" i="50"/>
  <c r="V40" i="50"/>
  <c r="D41" i="50"/>
  <c r="AU32" i="47"/>
  <c r="AL32" i="47"/>
  <c r="AO32" i="47" s="1"/>
  <c r="AL30" i="46"/>
  <c r="AO30" i="46" s="1"/>
  <c r="BA29" i="46"/>
  <c r="AU30" i="46"/>
  <c r="AQ30" i="46"/>
  <c r="X31" i="46"/>
  <c r="Z33" i="47"/>
  <c r="AY32" i="47"/>
  <c r="AD33" i="47"/>
  <c r="X33" i="47"/>
  <c r="V33" i="47"/>
  <c r="AS33" i="47" s="1"/>
  <c r="BA31" i="47"/>
  <c r="AF32" i="47"/>
  <c r="T33" i="47"/>
  <c r="AQ32" i="47"/>
  <c r="AB33" i="47"/>
  <c r="AW32" i="47"/>
  <c r="AB31" i="46"/>
  <c r="AW31" i="46" s="1"/>
  <c r="Z31" i="46"/>
  <c r="AY31" i="46" s="1"/>
  <c r="AD31" i="46"/>
  <c r="V31" i="46"/>
  <c r="AS31" i="46" s="1"/>
  <c r="T31" i="46"/>
  <c r="AF30" i="46"/>
  <c r="F14" i="28"/>
  <c r="E14" i="28"/>
  <c r="D15" i="28"/>
  <c r="G14" i="28"/>
  <c r="AU31" i="55" l="1"/>
  <c r="AL31" i="55"/>
  <c r="AO31" i="55" s="1"/>
  <c r="AW31" i="55"/>
  <c r="AB32" i="55"/>
  <c r="T32" i="55"/>
  <c r="AF31" i="55"/>
  <c r="AQ31" i="55"/>
  <c r="Z32" i="55"/>
  <c r="AY31" i="55"/>
  <c r="BA30" i="55"/>
  <c r="X32" i="55"/>
  <c r="V32" i="55"/>
  <c r="AS31" i="55"/>
  <c r="AD32" i="55"/>
  <c r="AD36" i="56"/>
  <c r="AW35" i="56"/>
  <c r="AB36" i="56"/>
  <c r="V36" i="56"/>
  <c r="X36" i="56"/>
  <c r="AS35" i="56"/>
  <c r="AU35" i="56"/>
  <c r="AL35" i="56"/>
  <c r="AO35" i="56" s="1"/>
  <c r="BA34" i="56"/>
  <c r="AY35" i="56"/>
  <c r="Z36" i="56"/>
  <c r="T36" i="56"/>
  <c r="AF35" i="56"/>
  <c r="AQ35" i="56"/>
  <c r="D42" i="50"/>
  <c r="V41" i="50"/>
  <c r="F41" i="50"/>
  <c r="X40" i="50"/>
  <c r="Y40" i="50" s="1"/>
  <c r="AU33" i="47"/>
  <c r="AL33" i="47"/>
  <c r="AO33" i="47" s="1"/>
  <c r="AL31" i="46"/>
  <c r="AO31" i="46" s="1"/>
  <c r="BA30" i="46"/>
  <c r="AU31" i="46"/>
  <c r="AQ31" i="46"/>
  <c r="X32" i="46"/>
  <c r="AB34" i="47"/>
  <c r="AW33" i="47"/>
  <c r="AD34" i="47"/>
  <c r="AF33" i="47"/>
  <c r="T34" i="47"/>
  <c r="AQ33" i="47"/>
  <c r="X34" i="47"/>
  <c r="V34" i="47"/>
  <c r="AS34" i="47" s="1"/>
  <c r="BA32" i="47"/>
  <c r="Z34" i="47"/>
  <c r="AY33" i="47"/>
  <c r="Z32" i="46"/>
  <c r="AY32" i="46" s="1"/>
  <c r="AB32" i="46"/>
  <c r="AW32" i="46" s="1"/>
  <c r="AD32" i="46"/>
  <c r="V32" i="46"/>
  <c r="AS32" i="46" s="1"/>
  <c r="AF31" i="46"/>
  <c r="T32" i="46"/>
  <c r="F15" i="28"/>
  <c r="E15" i="28"/>
  <c r="G15" i="28"/>
  <c r="D16" i="28"/>
  <c r="H15" i="28" s="1"/>
  <c r="I13" i="28"/>
  <c r="H14" i="28"/>
  <c r="BA31" i="55" l="1"/>
  <c r="AY32" i="55"/>
  <c r="Z33" i="55"/>
  <c r="AD33" i="55"/>
  <c r="AF32" i="55"/>
  <c r="T33" i="55"/>
  <c r="AQ32" i="55"/>
  <c r="V33" i="55"/>
  <c r="X33" i="55"/>
  <c r="AS32" i="55"/>
  <c r="AW32" i="55"/>
  <c r="AB33" i="55"/>
  <c r="AL32" i="55"/>
  <c r="AO32" i="55" s="1"/>
  <c r="AU32" i="55"/>
  <c r="AU36" i="56"/>
  <c r="AL36" i="56"/>
  <c r="AO36" i="56" s="1"/>
  <c r="AY36" i="56"/>
  <c r="Z37" i="56"/>
  <c r="X37" i="56"/>
  <c r="V37" i="56"/>
  <c r="AS36" i="56"/>
  <c r="AW36" i="56"/>
  <c r="AB37" i="56"/>
  <c r="BA35" i="56"/>
  <c r="T37" i="56"/>
  <c r="AF36" i="56"/>
  <c r="AQ36" i="56"/>
  <c r="AD37" i="56"/>
  <c r="F42" i="50"/>
  <c r="X41" i="50"/>
  <c r="Y41" i="50" s="1"/>
  <c r="D43" i="50"/>
  <c r="V42" i="50"/>
  <c r="AU34" i="47"/>
  <c r="AL34" i="47"/>
  <c r="AO34" i="47" s="1"/>
  <c r="AL32" i="46"/>
  <c r="AO32" i="46" s="1"/>
  <c r="BA31" i="46"/>
  <c r="AU32" i="46"/>
  <c r="AQ32" i="46"/>
  <c r="X33" i="46"/>
  <c r="BA33" i="47"/>
  <c r="AF34" i="47"/>
  <c r="T35" i="47"/>
  <c r="AQ34" i="47"/>
  <c r="AD35" i="47"/>
  <c r="X35" i="47"/>
  <c r="V35" i="47"/>
  <c r="AS35" i="47" s="1"/>
  <c r="Z35" i="47"/>
  <c r="AY34" i="47"/>
  <c r="AB35" i="47"/>
  <c r="AW34" i="47"/>
  <c r="AB33" i="46"/>
  <c r="AW33" i="46" s="1"/>
  <c r="Z33" i="46"/>
  <c r="AY33" i="46" s="1"/>
  <c r="AD33" i="46"/>
  <c r="T33" i="46"/>
  <c r="AF32" i="46"/>
  <c r="V33" i="46"/>
  <c r="AS33" i="46" s="1"/>
  <c r="E16" i="28"/>
  <c r="F16" i="28"/>
  <c r="G16" i="28"/>
  <c r="I15" i="28" s="1"/>
  <c r="I14" i="28"/>
  <c r="D17" i="28"/>
  <c r="H16" i="28" s="1"/>
  <c r="X34" i="55" l="1"/>
  <c r="AS33" i="55"/>
  <c r="V34" i="55"/>
  <c r="BA32" i="55"/>
  <c r="AF33" i="55"/>
  <c r="T34" i="55"/>
  <c r="AQ33" i="55"/>
  <c r="AB34" i="55"/>
  <c r="AW33" i="55"/>
  <c r="AD34" i="55"/>
  <c r="Z34" i="55"/>
  <c r="AY33" i="55"/>
  <c r="AU33" i="55"/>
  <c r="AL33" i="55"/>
  <c r="AO33" i="55" s="1"/>
  <c r="AU37" i="56"/>
  <c r="AL37" i="56"/>
  <c r="AO37" i="56" s="1"/>
  <c r="BA36" i="56"/>
  <c r="AW37" i="56"/>
  <c r="AB38" i="56"/>
  <c r="AF37" i="56"/>
  <c r="T38" i="56"/>
  <c r="AQ37" i="56"/>
  <c r="Z38" i="56"/>
  <c r="AY37" i="56"/>
  <c r="AD38" i="56"/>
  <c r="AS37" i="56"/>
  <c r="X38" i="56"/>
  <c r="V38" i="56"/>
  <c r="D44" i="50"/>
  <c r="V43" i="50"/>
  <c r="F43" i="50"/>
  <c r="X42" i="50"/>
  <c r="Y42" i="50" s="1"/>
  <c r="AU35" i="47"/>
  <c r="AL35" i="47"/>
  <c r="AO35" i="47" s="1"/>
  <c r="AL33" i="46"/>
  <c r="AO33" i="46" s="1"/>
  <c r="BA32" i="46"/>
  <c r="AU33" i="46"/>
  <c r="AQ33" i="46"/>
  <c r="X34" i="46"/>
  <c r="BA34" i="47"/>
  <c r="Z36" i="47"/>
  <c r="AY35" i="47"/>
  <c r="AF35" i="47"/>
  <c r="T36" i="47"/>
  <c r="AQ35" i="47"/>
  <c r="X36" i="47"/>
  <c r="V36" i="47"/>
  <c r="AS36" i="47" s="1"/>
  <c r="AD36" i="47"/>
  <c r="AB36" i="47"/>
  <c r="AW35" i="47"/>
  <c r="Z34" i="46"/>
  <c r="AY34" i="46" s="1"/>
  <c r="AB34" i="46"/>
  <c r="AW34" i="46" s="1"/>
  <c r="AD34" i="46"/>
  <c r="V34" i="46"/>
  <c r="AS34" i="46" s="1"/>
  <c r="AF33" i="46"/>
  <c r="T34" i="46"/>
  <c r="E17" i="28"/>
  <c r="F17" i="28"/>
  <c r="D18" i="28"/>
  <c r="G17" i="28"/>
  <c r="BA33" i="55" l="1"/>
  <c r="AQ34" i="55"/>
  <c r="T35" i="55"/>
  <c r="AF34" i="55"/>
  <c r="AW34" i="55"/>
  <c r="AB35" i="55"/>
  <c r="Z35" i="55"/>
  <c r="AY34" i="55"/>
  <c r="V35" i="55"/>
  <c r="X35" i="55"/>
  <c r="AS34" i="55"/>
  <c r="AD35" i="55"/>
  <c r="AU34" i="55"/>
  <c r="AL34" i="55"/>
  <c r="AO34" i="55" s="1"/>
  <c r="BA37" i="56"/>
  <c r="AW38" i="56"/>
  <c r="AB39" i="56"/>
  <c r="AY38" i="56"/>
  <c r="Z39" i="56"/>
  <c r="X39" i="56"/>
  <c r="AS38" i="56"/>
  <c r="V39" i="56"/>
  <c r="AF38" i="56"/>
  <c r="T39" i="56"/>
  <c r="AQ38" i="56"/>
  <c r="AU38" i="56"/>
  <c r="AL38" i="56"/>
  <c r="AO38" i="56" s="1"/>
  <c r="AD39" i="56"/>
  <c r="X43" i="50"/>
  <c r="Y43" i="50" s="1"/>
  <c r="F44" i="50"/>
  <c r="V44" i="50"/>
  <c r="D45" i="50"/>
  <c r="AU36" i="47"/>
  <c r="AL36" i="47"/>
  <c r="AO36" i="47" s="1"/>
  <c r="AL34" i="46"/>
  <c r="AO34" i="46" s="1"/>
  <c r="BA33" i="46"/>
  <c r="AU34" i="46"/>
  <c r="AQ34" i="46"/>
  <c r="X35" i="46"/>
  <c r="BA35" i="47"/>
  <c r="X37" i="47"/>
  <c r="V37" i="47"/>
  <c r="AS37" i="47" s="1"/>
  <c r="AF36" i="47"/>
  <c r="T37" i="47"/>
  <c r="AQ36" i="47"/>
  <c r="AB37" i="47"/>
  <c r="AW36" i="47"/>
  <c r="Z37" i="47"/>
  <c r="AY36" i="47"/>
  <c r="AD37" i="47"/>
  <c r="AB35" i="46"/>
  <c r="AW35" i="46" s="1"/>
  <c r="Z35" i="46"/>
  <c r="AY35" i="46" s="1"/>
  <c r="AD35" i="46"/>
  <c r="AF34" i="46"/>
  <c r="T35" i="46"/>
  <c r="V35" i="46"/>
  <c r="AS35" i="46" s="1"/>
  <c r="H17" i="28"/>
  <c r="E18" i="28"/>
  <c r="F18" i="28"/>
  <c r="G18" i="28"/>
  <c r="I17" i="28" s="1"/>
  <c r="D19" i="28"/>
  <c r="I16" i="28"/>
  <c r="AS35" i="55" l="1"/>
  <c r="X36" i="55"/>
  <c r="V36" i="55"/>
  <c r="AY35" i="55"/>
  <c r="Z36" i="55"/>
  <c r="AW35" i="55"/>
  <c r="AB36" i="55"/>
  <c r="AD36" i="55"/>
  <c r="T36" i="55"/>
  <c r="AF35" i="55"/>
  <c r="AQ35" i="55"/>
  <c r="AU35" i="55"/>
  <c r="AL35" i="55"/>
  <c r="AO35" i="55" s="1"/>
  <c r="BA34" i="55"/>
  <c r="X40" i="56"/>
  <c r="V40" i="56"/>
  <c r="AS39" i="56"/>
  <c r="AU39" i="56"/>
  <c r="AL39" i="56"/>
  <c r="AO39" i="56" s="1"/>
  <c r="AF39" i="56"/>
  <c r="T40" i="56"/>
  <c r="AQ39" i="56"/>
  <c r="BA38" i="56"/>
  <c r="AD40" i="56"/>
  <c r="AW39" i="56"/>
  <c r="AB40" i="56"/>
  <c r="Z40" i="56"/>
  <c r="AY39" i="56"/>
  <c r="D46" i="50"/>
  <c r="V45" i="50"/>
  <c r="X44" i="50"/>
  <c r="Y44" i="50" s="1"/>
  <c r="F45" i="50"/>
  <c r="AU37" i="47"/>
  <c r="AL37" i="47"/>
  <c r="AO37" i="47" s="1"/>
  <c r="AL35" i="46"/>
  <c r="AO35" i="46" s="1"/>
  <c r="BA34" i="46"/>
  <c r="AU35" i="46"/>
  <c r="AQ35" i="46"/>
  <c r="X36" i="46"/>
  <c r="AB38" i="47"/>
  <c r="AW37" i="47"/>
  <c r="BA36" i="47"/>
  <c r="AD38" i="47"/>
  <c r="X38" i="47"/>
  <c r="V38" i="47"/>
  <c r="AS38" i="47" s="1"/>
  <c r="AF37" i="47"/>
  <c r="T38" i="47"/>
  <c r="AQ37" i="47"/>
  <c r="Z38" i="47"/>
  <c r="AY37" i="47"/>
  <c r="Z36" i="46"/>
  <c r="AY36" i="46" s="1"/>
  <c r="AB36" i="46"/>
  <c r="AW36" i="46" s="1"/>
  <c r="AD36" i="46"/>
  <c r="V36" i="46"/>
  <c r="AS36" i="46" s="1"/>
  <c r="AF35" i="46"/>
  <c r="T36" i="46"/>
  <c r="E19" i="28"/>
  <c r="F19" i="28"/>
  <c r="D20" i="28"/>
  <c r="G19" i="28"/>
  <c r="H18" i="28"/>
  <c r="AD37" i="55" l="1"/>
  <c r="AW36" i="55"/>
  <c r="AB37" i="55"/>
  <c r="AY36" i="55"/>
  <c r="Z37" i="55"/>
  <c r="BA35" i="55"/>
  <c r="V37" i="55"/>
  <c r="AS36" i="55"/>
  <c r="X37" i="55"/>
  <c r="AU36" i="55"/>
  <c r="AL36" i="55"/>
  <c r="AO36" i="55" s="1"/>
  <c r="AF36" i="55"/>
  <c r="AQ36" i="55"/>
  <c r="T37" i="55"/>
  <c r="AW40" i="56"/>
  <c r="AB41" i="56"/>
  <c r="AD41" i="56"/>
  <c r="AY40" i="56"/>
  <c r="Z41" i="56"/>
  <c r="BA39" i="56"/>
  <c r="AS40" i="56"/>
  <c r="V41" i="56"/>
  <c r="X41" i="56"/>
  <c r="AF40" i="56"/>
  <c r="T41" i="56"/>
  <c r="AQ40" i="56"/>
  <c r="AU40" i="56"/>
  <c r="AL40" i="56"/>
  <c r="AO40" i="56" s="1"/>
  <c r="X45" i="50"/>
  <c r="Y45" i="50" s="1"/>
  <c r="F46" i="50"/>
  <c r="V46" i="50"/>
  <c r="D47" i="50"/>
  <c r="AU38" i="47"/>
  <c r="AL38" i="47"/>
  <c r="AO38" i="47" s="1"/>
  <c r="AL36" i="46"/>
  <c r="AO36" i="46" s="1"/>
  <c r="BA35" i="46"/>
  <c r="AU36" i="46"/>
  <c r="AQ36" i="46"/>
  <c r="X37" i="46"/>
  <c r="X39" i="47"/>
  <c r="V39" i="47"/>
  <c r="AS39" i="47" s="1"/>
  <c r="AD39" i="47"/>
  <c r="AF38" i="47"/>
  <c r="T39" i="47"/>
  <c r="AQ38" i="47"/>
  <c r="Z39" i="47"/>
  <c r="AY38" i="47"/>
  <c r="BA37" i="47"/>
  <c r="AB39" i="47"/>
  <c r="AW38" i="47"/>
  <c r="AB37" i="46"/>
  <c r="AW37" i="46" s="1"/>
  <c r="Z37" i="46"/>
  <c r="AY37" i="46" s="1"/>
  <c r="AD37" i="46"/>
  <c r="T37" i="46"/>
  <c r="AF36" i="46"/>
  <c r="V37" i="46"/>
  <c r="AS37" i="46" s="1"/>
  <c r="E20" i="28"/>
  <c r="F20" i="28"/>
  <c r="H19" i="28"/>
  <c r="G20" i="28"/>
  <c r="I19" i="28" s="1"/>
  <c r="D21" i="28"/>
  <c r="H20" i="28" s="1"/>
  <c r="I18" i="28"/>
  <c r="BA36" i="55" l="1"/>
  <c r="AS37" i="55"/>
  <c r="X38" i="55"/>
  <c r="V38" i="55"/>
  <c r="AQ37" i="55"/>
  <c r="T38" i="55"/>
  <c r="AF37" i="55"/>
  <c r="Z38" i="55"/>
  <c r="AY37" i="55"/>
  <c r="AW37" i="55"/>
  <c r="AB38" i="55"/>
  <c r="AU37" i="55"/>
  <c r="AL37" i="55"/>
  <c r="AO37" i="55" s="1"/>
  <c r="AD38" i="55"/>
  <c r="BA40" i="56"/>
  <c r="AY41" i="56"/>
  <c r="Z42" i="56"/>
  <c r="AD42" i="56"/>
  <c r="AF41" i="56"/>
  <c r="T42" i="56"/>
  <c r="AQ41" i="56"/>
  <c r="AU41" i="56"/>
  <c r="AL41" i="56"/>
  <c r="AO41" i="56" s="1"/>
  <c r="AW41" i="56"/>
  <c r="AB42" i="56"/>
  <c r="V42" i="56"/>
  <c r="AS41" i="56"/>
  <c r="X42" i="56"/>
  <c r="V47" i="50"/>
  <c r="D48" i="50"/>
  <c r="X46" i="50"/>
  <c r="Y46" i="50" s="1"/>
  <c r="F47" i="50"/>
  <c r="AU39" i="47"/>
  <c r="AL39" i="47"/>
  <c r="AO39" i="47" s="1"/>
  <c r="AL37" i="46"/>
  <c r="AO37" i="46" s="1"/>
  <c r="BA36" i="46"/>
  <c r="AU37" i="46"/>
  <c r="AQ37" i="46"/>
  <c r="X38" i="46"/>
  <c r="AF39" i="47"/>
  <c r="T40" i="47"/>
  <c r="AQ39" i="47"/>
  <c r="AD40" i="47"/>
  <c r="Z40" i="47"/>
  <c r="AY39" i="47"/>
  <c r="BA38" i="47"/>
  <c r="X40" i="47"/>
  <c r="V40" i="47"/>
  <c r="AS40" i="47" s="1"/>
  <c r="AB40" i="47"/>
  <c r="AW39" i="47"/>
  <c r="Z38" i="46"/>
  <c r="AY38" i="46" s="1"/>
  <c r="AB38" i="46"/>
  <c r="AW38" i="46" s="1"/>
  <c r="AD38" i="46"/>
  <c r="V38" i="46"/>
  <c r="AS38" i="46" s="1"/>
  <c r="T38" i="46"/>
  <c r="AF37" i="46"/>
  <c r="F21" i="28"/>
  <c r="E21" i="28"/>
  <c r="D22" i="28"/>
  <c r="G21" i="28"/>
  <c r="AY38" i="55" l="1"/>
  <c r="Z39" i="55"/>
  <c r="AD39" i="55"/>
  <c r="T39" i="55"/>
  <c r="AQ38" i="55"/>
  <c r="AF38" i="55"/>
  <c r="BA37" i="55"/>
  <c r="X39" i="55"/>
  <c r="AS38" i="55"/>
  <c r="V39" i="55"/>
  <c r="AB39" i="55"/>
  <c r="AW38" i="55"/>
  <c r="AL38" i="55"/>
  <c r="AO38" i="55" s="1"/>
  <c r="AU38" i="55"/>
  <c r="V43" i="56"/>
  <c r="AS42" i="56"/>
  <c r="X43" i="56"/>
  <c r="BA41" i="56"/>
  <c r="AY42" i="56"/>
  <c r="Z43" i="56"/>
  <c r="AW42" i="56"/>
  <c r="AB43" i="56"/>
  <c r="AF42" i="56"/>
  <c r="AQ42" i="56"/>
  <c r="T43" i="56"/>
  <c r="AD43" i="56"/>
  <c r="AU42" i="56"/>
  <c r="AL42" i="56"/>
  <c r="AO42" i="56" s="1"/>
  <c r="F48" i="50"/>
  <c r="X47" i="50"/>
  <c r="Y47" i="50" s="1"/>
  <c r="D49" i="50"/>
  <c r="V48" i="50"/>
  <c r="AU40" i="47"/>
  <c r="AL40" i="47"/>
  <c r="AO40" i="47" s="1"/>
  <c r="AL38" i="46"/>
  <c r="AO38" i="46" s="1"/>
  <c r="BA37" i="46"/>
  <c r="AU38" i="46"/>
  <c r="AQ38" i="46"/>
  <c r="X39" i="46"/>
  <c r="BA39" i="47"/>
  <c r="Z41" i="47"/>
  <c r="AY40" i="47"/>
  <c r="AB41" i="47"/>
  <c r="AW40" i="47"/>
  <c r="AF40" i="47"/>
  <c r="T41" i="47"/>
  <c r="AQ40" i="47"/>
  <c r="AD41" i="47"/>
  <c r="X41" i="47"/>
  <c r="V41" i="47"/>
  <c r="AS41" i="47" s="1"/>
  <c r="AB39" i="46"/>
  <c r="AW39" i="46" s="1"/>
  <c r="Z39" i="46"/>
  <c r="AY39" i="46" s="1"/>
  <c r="AD39" i="46"/>
  <c r="AF38" i="46"/>
  <c r="T39" i="46"/>
  <c r="V39" i="46"/>
  <c r="AS39" i="46" s="1"/>
  <c r="H21" i="28"/>
  <c r="F22" i="28"/>
  <c r="E22" i="28"/>
  <c r="G22" i="28"/>
  <c r="I21" i="28" s="1"/>
  <c r="I20" i="28"/>
  <c r="D23" i="28"/>
  <c r="H22" i="28" s="1"/>
  <c r="AU39" i="55" l="1"/>
  <c r="AL39" i="55"/>
  <c r="AO39" i="55" s="1"/>
  <c r="BA38" i="55"/>
  <c r="AF39" i="55"/>
  <c r="AQ39" i="55"/>
  <c r="T40" i="55"/>
  <c r="AW39" i="55"/>
  <c r="AB40" i="55"/>
  <c r="AD40" i="55"/>
  <c r="AS39" i="55"/>
  <c r="X40" i="55"/>
  <c r="V40" i="55"/>
  <c r="AY39" i="55"/>
  <c r="Z40" i="55"/>
  <c r="BA42" i="56"/>
  <c r="AF43" i="56"/>
  <c r="AQ43" i="56"/>
  <c r="T44" i="56"/>
  <c r="AB44" i="56"/>
  <c r="AW43" i="56"/>
  <c r="AD44" i="56"/>
  <c r="AY43" i="56"/>
  <c r="Z44" i="56"/>
  <c r="AU43" i="56"/>
  <c r="AL43" i="56"/>
  <c r="AO43" i="56" s="1"/>
  <c r="X44" i="56"/>
  <c r="AS43" i="56"/>
  <c r="V44" i="56"/>
  <c r="V49" i="50"/>
  <c r="D50" i="50"/>
  <c r="X48" i="50"/>
  <c r="Y48" i="50" s="1"/>
  <c r="F49" i="50"/>
  <c r="AU41" i="47"/>
  <c r="AL41" i="47"/>
  <c r="AO41" i="47" s="1"/>
  <c r="AL39" i="46"/>
  <c r="AO39" i="46" s="1"/>
  <c r="BA38" i="46"/>
  <c r="AU39" i="46"/>
  <c r="AQ39" i="46"/>
  <c r="X40" i="46"/>
  <c r="BA40" i="47"/>
  <c r="X42" i="47"/>
  <c r="V42" i="47"/>
  <c r="AS42" i="47" s="1"/>
  <c r="AB42" i="47"/>
  <c r="AW41" i="47"/>
  <c r="AF41" i="47"/>
  <c r="T42" i="47"/>
  <c r="AQ41" i="47"/>
  <c r="Z42" i="47"/>
  <c r="AY41" i="47"/>
  <c r="AD42" i="47"/>
  <c r="Z40" i="46"/>
  <c r="AY40" i="46" s="1"/>
  <c r="AB40" i="46"/>
  <c r="AW40" i="46" s="1"/>
  <c r="AD40" i="46"/>
  <c r="V40" i="46"/>
  <c r="AS40" i="46" s="1"/>
  <c r="AF39" i="46"/>
  <c r="T40" i="46"/>
  <c r="F23" i="28"/>
  <c r="E23" i="28"/>
  <c r="D24" i="28"/>
  <c r="G23" i="28"/>
  <c r="AW40" i="55" l="1"/>
  <c r="AB41" i="55"/>
  <c r="Z41" i="55"/>
  <c r="AY40" i="55"/>
  <c r="T41" i="55"/>
  <c r="AF40" i="55"/>
  <c r="AQ40" i="55"/>
  <c r="BA39" i="55"/>
  <c r="AS40" i="55"/>
  <c r="X41" i="55"/>
  <c r="V41" i="55"/>
  <c r="AU40" i="55"/>
  <c r="AL40" i="55"/>
  <c r="AO40" i="55" s="1"/>
  <c r="AD41" i="55"/>
  <c r="AD45" i="56"/>
  <c r="AW44" i="56"/>
  <c r="AB45" i="56"/>
  <c r="X45" i="56"/>
  <c r="V45" i="56"/>
  <c r="AS44" i="56"/>
  <c r="AY44" i="56"/>
  <c r="Z45" i="56"/>
  <c r="AU44" i="56"/>
  <c r="AL44" i="56"/>
  <c r="AO44" i="56" s="1"/>
  <c r="AQ44" i="56"/>
  <c r="AF44" i="56"/>
  <c r="T45" i="56"/>
  <c r="BA43" i="56"/>
  <c r="X49" i="50"/>
  <c r="Y49" i="50" s="1"/>
  <c r="F50" i="50"/>
  <c r="V50" i="50"/>
  <c r="D51" i="50"/>
  <c r="AU42" i="47"/>
  <c r="AL42" i="47"/>
  <c r="AO42" i="47" s="1"/>
  <c r="AL40" i="46"/>
  <c r="AO40" i="46" s="1"/>
  <c r="BA39" i="46"/>
  <c r="AU40" i="46"/>
  <c r="AQ40" i="46"/>
  <c r="X41" i="46"/>
  <c r="BA41" i="47"/>
  <c r="AD43" i="47"/>
  <c r="AF42" i="47"/>
  <c r="T43" i="47"/>
  <c r="AQ42" i="47"/>
  <c r="Z43" i="47"/>
  <c r="AY42" i="47"/>
  <c r="AB43" i="47"/>
  <c r="AW42" i="47"/>
  <c r="X43" i="47"/>
  <c r="V43" i="47"/>
  <c r="AS43" i="47" s="1"/>
  <c r="AB41" i="46"/>
  <c r="AW41" i="46" s="1"/>
  <c r="Z41" i="46"/>
  <c r="AY41" i="46" s="1"/>
  <c r="AD41" i="46"/>
  <c r="T41" i="46"/>
  <c r="AF40" i="46"/>
  <c r="V41" i="46"/>
  <c r="AS41" i="46" s="1"/>
  <c r="H23" i="28"/>
  <c r="E24" i="28"/>
  <c r="F24" i="28"/>
  <c r="G24" i="28"/>
  <c r="I23" i="28" s="1"/>
  <c r="I22" i="28"/>
  <c r="D25" i="28"/>
  <c r="BA40" i="55" l="1"/>
  <c r="AD42" i="55"/>
  <c r="T42" i="55"/>
  <c r="AF41" i="55"/>
  <c r="AQ41" i="55"/>
  <c r="X42" i="55"/>
  <c r="AS41" i="55"/>
  <c r="V42" i="55"/>
  <c r="AY41" i="55"/>
  <c r="Z42" i="55"/>
  <c r="AL41" i="55"/>
  <c r="AO41" i="55" s="1"/>
  <c r="AU41" i="55"/>
  <c r="AW41" i="55"/>
  <c r="AB42" i="55"/>
  <c r="AY45" i="56"/>
  <c r="Z46" i="56"/>
  <c r="AF45" i="56"/>
  <c r="AQ45" i="56"/>
  <c r="T46" i="56"/>
  <c r="AW45" i="56"/>
  <c r="AB46" i="56"/>
  <c r="AD46" i="56"/>
  <c r="BA44" i="56"/>
  <c r="V46" i="56"/>
  <c r="X46" i="56"/>
  <c r="AS45" i="56"/>
  <c r="AU45" i="56"/>
  <c r="AL45" i="56"/>
  <c r="AO45" i="56" s="1"/>
  <c r="D52" i="50"/>
  <c r="V51" i="50"/>
  <c r="X50" i="50"/>
  <c r="Y50" i="50" s="1"/>
  <c r="F51" i="50"/>
  <c r="AU43" i="47"/>
  <c r="AL43" i="47"/>
  <c r="AO43" i="47" s="1"/>
  <c r="AL41" i="46"/>
  <c r="AO41" i="46" s="1"/>
  <c r="BA40" i="46"/>
  <c r="AU41" i="46"/>
  <c r="AQ41" i="46"/>
  <c r="X42" i="46"/>
  <c r="Z44" i="47"/>
  <c r="AY43" i="47"/>
  <c r="AF43" i="47"/>
  <c r="T44" i="47"/>
  <c r="AQ43" i="47"/>
  <c r="BA42" i="47"/>
  <c r="AB44" i="47"/>
  <c r="AW43" i="47"/>
  <c r="X44" i="47"/>
  <c r="V44" i="47"/>
  <c r="AS44" i="47" s="1"/>
  <c r="AD44" i="47"/>
  <c r="Z42" i="46"/>
  <c r="AY42" i="46" s="1"/>
  <c r="AB42" i="46"/>
  <c r="AW42" i="46" s="1"/>
  <c r="V42" i="46"/>
  <c r="AS42" i="46" s="1"/>
  <c r="AD42" i="46"/>
  <c r="AF41" i="46"/>
  <c r="T42" i="46"/>
  <c r="E25" i="28"/>
  <c r="F25" i="28"/>
  <c r="D26" i="28"/>
  <c r="H25" i="28" s="1"/>
  <c r="G25" i="28"/>
  <c r="H24" i="28"/>
  <c r="AD47" i="56" l="1"/>
  <c r="AS42" i="55"/>
  <c r="X43" i="55"/>
  <c r="V43" i="55"/>
  <c r="AW42" i="55"/>
  <c r="AB43" i="55"/>
  <c r="AU42" i="55"/>
  <c r="AL42" i="55"/>
  <c r="AO42" i="55" s="1"/>
  <c r="AD43" i="55"/>
  <c r="BA41" i="55"/>
  <c r="AY42" i="55"/>
  <c r="Z43" i="55"/>
  <c r="AQ42" i="55"/>
  <c r="T43" i="55"/>
  <c r="AF42" i="55"/>
  <c r="AW46" i="56"/>
  <c r="AB47" i="56"/>
  <c r="T47" i="56"/>
  <c r="AF46" i="56"/>
  <c r="AQ46" i="56"/>
  <c r="BA45" i="56"/>
  <c r="AU46" i="56"/>
  <c r="AL46" i="56"/>
  <c r="AO46" i="56" s="1"/>
  <c r="X47" i="56"/>
  <c r="V47" i="56"/>
  <c r="AS46" i="56"/>
  <c r="AY46" i="56"/>
  <c r="Z47" i="56"/>
  <c r="X51" i="50"/>
  <c r="Y51" i="50" s="1"/>
  <c r="F52" i="50"/>
  <c r="V52" i="50"/>
  <c r="D53" i="50"/>
  <c r="AU44" i="47"/>
  <c r="AL44" i="47"/>
  <c r="AO44" i="47" s="1"/>
  <c r="AL42" i="46"/>
  <c r="AO42" i="46" s="1"/>
  <c r="BA41" i="46"/>
  <c r="AU42" i="46"/>
  <c r="AQ42" i="46"/>
  <c r="X43" i="46"/>
  <c r="BA43" i="47"/>
  <c r="AB45" i="47"/>
  <c r="AW44" i="47"/>
  <c r="AF44" i="47"/>
  <c r="T45" i="47"/>
  <c r="AQ44" i="47"/>
  <c r="AD45" i="47"/>
  <c r="X45" i="47"/>
  <c r="V45" i="47"/>
  <c r="AS45" i="47" s="1"/>
  <c r="Z45" i="47"/>
  <c r="AY44" i="47"/>
  <c r="AB43" i="46"/>
  <c r="AW43" i="46" s="1"/>
  <c r="Z43" i="46"/>
  <c r="AY43" i="46" s="1"/>
  <c r="AD43" i="46"/>
  <c r="T43" i="46"/>
  <c r="AF42" i="46"/>
  <c r="V43" i="46"/>
  <c r="AS43" i="46" s="1"/>
  <c r="E26" i="28"/>
  <c r="F26" i="28"/>
  <c r="D27" i="28"/>
  <c r="G26" i="28"/>
  <c r="I24" i="28"/>
  <c r="AD44" i="55" l="1"/>
  <c r="T44" i="55"/>
  <c r="AF43" i="55"/>
  <c r="AQ43" i="55"/>
  <c r="AW43" i="55"/>
  <c r="AB44" i="55"/>
  <c r="BA42" i="55"/>
  <c r="AY43" i="55"/>
  <c r="Z44" i="55"/>
  <c r="AS43" i="55"/>
  <c r="X44" i="55"/>
  <c r="V44" i="55"/>
  <c r="AU43" i="55"/>
  <c r="AL43" i="55"/>
  <c r="AO43" i="55" s="1"/>
  <c r="AF47" i="56"/>
  <c r="AQ47" i="56"/>
  <c r="T48" i="56"/>
  <c r="AD48" i="56"/>
  <c r="X48" i="56"/>
  <c r="AS47" i="56"/>
  <c r="V48" i="56"/>
  <c r="AU47" i="56"/>
  <c r="AL47" i="56"/>
  <c r="AO47" i="56" s="1"/>
  <c r="AB48" i="56"/>
  <c r="AW47" i="56"/>
  <c r="BA46" i="56"/>
  <c r="AY47" i="56"/>
  <c r="Z48" i="56"/>
  <c r="D54" i="50"/>
  <c r="V53" i="50"/>
  <c r="F53" i="50"/>
  <c r="X52" i="50"/>
  <c r="Y52" i="50" s="1"/>
  <c r="AU45" i="47"/>
  <c r="AL45" i="47"/>
  <c r="AO45" i="47" s="1"/>
  <c r="AL43" i="46"/>
  <c r="AO43" i="46" s="1"/>
  <c r="BA42" i="46"/>
  <c r="AU43" i="46"/>
  <c r="AQ43" i="46"/>
  <c r="X44" i="46"/>
  <c r="AD46" i="47"/>
  <c r="BA44" i="47"/>
  <c r="AF45" i="47"/>
  <c r="T46" i="47"/>
  <c r="AQ45" i="47"/>
  <c r="Z46" i="47"/>
  <c r="AY45" i="47"/>
  <c r="AB46" i="47"/>
  <c r="AW45" i="47"/>
  <c r="X46" i="47"/>
  <c r="V46" i="47"/>
  <c r="AS46" i="47" s="1"/>
  <c r="Z44" i="46"/>
  <c r="AY44" i="46" s="1"/>
  <c r="AB44" i="46"/>
  <c r="AW44" i="46" s="1"/>
  <c r="AD44" i="46"/>
  <c r="V44" i="46"/>
  <c r="AS44" i="46" s="1"/>
  <c r="T44" i="46"/>
  <c r="AF43" i="46"/>
  <c r="H26" i="28"/>
  <c r="E27" i="28"/>
  <c r="F27" i="28"/>
  <c r="G27" i="28"/>
  <c r="D28" i="28"/>
  <c r="I25" i="28"/>
  <c r="AY44" i="55" l="1"/>
  <c r="Z45" i="55"/>
  <c r="AW44" i="55"/>
  <c r="AB45" i="55"/>
  <c r="AD45" i="55"/>
  <c r="V45" i="55"/>
  <c r="X45" i="55"/>
  <c r="AS44" i="55"/>
  <c r="BA43" i="55"/>
  <c r="AL44" i="55"/>
  <c r="AO44" i="55" s="1"/>
  <c r="AU44" i="55"/>
  <c r="AQ44" i="55"/>
  <c r="T45" i="55"/>
  <c r="AF44" i="55"/>
  <c r="AD49" i="56"/>
  <c r="AU48" i="56"/>
  <c r="AL48" i="56"/>
  <c r="AO48" i="56" s="1"/>
  <c r="AW48" i="56"/>
  <c r="AB49" i="56"/>
  <c r="AF48" i="56"/>
  <c r="AQ48" i="56"/>
  <c r="T49" i="56"/>
  <c r="BA47" i="56"/>
  <c r="AY48" i="56"/>
  <c r="Z49" i="56"/>
  <c r="AS48" i="56"/>
  <c r="X49" i="56"/>
  <c r="V49" i="56"/>
  <c r="X53" i="50"/>
  <c r="Y53" i="50" s="1"/>
  <c r="F54" i="50"/>
  <c r="D55" i="50"/>
  <c r="V54" i="50"/>
  <c r="AU46" i="47"/>
  <c r="AL46" i="47"/>
  <c r="AO46" i="47" s="1"/>
  <c r="AL44" i="46"/>
  <c r="AO44" i="46" s="1"/>
  <c r="BA43" i="46"/>
  <c r="AU44" i="46"/>
  <c r="AQ44" i="46"/>
  <c r="X45" i="46"/>
  <c r="AD47" i="47"/>
  <c r="BA45" i="47"/>
  <c r="AF46" i="47"/>
  <c r="T47" i="47"/>
  <c r="AQ46" i="47"/>
  <c r="AB47" i="47"/>
  <c r="AW46" i="47"/>
  <c r="Z47" i="47"/>
  <c r="AY46" i="47"/>
  <c r="X47" i="47"/>
  <c r="V47" i="47"/>
  <c r="AS47" i="47" s="1"/>
  <c r="AB45" i="46"/>
  <c r="AW45" i="46" s="1"/>
  <c r="Z45" i="46"/>
  <c r="AY45" i="46" s="1"/>
  <c r="AD45" i="46"/>
  <c r="T45" i="46"/>
  <c r="AF44" i="46"/>
  <c r="V45" i="46"/>
  <c r="AS45" i="46" s="1"/>
  <c r="H27" i="28"/>
  <c r="E28" i="28"/>
  <c r="F28" i="28"/>
  <c r="G28" i="28"/>
  <c r="I27" i="28" s="1"/>
  <c r="I26" i="28"/>
  <c r="D29" i="28"/>
  <c r="H28" i="28" s="1"/>
  <c r="AU45" i="55" l="1"/>
  <c r="AL45" i="55"/>
  <c r="AO45" i="55" s="1"/>
  <c r="V46" i="55"/>
  <c r="X46" i="55"/>
  <c r="AS45" i="55"/>
  <c r="T46" i="55"/>
  <c r="AQ45" i="55"/>
  <c r="AF45" i="55"/>
  <c r="AD46" i="55"/>
  <c r="BA44" i="55"/>
  <c r="AW45" i="55"/>
  <c r="AB46" i="55"/>
  <c r="AY45" i="55"/>
  <c r="Z46" i="55"/>
  <c r="T50" i="56"/>
  <c r="AF49" i="56"/>
  <c r="AQ49" i="56"/>
  <c r="BA48" i="56"/>
  <c r="AY49" i="56"/>
  <c r="Z50" i="56"/>
  <c r="X50" i="56"/>
  <c r="V50" i="56"/>
  <c r="AS49" i="56"/>
  <c r="AW49" i="56"/>
  <c r="AB50" i="56"/>
  <c r="AU49" i="56"/>
  <c r="AL49" i="56"/>
  <c r="AO49" i="56" s="1"/>
  <c r="AD50" i="56"/>
  <c r="V55" i="50"/>
  <c r="D56" i="50"/>
  <c r="F55" i="50"/>
  <c r="X54" i="50"/>
  <c r="Y54" i="50" s="1"/>
  <c r="AU47" i="47"/>
  <c r="AL47" i="47"/>
  <c r="AO47" i="47" s="1"/>
  <c r="AL45" i="46"/>
  <c r="AO45" i="46" s="1"/>
  <c r="BA44" i="46"/>
  <c r="AU45" i="46"/>
  <c r="AQ45" i="46"/>
  <c r="X46" i="46"/>
  <c r="Z48" i="47"/>
  <c r="AY47" i="47"/>
  <c r="AD48" i="47"/>
  <c r="AF47" i="47"/>
  <c r="T48" i="47"/>
  <c r="AQ47" i="47"/>
  <c r="AB48" i="47"/>
  <c r="AW47" i="47"/>
  <c r="BA46" i="47"/>
  <c r="X48" i="47"/>
  <c r="V48" i="47"/>
  <c r="AS48" i="47" s="1"/>
  <c r="Z46" i="46"/>
  <c r="AY46" i="46" s="1"/>
  <c r="AB46" i="46"/>
  <c r="AW46" i="46" s="1"/>
  <c r="AD46" i="46"/>
  <c r="V46" i="46"/>
  <c r="AS46" i="46" s="1"/>
  <c r="T46" i="46"/>
  <c r="AF45" i="46"/>
  <c r="F29" i="28"/>
  <c r="E29" i="28"/>
  <c r="G29" i="28"/>
  <c r="D30" i="28"/>
  <c r="H29" i="28" s="1"/>
  <c r="BA45" i="55" l="1"/>
  <c r="AQ46" i="55"/>
  <c r="AF46" i="55"/>
  <c r="T47" i="55"/>
  <c r="AY46" i="55"/>
  <c r="Z47" i="55"/>
  <c r="AB47" i="55"/>
  <c r="AW46" i="55"/>
  <c r="AL46" i="55"/>
  <c r="AO46" i="55" s="1"/>
  <c r="AU46" i="55"/>
  <c r="X47" i="55"/>
  <c r="V47" i="55"/>
  <c r="AS46" i="55"/>
  <c r="AD47" i="55"/>
  <c r="BA49" i="56"/>
  <c r="AD51" i="56"/>
  <c r="AU50" i="56"/>
  <c r="AL50" i="56"/>
  <c r="AO50" i="56" s="1"/>
  <c r="AF50" i="56"/>
  <c r="AQ50" i="56"/>
  <c r="T51" i="56"/>
  <c r="AW50" i="56"/>
  <c r="AB51" i="56"/>
  <c r="AY50" i="56"/>
  <c r="Z51" i="56"/>
  <c r="AS50" i="56"/>
  <c r="X51" i="56"/>
  <c r="V51" i="56"/>
  <c r="F56" i="50"/>
  <c r="X55" i="50"/>
  <c r="Y55" i="50" s="1"/>
  <c r="D57" i="50"/>
  <c r="V56" i="50"/>
  <c r="AU48" i="47"/>
  <c r="AL48" i="47"/>
  <c r="AO48" i="47" s="1"/>
  <c r="AL46" i="46"/>
  <c r="AO46" i="46" s="1"/>
  <c r="BA45" i="46"/>
  <c r="AU46" i="46"/>
  <c r="AQ46" i="46"/>
  <c r="X47" i="46"/>
  <c r="AB49" i="47"/>
  <c r="AW48" i="47"/>
  <c r="BA47" i="47"/>
  <c r="AF48" i="47"/>
  <c r="T49" i="47"/>
  <c r="AQ48" i="47"/>
  <c r="AD49" i="47"/>
  <c r="X49" i="47"/>
  <c r="V49" i="47"/>
  <c r="AS49" i="47" s="1"/>
  <c r="Z49" i="47"/>
  <c r="AY48" i="47"/>
  <c r="AB47" i="46"/>
  <c r="AW47" i="46" s="1"/>
  <c r="Z47" i="46"/>
  <c r="AY47" i="46" s="1"/>
  <c r="AD47" i="46"/>
  <c r="T47" i="46"/>
  <c r="AF46" i="46"/>
  <c r="V47" i="46"/>
  <c r="AS47" i="46" s="1"/>
  <c r="F30" i="28"/>
  <c r="E30" i="28"/>
  <c r="D31" i="28"/>
  <c r="G30" i="28"/>
  <c r="I29" i="28" s="1"/>
  <c r="I28" i="28"/>
  <c r="AB48" i="55" l="1"/>
  <c r="AW47" i="55"/>
  <c r="AY47" i="55"/>
  <c r="Z48" i="55"/>
  <c r="AD48" i="55"/>
  <c r="X48" i="55"/>
  <c r="AS47" i="55"/>
  <c r="V48" i="55"/>
  <c r="T48" i="55"/>
  <c r="AF47" i="55"/>
  <c r="AQ47" i="55"/>
  <c r="AU47" i="55"/>
  <c r="AL47" i="55"/>
  <c r="AO47" i="55" s="1"/>
  <c r="BA46" i="55"/>
  <c r="AU51" i="56"/>
  <c r="AL51" i="56"/>
  <c r="AO51" i="56" s="1"/>
  <c r="AW51" i="56"/>
  <c r="AB52" i="56"/>
  <c r="AD52" i="56"/>
  <c r="AY51" i="56"/>
  <c r="Z52" i="56"/>
  <c r="AF51" i="56"/>
  <c r="AQ51" i="56"/>
  <c r="T52" i="56"/>
  <c r="BA50" i="56"/>
  <c r="X52" i="56"/>
  <c r="V52" i="56"/>
  <c r="AS51" i="56"/>
  <c r="V57" i="50"/>
  <c r="D58" i="50"/>
  <c r="X56" i="50"/>
  <c r="Y56" i="50" s="1"/>
  <c r="F57" i="50"/>
  <c r="AU49" i="47"/>
  <c r="AL49" i="47"/>
  <c r="AO49" i="47" s="1"/>
  <c r="AL47" i="46"/>
  <c r="AO47" i="46" s="1"/>
  <c r="BA46" i="46"/>
  <c r="AU47" i="46"/>
  <c r="AQ47" i="46"/>
  <c r="X48" i="46"/>
  <c r="AD50" i="47"/>
  <c r="BA48" i="47"/>
  <c r="T50" i="47"/>
  <c r="AF49" i="47"/>
  <c r="AQ49" i="47"/>
  <c r="Z50" i="47"/>
  <c r="AY49" i="47"/>
  <c r="V50" i="47"/>
  <c r="AS50" i="47" s="1"/>
  <c r="X50" i="47"/>
  <c r="AB50" i="47"/>
  <c r="AW49" i="47"/>
  <c r="Z48" i="46"/>
  <c r="AY48" i="46" s="1"/>
  <c r="AB48" i="46"/>
  <c r="AW48" i="46" s="1"/>
  <c r="AD48" i="46"/>
  <c r="V48" i="46"/>
  <c r="AS48" i="46" s="1"/>
  <c r="T48" i="46"/>
  <c r="AF47" i="46"/>
  <c r="F31" i="28"/>
  <c r="E31" i="28"/>
  <c r="H30" i="28"/>
  <c r="G31" i="28"/>
  <c r="D32" i="28"/>
  <c r="H31" i="28" s="1"/>
  <c r="V49" i="55" l="1"/>
  <c r="AS48" i="55"/>
  <c r="X49" i="55"/>
  <c r="AL48" i="55"/>
  <c r="AO48" i="55" s="1"/>
  <c r="AU48" i="55"/>
  <c r="AD49" i="55"/>
  <c r="Z49" i="55"/>
  <c r="AY48" i="55"/>
  <c r="BA47" i="55"/>
  <c r="AQ48" i="55"/>
  <c r="T49" i="55"/>
  <c r="AF48" i="55"/>
  <c r="AB49" i="55"/>
  <c r="AW48" i="55"/>
  <c r="BA51" i="56"/>
  <c r="AY52" i="56"/>
  <c r="Z53" i="56"/>
  <c r="AU52" i="56"/>
  <c r="AL52" i="56"/>
  <c r="AO52" i="56" s="1"/>
  <c r="X53" i="56"/>
  <c r="V53" i="56"/>
  <c r="AS52" i="56"/>
  <c r="AD53" i="56"/>
  <c r="AF52" i="56"/>
  <c r="AQ52" i="56"/>
  <c r="T53" i="56"/>
  <c r="AW52" i="56"/>
  <c r="AB53" i="56"/>
  <c r="X57" i="50"/>
  <c r="Y57" i="50" s="1"/>
  <c r="F58" i="50"/>
  <c r="V58" i="50"/>
  <c r="D59" i="50"/>
  <c r="AU50" i="47"/>
  <c r="AL50" i="47"/>
  <c r="AO50" i="47" s="1"/>
  <c r="AL48" i="46"/>
  <c r="AO48" i="46" s="1"/>
  <c r="BA47" i="46"/>
  <c r="AU48" i="46"/>
  <c r="AQ48" i="46"/>
  <c r="X49" i="46"/>
  <c r="X51" i="47"/>
  <c r="V51" i="47"/>
  <c r="AS51" i="47" s="1"/>
  <c r="BA49" i="47"/>
  <c r="AF50" i="47"/>
  <c r="T51" i="47"/>
  <c r="AQ50" i="47"/>
  <c r="Z51" i="47"/>
  <c r="AY50" i="47"/>
  <c r="AB51" i="47"/>
  <c r="AW50" i="47"/>
  <c r="AD51" i="47"/>
  <c r="AB49" i="46"/>
  <c r="AW49" i="46" s="1"/>
  <c r="Z49" i="46"/>
  <c r="AY49" i="46" s="1"/>
  <c r="AD49" i="46"/>
  <c r="T49" i="46"/>
  <c r="AF48" i="46"/>
  <c r="V49" i="46"/>
  <c r="AS49" i="46" s="1"/>
  <c r="E32" i="28"/>
  <c r="F32" i="28"/>
  <c r="D33" i="28"/>
  <c r="H32" i="28"/>
  <c r="G32" i="28"/>
  <c r="I31" i="28" s="1"/>
  <c r="I30" i="28"/>
  <c r="BA52" i="56" l="1"/>
  <c r="Z50" i="55"/>
  <c r="AY49" i="55"/>
  <c r="AD50" i="55"/>
  <c r="AB50" i="55"/>
  <c r="AW49" i="55"/>
  <c r="T50" i="55"/>
  <c r="AQ49" i="55"/>
  <c r="AF49" i="55"/>
  <c r="AU49" i="55"/>
  <c r="AL49" i="55"/>
  <c r="AO49" i="55" s="1"/>
  <c r="BA48" i="55"/>
  <c r="AS49" i="55"/>
  <c r="V50" i="55"/>
  <c r="X50" i="55"/>
  <c r="AD54" i="56"/>
  <c r="AU53" i="56"/>
  <c r="AL53" i="56"/>
  <c r="AO53" i="56" s="1"/>
  <c r="AW53" i="56"/>
  <c r="AB54" i="56"/>
  <c r="Z54" i="56"/>
  <c r="AY53" i="56"/>
  <c r="T54" i="56"/>
  <c r="AF53" i="56"/>
  <c r="AQ53" i="56"/>
  <c r="X54" i="56"/>
  <c r="V54" i="56"/>
  <c r="AS53" i="56"/>
  <c r="D60" i="50"/>
  <c r="V59" i="50"/>
  <c r="F59" i="50"/>
  <c r="X58" i="50"/>
  <c r="Y58" i="50" s="1"/>
  <c r="AU51" i="47"/>
  <c r="AL51" i="47"/>
  <c r="AO51" i="47" s="1"/>
  <c r="AL49" i="46"/>
  <c r="AO49" i="46" s="1"/>
  <c r="BA48" i="46"/>
  <c r="AU49" i="46"/>
  <c r="AQ49" i="46"/>
  <c r="X50" i="46"/>
  <c r="Z52" i="47"/>
  <c r="AY51" i="47"/>
  <c r="T52" i="47"/>
  <c r="AF51" i="47"/>
  <c r="AQ51" i="47"/>
  <c r="AD52" i="47"/>
  <c r="V52" i="47"/>
  <c r="AS52" i="47" s="1"/>
  <c r="X52" i="47"/>
  <c r="BA50" i="47"/>
  <c r="AB52" i="47"/>
  <c r="AW51" i="47"/>
  <c r="Z50" i="46"/>
  <c r="AY50" i="46" s="1"/>
  <c r="AB50" i="46"/>
  <c r="AW50" i="46" s="1"/>
  <c r="AD50" i="46"/>
  <c r="V50" i="46"/>
  <c r="AS50" i="46" s="1"/>
  <c r="AF49" i="46"/>
  <c r="T50" i="46"/>
  <c r="E33" i="28"/>
  <c r="F33" i="28"/>
  <c r="G33" i="28"/>
  <c r="D34" i="28"/>
  <c r="H33" i="28"/>
  <c r="BA53" i="56" l="1"/>
  <c r="BA49" i="55"/>
  <c r="AL50" i="55"/>
  <c r="AO50" i="55" s="1"/>
  <c r="AU50" i="55"/>
  <c r="AF50" i="55"/>
  <c r="AQ50" i="55"/>
  <c r="T51" i="55"/>
  <c r="X51" i="55"/>
  <c r="AS50" i="55"/>
  <c r="V51" i="55"/>
  <c r="AW50" i="55"/>
  <c r="AB51" i="55"/>
  <c r="AD51" i="55"/>
  <c r="AY50" i="55"/>
  <c r="Z51" i="55"/>
  <c r="AQ54" i="56"/>
  <c r="AF54" i="56"/>
  <c r="T55" i="56"/>
  <c r="AD55" i="56"/>
  <c r="Z55" i="56"/>
  <c r="AY54" i="56"/>
  <c r="X55" i="56"/>
  <c r="V55" i="56"/>
  <c r="AS54" i="56"/>
  <c r="AW54" i="56"/>
  <c r="AB55" i="56"/>
  <c r="AU54" i="56"/>
  <c r="AL54" i="56"/>
  <c r="AO54" i="56" s="1"/>
  <c r="F60" i="50"/>
  <c r="X59" i="50"/>
  <c r="Y59" i="50" s="1"/>
  <c r="V60" i="50"/>
  <c r="D61" i="50"/>
  <c r="AU52" i="47"/>
  <c r="AL52" i="47"/>
  <c r="AO52" i="47" s="1"/>
  <c r="AL50" i="46"/>
  <c r="AO50" i="46" s="1"/>
  <c r="BA49" i="46"/>
  <c r="AU50" i="46"/>
  <c r="AQ50" i="46"/>
  <c r="X51" i="46"/>
  <c r="BA51" i="47"/>
  <c r="X53" i="47"/>
  <c r="V53" i="47"/>
  <c r="AS53" i="47" s="1"/>
  <c r="AB53" i="47"/>
  <c r="AW52" i="47"/>
  <c r="AD53" i="47"/>
  <c r="AF52" i="47"/>
  <c r="T53" i="47"/>
  <c r="AQ52" i="47"/>
  <c r="Z53" i="47"/>
  <c r="AY52" i="47"/>
  <c r="AB51" i="46"/>
  <c r="AW51" i="46" s="1"/>
  <c r="Z51" i="46"/>
  <c r="AY51" i="46" s="1"/>
  <c r="AD51" i="46"/>
  <c r="AF50" i="46"/>
  <c r="T51" i="46"/>
  <c r="V51" i="46"/>
  <c r="AS51" i="46" s="1"/>
  <c r="E34" i="28"/>
  <c r="F34" i="28"/>
  <c r="G34" i="28"/>
  <c r="I33" i="28" s="1"/>
  <c r="D35" i="28"/>
  <c r="H34" i="28" s="1"/>
  <c r="I32" i="28"/>
  <c r="V52" i="55" l="1"/>
  <c r="X52" i="55"/>
  <c r="AS51" i="55"/>
  <c r="AU51" i="55"/>
  <c r="AL51" i="55"/>
  <c r="AO51" i="55" s="1"/>
  <c r="Z52" i="55"/>
  <c r="AY51" i="55"/>
  <c r="AQ51" i="55"/>
  <c r="AF51" i="55"/>
  <c r="T52" i="55"/>
  <c r="BA50" i="55"/>
  <c r="AD52" i="55"/>
  <c r="AW51" i="55"/>
  <c r="AB52" i="55"/>
  <c r="T56" i="56"/>
  <c r="AQ55" i="56"/>
  <c r="AF55" i="56"/>
  <c r="BA54" i="56"/>
  <c r="AW55" i="56"/>
  <c r="AB56" i="56"/>
  <c r="Z56" i="56"/>
  <c r="AY55" i="56"/>
  <c r="AS55" i="56"/>
  <c r="X56" i="56"/>
  <c r="V56" i="56"/>
  <c r="AU55" i="56"/>
  <c r="AL55" i="56"/>
  <c r="AO55" i="56" s="1"/>
  <c r="AD56" i="56"/>
  <c r="D62" i="50"/>
  <c r="V61" i="50"/>
  <c r="X60" i="50"/>
  <c r="Y60" i="50" s="1"/>
  <c r="F61" i="50"/>
  <c r="AU53" i="47"/>
  <c r="AL53" i="47"/>
  <c r="AO53" i="47" s="1"/>
  <c r="AL51" i="46"/>
  <c r="AO51" i="46" s="1"/>
  <c r="BA50" i="46"/>
  <c r="AU51" i="46"/>
  <c r="AQ51" i="46"/>
  <c r="X52" i="46"/>
  <c r="AD54" i="47"/>
  <c r="AB54" i="47"/>
  <c r="AW53" i="47"/>
  <c r="Z54" i="47"/>
  <c r="AY53" i="47"/>
  <c r="V54" i="47"/>
  <c r="AS54" i="47" s="1"/>
  <c r="X54" i="47"/>
  <c r="T54" i="47"/>
  <c r="AF53" i="47"/>
  <c r="AQ53" i="47"/>
  <c r="BA52" i="47"/>
  <c r="Z52" i="46"/>
  <c r="AY52" i="46" s="1"/>
  <c r="AB52" i="46"/>
  <c r="AW52" i="46" s="1"/>
  <c r="AD52" i="46"/>
  <c r="V52" i="46"/>
  <c r="AS52" i="46" s="1"/>
  <c r="AF51" i="46"/>
  <c r="T52" i="46"/>
  <c r="E35" i="28"/>
  <c r="F35" i="28"/>
  <c r="G35" i="28"/>
  <c r="D36" i="28"/>
  <c r="H35" i="28"/>
  <c r="BA51" i="55" l="1"/>
  <c r="AW52" i="55"/>
  <c r="AB53" i="55"/>
  <c r="Z53" i="55"/>
  <c r="AY52" i="55"/>
  <c r="AD53" i="55"/>
  <c r="AF52" i="55"/>
  <c r="T53" i="55"/>
  <c r="AQ52" i="55"/>
  <c r="AL52" i="55"/>
  <c r="AO52" i="55" s="1"/>
  <c r="AU52" i="55"/>
  <c r="X53" i="55"/>
  <c r="V53" i="55"/>
  <c r="AS52" i="55"/>
  <c r="X57" i="56"/>
  <c r="V57" i="56"/>
  <c r="AS56" i="56"/>
  <c r="AU56" i="56"/>
  <c r="AL56" i="56"/>
  <c r="AO56" i="56" s="1"/>
  <c r="AD57" i="56"/>
  <c r="BA55" i="56"/>
  <c r="AY56" i="56"/>
  <c r="Z57" i="56"/>
  <c r="AF56" i="56"/>
  <c r="AQ56" i="56"/>
  <c r="T57" i="56"/>
  <c r="AW56" i="56"/>
  <c r="AB57" i="56"/>
  <c r="X61" i="50"/>
  <c r="Y61" i="50" s="1"/>
  <c r="F62" i="50"/>
  <c r="V62" i="50"/>
  <c r="D63" i="50"/>
  <c r="AU54" i="47"/>
  <c r="AL54" i="47"/>
  <c r="AO54" i="47" s="1"/>
  <c r="AL52" i="46"/>
  <c r="AO52" i="46" s="1"/>
  <c r="BA51" i="46"/>
  <c r="AU52" i="46"/>
  <c r="AQ52" i="46"/>
  <c r="X53" i="46"/>
  <c r="X55" i="47"/>
  <c r="V55" i="47"/>
  <c r="AS55" i="47" s="1"/>
  <c r="AF54" i="47"/>
  <c r="T55" i="47"/>
  <c r="AQ54" i="47"/>
  <c r="Z55" i="47"/>
  <c r="AY54" i="47"/>
  <c r="BA53" i="47"/>
  <c r="AB55" i="47"/>
  <c r="AW54" i="47"/>
  <c r="AD55" i="47"/>
  <c r="AB53" i="46"/>
  <c r="AW53" i="46" s="1"/>
  <c r="Z53" i="46"/>
  <c r="AY53" i="46" s="1"/>
  <c r="AD53" i="46"/>
  <c r="T53" i="46"/>
  <c r="AF52" i="46"/>
  <c r="V53" i="46"/>
  <c r="AS53" i="46" s="1"/>
  <c r="E36" i="28"/>
  <c r="F36" i="28"/>
  <c r="G36" i="28"/>
  <c r="I35" i="28" s="1"/>
  <c r="I34" i="28"/>
  <c r="D37" i="28"/>
  <c r="BA52" i="55" l="1"/>
  <c r="AQ53" i="55"/>
  <c r="T54" i="55"/>
  <c r="AF53" i="55"/>
  <c r="AD54" i="55"/>
  <c r="V54" i="55"/>
  <c r="AS53" i="55"/>
  <c r="X54" i="55"/>
  <c r="AL53" i="55"/>
  <c r="AO53" i="55" s="1"/>
  <c r="AU53" i="55"/>
  <c r="Z54" i="55"/>
  <c r="AY53" i="55"/>
  <c r="AB54" i="55"/>
  <c r="AW53" i="55"/>
  <c r="BA56" i="56"/>
  <c r="Z58" i="56"/>
  <c r="AY57" i="56"/>
  <c r="AD58" i="56"/>
  <c r="AW57" i="56"/>
  <c r="AB58" i="56"/>
  <c r="X58" i="56"/>
  <c r="AS57" i="56"/>
  <c r="V58" i="56"/>
  <c r="AQ57" i="56"/>
  <c r="T58" i="56"/>
  <c r="AF57" i="56"/>
  <c r="AU57" i="56"/>
  <c r="AL57" i="56"/>
  <c r="AO57" i="56" s="1"/>
  <c r="V63" i="50"/>
  <c r="D64" i="50"/>
  <c r="F63" i="50"/>
  <c r="X62" i="50"/>
  <c r="Y62" i="50" s="1"/>
  <c r="AU55" i="47"/>
  <c r="AL55" i="47"/>
  <c r="AO55" i="47" s="1"/>
  <c r="AL53" i="46"/>
  <c r="AO53" i="46" s="1"/>
  <c r="BA52" i="46"/>
  <c r="AU53" i="46"/>
  <c r="AQ53" i="46"/>
  <c r="X54" i="46"/>
  <c r="Z56" i="47"/>
  <c r="AY55" i="47"/>
  <c r="BA54" i="47"/>
  <c r="T56" i="47"/>
  <c r="AF55" i="47"/>
  <c r="AQ55" i="47"/>
  <c r="AD56" i="47"/>
  <c r="V56" i="47"/>
  <c r="AS56" i="47" s="1"/>
  <c r="X56" i="47"/>
  <c r="AB56" i="47"/>
  <c r="AW55" i="47"/>
  <c r="Z54" i="46"/>
  <c r="AY54" i="46" s="1"/>
  <c r="AB54" i="46"/>
  <c r="AW54" i="46" s="1"/>
  <c r="AD54" i="46"/>
  <c r="V54" i="46"/>
  <c r="AS54" i="46" s="1"/>
  <c r="T54" i="46"/>
  <c r="AF53" i="46"/>
  <c r="H36" i="28"/>
  <c r="F37" i="28"/>
  <c r="E37" i="28"/>
  <c r="D38" i="28"/>
  <c r="H37" i="28"/>
  <c r="G37" i="28"/>
  <c r="AU54" i="55" l="1"/>
  <c r="AL54" i="55"/>
  <c r="AO54" i="55" s="1"/>
  <c r="X55" i="55"/>
  <c r="V55" i="55"/>
  <c r="AS54" i="55"/>
  <c r="AW54" i="55"/>
  <c r="AB55" i="55"/>
  <c r="AD55" i="55"/>
  <c r="AY54" i="55"/>
  <c r="Z55" i="55"/>
  <c r="AQ54" i="55"/>
  <c r="AF54" i="55"/>
  <c r="T55" i="55"/>
  <c r="BA53" i="55"/>
  <c r="BA57" i="56"/>
  <c r="AF58" i="56"/>
  <c r="T59" i="56"/>
  <c r="AQ58" i="56"/>
  <c r="AY58" i="56"/>
  <c r="Z59" i="56"/>
  <c r="AU58" i="56"/>
  <c r="AL58" i="56"/>
  <c r="AO58" i="56" s="1"/>
  <c r="AW58" i="56"/>
  <c r="AB59" i="56"/>
  <c r="V59" i="56"/>
  <c r="AS58" i="56"/>
  <c r="X59" i="56"/>
  <c r="AD59" i="56"/>
  <c r="F64" i="50"/>
  <c r="X63" i="50"/>
  <c r="Y63" i="50" s="1"/>
  <c r="D65" i="50"/>
  <c r="V64" i="50"/>
  <c r="AU56" i="47"/>
  <c r="AL56" i="47"/>
  <c r="AO56" i="47" s="1"/>
  <c r="AL54" i="46"/>
  <c r="AO54" i="46" s="1"/>
  <c r="BA53" i="46"/>
  <c r="AU54" i="46"/>
  <c r="AQ54" i="46"/>
  <c r="X55" i="46"/>
  <c r="BA55" i="47"/>
  <c r="X57" i="47"/>
  <c r="V57" i="47"/>
  <c r="AS57" i="47" s="1"/>
  <c r="AD57" i="47"/>
  <c r="AF56" i="47"/>
  <c r="T57" i="47"/>
  <c r="AQ56" i="47"/>
  <c r="AB57" i="47"/>
  <c r="AW56" i="47"/>
  <c r="Z57" i="47"/>
  <c r="AY56" i="47"/>
  <c r="AB55" i="46"/>
  <c r="AW55" i="46" s="1"/>
  <c r="Z55" i="46"/>
  <c r="AY55" i="46" s="1"/>
  <c r="AD55" i="46"/>
  <c r="AF54" i="46"/>
  <c r="T55" i="46"/>
  <c r="V55" i="46"/>
  <c r="AS55" i="46" s="1"/>
  <c r="F38" i="28"/>
  <c r="E38" i="28"/>
  <c r="G38" i="28"/>
  <c r="I37" i="28" s="1"/>
  <c r="I36" i="28"/>
  <c r="D39" i="28"/>
  <c r="AD56" i="55" l="1"/>
  <c r="AB56" i="55"/>
  <c r="AW55" i="55"/>
  <c r="T56" i="55"/>
  <c r="AF55" i="55"/>
  <c r="AQ55" i="55"/>
  <c r="V56" i="55"/>
  <c r="AS55" i="55"/>
  <c r="X56" i="55"/>
  <c r="BA54" i="55"/>
  <c r="AU55" i="55"/>
  <c r="AL55" i="55"/>
  <c r="AO55" i="55" s="1"/>
  <c r="AY55" i="55"/>
  <c r="Z56" i="55"/>
  <c r="AU59" i="56"/>
  <c r="AL59" i="56"/>
  <c r="AO59" i="56" s="1"/>
  <c r="V60" i="56"/>
  <c r="X60" i="56"/>
  <c r="AS59" i="56"/>
  <c r="Z60" i="56"/>
  <c r="AY59" i="56"/>
  <c r="AD60" i="56"/>
  <c r="BA58" i="56"/>
  <c r="AW59" i="56"/>
  <c r="AB60" i="56"/>
  <c r="AQ59" i="56"/>
  <c r="T60" i="56"/>
  <c r="AF59" i="56"/>
  <c r="V65" i="50"/>
  <c r="D66" i="50"/>
  <c r="X64" i="50"/>
  <c r="Y64" i="50" s="1"/>
  <c r="F65" i="50"/>
  <c r="AU57" i="47"/>
  <c r="AL57" i="47"/>
  <c r="AO57" i="47" s="1"/>
  <c r="AL55" i="46"/>
  <c r="AO55" i="46" s="1"/>
  <c r="BA54" i="46"/>
  <c r="AU55" i="46"/>
  <c r="AQ55" i="46"/>
  <c r="X56" i="46"/>
  <c r="BA56" i="47"/>
  <c r="AD58" i="47"/>
  <c r="AB58" i="47"/>
  <c r="AW57" i="47"/>
  <c r="V58" i="47"/>
  <c r="AS58" i="47" s="1"/>
  <c r="X58" i="47"/>
  <c r="AF57" i="47"/>
  <c r="T58" i="47"/>
  <c r="AQ57" i="47"/>
  <c r="Z58" i="47"/>
  <c r="AY57" i="47"/>
  <c r="Z56" i="46"/>
  <c r="AY56" i="46" s="1"/>
  <c r="AB56" i="46"/>
  <c r="AW56" i="46" s="1"/>
  <c r="AD56" i="46"/>
  <c r="V56" i="46"/>
  <c r="AS56" i="46" s="1"/>
  <c r="AF55" i="46"/>
  <c r="T56" i="46"/>
  <c r="F39" i="28"/>
  <c r="E39" i="28"/>
  <c r="D40" i="28"/>
  <c r="H39" i="28" s="1"/>
  <c r="G39" i="28"/>
  <c r="I38" i="28" s="1"/>
  <c r="H38" i="28"/>
  <c r="X57" i="55" l="1"/>
  <c r="V57" i="55"/>
  <c r="AS56" i="55"/>
  <c r="AY56" i="55"/>
  <c r="Z57" i="55"/>
  <c r="BA55" i="55"/>
  <c r="AQ56" i="55"/>
  <c r="T57" i="55"/>
  <c r="AF56" i="55"/>
  <c r="AB57" i="55"/>
  <c r="AW56" i="55"/>
  <c r="AU56" i="55"/>
  <c r="AL56" i="55"/>
  <c r="AO56" i="55" s="1"/>
  <c r="AD57" i="55"/>
  <c r="AU60" i="56"/>
  <c r="AL60" i="56"/>
  <c r="AO60" i="56" s="1"/>
  <c r="Z61" i="56"/>
  <c r="AY60" i="56"/>
  <c r="AB61" i="56"/>
  <c r="AW60" i="56"/>
  <c r="T61" i="56"/>
  <c r="AF60" i="56"/>
  <c r="AQ60" i="56"/>
  <c r="AS60" i="56"/>
  <c r="X61" i="56"/>
  <c r="V61" i="56"/>
  <c r="BA59" i="56"/>
  <c r="AD61" i="56"/>
  <c r="F66" i="50"/>
  <c r="X65" i="50"/>
  <c r="Y65" i="50" s="1"/>
  <c r="V66" i="50"/>
  <c r="D67" i="50"/>
  <c r="AU58" i="47"/>
  <c r="AL58" i="47"/>
  <c r="AO58" i="47" s="1"/>
  <c r="AL56" i="46"/>
  <c r="AO56" i="46" s="1"/>
  <c r="BA55" i="46"/>
  <c r="AU56" i="46"/>
  <c r="AQ56" i="46"/>
  <c r="X57" i="46"/>
  <c r="AB59" i="47"/>
  <c r="AW58" i="47"/>
  <c r="X59" i="47"/>
  <c r="V59" i="47"/>
  <c r="AS59" i="47" s="1"/>
  <c r="Z59" i="47"/>
  <c r="AY58" i="47"/>
  <c r="AD59" i="47"/>
  <c r="BA57" i="47"/>
  <c r="AF58" i="47"/>
  <c r="T59" i="47"/>
  <c r="AQ58" i="47"/>
  <c r="AB57" i="46"/>
  <c r="AW57" i="46" s="1"/>
  <c r="Z57" i="46"/>
  <c r="AY57" i="46" s="1"/>
  <c r="AD57" i="46"/>
  <c r="V57" i="46"/>
  <c r="AS57" i="46" s="1"/>
  <c r="T57" i="46"/>
  <c r="AF56" i="46"/>
  <c r="E40" i="28"/>
  <c r="F40" i="28"/>
  <c r="D41" i="28"/>
  <c r="G40" i="28"/>
  <c r="BA56" i="55" l="1"/>
  <c r="AF57" i="55"/>
  <c r="T58" i="55"/>
  <c r="AQ57" i="55"/>
  <c r="AY57" i="55"/>
  <c r="Z58" i="55"/>
  <c r="AD58" i="55"/>
  <c r="AW57" i="55"/>
  <c r="AB58" i="55"/>
  <c r="AS57" i="55"/>
  <c r="V58" i="55"/>
  <c r="X58" i="55"/>
  <c r="AU57" i="55"/>
  <c r="AL57" i="55"/>
  <c r="AO57" i="55" s="1"/>
  <c r="BA60" i="56"/>
  <c r="AU61" i="56"/>
  <c r="AL61" i="56"/>
  <c r="AO61" i="56" s="1"/>
  <c r="AB62" i="56"/>
  <c r="AW61" i="56"/>
  <c r="AD62" i="56"/>
  <c r="AY61" i="56"/>
  <c r="Z62" i="56"/>
  <c r="T62" i="56"/>
  <c r="AF61" i="56"/>
  <c r="AQ61" i="56"/>
  <c r="AS61" i="56"/>
  <c r="X62" i="56"/>
  <c r="V62" i="56"/>
  <c r="D68" i="50"/>
  <c r="V67" i="50"/>
  <c r="F67" i="50"/>
  <c r="X66" i="50"/>
  <c r="Y66" i="50" s="1"/>
  <c r="AU59" i="47"/>
  <c r="AL59" i="47"/>
  <c r="AO59" i="47" s="1"/>
  <c r="AL57" i="46"/>
  <c r="AO57" i="46" s="1"/>
  <c r="BA56" i="46"/>
  <c r="AU57" i="46"/>
  <c r="AQ57" i="46"/>
  <c r="X58" i="46"/>
  <c r="AD60" i="47"/>
  <c r="BA58" i="47"/>
  <c r="V60" i="47"/>
  <c r="AS60" i="47" s="1"/>
  <c r="X60" i="47"/>
  <c r="Z60" i="47"/>
  <c r="AY59" i="47"/>
  <c r="AF59" i="47"/>
  <c r="T60" i="47"/>
  <c r="AQ59" i="47"/>
  <c r="AB60" i="47"/>
  <c r="AW59" i="47"/>
  <c r="Z58" i="46"/>
  <c r="AY58" i="46" s="1"/>
  <c r="AB58" i="46"/>
  <c r="AW58" i="46" s="1"/>
  <c r="AD58" i="46"/>
  <c r="T58" i="46"/>
  <c r="AF57" i="46"/>
  <c r="V58" i="46"/>
  <c r="AS58" i="46" s="1"/>
  <c r="H40" i="28"/>
  <c r="E41" i="28"/>
  <c r="F41" i="28"/>
  <c r="G41" i="28"/>
  <c r="D42" i="28"/>
  <c r="I39" i="28"/>
  <c r="AD59" i="55" l="1"/>
  <c r="AY58" i="55"/>
  <c r="Z59" i="55"/>
  <c r="AB59" i="55"/>
  <c r="AW58" i="55"/>
  <c r="AL58" i="55"/>
  <c r="AO58" i="55" s="1"/>
  <c r="AU58" i="55"/>
  <c r="BA57" i="55"/>
  <c r="V59" i="55"/>
  <c r="X59" i="55"/>
  <c r="AS58" i="55"/>
  <c r="AQ58" i="55"/>
  <c r="AF58" i="55"/>
  <c r="T59" i="55"/>
  <c r="AU62" i="56"/>
  <c r="AL62" i="56"/>
  <c r="AO62" i="56" s="1"/>
  <c r="AS62" i="56"/>
  <c r="X63" i="56"/>
  <c r="V63" i="56"/>
  <c r="Z63" i="56"/>
  <c r="AY62" i="56"/>
  <c r="AD63" i="56"/>
  <c r="BA61" i="56"/>
  <c r="AW62" i="56"/>
  <c r="AB63" i="56"/>
  <c r="AQ62" i="56"/>
  <c r="T63" i="56"/>
  <c r="AF62" i="56"/>
  <c r="F68" i="50"/>
  <c r="X67" i="50"/>
  <c r="Y67" i="50" s="1"/>
  <c r="V68" i="50"/>
  <c r="D69" i="50"/>
  <c r="AU60" i="47"/>
  <c r="AL60" i="47"/>
  <c r="AO60" i="47" s="1"/>
  <c r="AL58" i="46"/>
  <c r="AO58" i="46" s="1"/>
  <c r="BA57" i="46"/>
  <c r="AU58" i="46"/>
  <c r="AQ58" i="46"/>
  <c r="X59" i="46"/>
  <c r="AF60" i="47"/>
  <c r="T61" i="47"/>
  <c r="AQ60" i="47"/>
  <c r="AB61" i="47"/>
  <c r="AW60" i="47"/>
  <c r="Z61" i="47"/>
  <c r="AY60" i="47"/>
  <c r="X61" i="47"/>
  <c r="V61" i="47"/>
  <c r="AS61" i="47" s="1"/>
  <c r="AD61" i="47"/>
  <c r="BA59" i="47"/>
  <c r="AB59" i="46"/>
  <c r="AW59" i="46" s="1"/>
  <c r="Z59" i="46"/>
  <c r="AY59" i="46" s="1"/>
  <c r="AD59" i="46"/>
  <c r="V59" i="46"/>
  <c r="AS59" i="46" s="1"/>
  <c r="AF58" i="46"/>
  <c r="T59" i="46"/>
  <c r="E42" i="28"/>
  <c r="F42" i="28"/>
  <c r="G42" i="28"/>
  <c r="D43" i="28"/>
  <c r="H41" i="28"/>
  <c r="I40" i="28"/>
  <c r="BA58" i="55" l="1"/>
  <c r="AW59" i="55"/>
  <c r="AB60" i="55"/>
  <c r="Z60" i="55"/>
  <c r="AY59" i="55"/>
  <c r="T60" i="55"/>
  <c r="AQ59" i="55"/>
  <c r="AF59" i="55"/>
  <c r="AU59" i="55"/>
  <c r="AL59" i="55"/>
  <c r="AO59" i="55" s="1"/>
  <c r="X60" i="55"/>
  <c r="V60" i="55"/>
  <c r="AS59" i="55"/>
  <c r="AD60" i="55"/>
  <c r="AU63" i="56"/>
  <c r="AL63" i="56"/>
  <c r="AO63" i="56" s="1"/>
  <c r="T64" i="56"/>
  <c r="AF63" i="56"/>
  <c r="AQ63" i="56"/>
  <c r="AD64" i="56"/>
  <c r="AW63" i="56"/>
  <c r="AB64" i="56"/>
  <c r="Z64" i="56"/>
  <c r="AY63" i="56"/>
  <c r="BA62" i="56"/>
  <c r="AS63" i="56"/>
  <c r="X64" i="56"/>
  <c r="V64" i="56"/>
  <c r="D70" i="50"/>
  <c r="V69" i="50"/>
  <c r="F69" i="50"/>
  <c r="X68" i="50"/>
  <c r="Y68" i="50" s="1"/>
  <c r="AU61" i="47"/>
  <c r="AL61" i="47"/>
  <c r="AO61" i="47" s="1"/>
  <c r="AL59" i="46"/>
  <c r="AO59" i="46" s="1"/>
  <c r="BA58" i="46"/>
  <c r="AU59" i="46"/>
  <c r="AQ59" i="46"/>
  <c r="X60" i="46"/>
  <c r="Z62" i="47"/>
  <c r="AY61" i="47"/>
  <c r="BA60" i="47"/>
  <c r="AD62" i="47"/>
  <c r="AF61" i="47"/>
  <c r="T62" i="47"/>
  <c r="AQ61" i="47"/>
  <c r="AB62" i="47"/>
  <c r="AW61" i="47"/>
  <c r="V62" i="47"/>
  <c r="AS62" i="47" s="1"/>
  <c r="X62" i="47"/>
  <c r="Z60" i="46"/>
  <c r="AY60" i="46" s="1"/>
  <c r="AB60" i="46"/>
  <c r="AW60" i="46" s="1"/>
  <c r="AD60" i="46"/>
  <c r="V60" i="46"/>
  <c r="AS60" i="46" s="1"/>
  <c r="T60" i="46"/>
  <c r="AF59" i="46"/>
  <c r="E43" i="28"/>
  <c r="F43" i="28"/>
  <c r="D44" i="28"/>
  <c r="G43" i="28"/>
  <c r="H42" i="28"/>
  <c r="I41" i="28"/>
  <c r="BA59" i="55" l="1"/>
  <c r="AD61" i="55"/>
  <c r="T61" i="55"/>
  <c r="AF60" i="55"/>
  <c r="AQ60" i="55"/>
  <c r="X61" i="55"/>
  <c r="V61" i="55"/>
  <c r="AS60" i="55"/>
  <c r="AY60" i="55"/>
  <c r="Z61" i="55"/>
  <c r="AL60" i="55"/>
  <c r="AO60" i="55" s="1"/>
  <c r="AU60" i="55"/>
  <c r="AB61" i="55"/>
  <c r="AW60" i="55"/>
  <c r="AD65" i="56"/>
  <c r="AU64" i="56"/>
  <c r="AL64" i="56"/>
  <c r="AO64" i="56" s="1"/>
  <c r="BA63" i="56"/>
  <c r="Z65" i="56"/>
  <c r="AY64" i="56"/>
  <c r="AS64" i="56"/>
  <c r="X65" i="56"/>
  <c r="V65" i="56"/>
  <c r="AB65" i="56"/>
  <c r="AW64" i="56"/>
  <c r="T65" i="56"/>
  <c r="AF64" i="56"/>
  <c r="AQ64" i="56"/>
  <c r="X69" i="50"/>
  <c r="Y69" i="50" s="1"/>
  <c r="F70" i="50"/>
  <c r="V70" i="50"/>
  <c r="D71" i="50"/>
  <c r="AU62" i="47"/>
  <c r="AL62" i="47"/>
  <c r="AO62" i="47" s="1"/>
  <c r="AL60" i="46"/>
  <c r="AO60" i="46" s="1"/>
  <c r="BA59" i="46"/>
  <c r="AU60" i="46"/>
  <c r="AQ60" i="46"/>
  <c r="X61" i="46"/>
  <c r="BA61" i="47"/>
  <c r="AB63" i="47"/>
  <c r="AW62" i="47"/>
  <c r="T63" i="47"/>
  <c r="AF62" i="47"/>
  <c r="AQ62" i="47"/>
  <c r="AD63" i="47"/>
  <c r="X63" i="47"/>
  <c r="V63" i="47"/>
  <c r="AS63" i="47" s="1"/>
  <c r="Z63" i="47"/>
  <c r="AY62" i="47"/>
  <c r="AB61" i="46"/>
  <c r="AW61" i="46" s="1"/>
  <c r="Z61" i="46"/>
  <c r="AY61" i="46" s="1"/>
  <c r="AD61" i="46"/>
  <c r="AF60" i="46"/>
  <c r="T61" i="46"/>
  <c r="V61" i="46"/>
  <c r="AS61" i="46" s="1"/>
  <c r="H43" i="28"/>
  <c r="E44" i="28"/>
  <c r="F44" i="28"/>
  <c r="D45" i="28"/>
  <c r="G44" i="28"/>
  <c r="I43" i="28" s="1"/>
  <c r="I42" i="28"/>
  <c r="AS61" i="55" l="1"/>
  <c r="X62" i="55"/>
  <c r="V62" i="55"/>
  <c r="AL61" i="55"/>
  <c r="AO61" i="55" s="1"/>
  <c r="AU61" i="55"/>
  <c r="AW61" i="55"/>
  <c r="AB62" i="55"/>
  <c r="BA60" i="55"/>
  <c r="T62" i="55"/>
  <c r="AQ61" i="55"/>
  <c r="AF61" i="55"/>
  <c r="Z62" i="55"/>
  <c r="AY61" i="55"/>
  <c r="AD62" i="55"/>
  <c r="AU65" i="56"/>
  <c r="AL65" i="56"/>
  <c r="AO65" i="56" s="1"/>
  <c r="BA64" i="56"/>
  <c r="T66" i="56"/>
  <c r="AQ65" i="56"/>
  <c r="AF65" i="56"/>
  <c r="AW65" i="56"/>
  <c r="AB66" i="56"/>
  <c r="AS65" i="56"/>
  <c r="X66" i="56"/>
  <c r="V66" i="56"/>
  <c r="AY65" i="56"/>
  <c r="Z66" i="56"/>
  <c r="AD66" i="56"/>
  <c r="V71" i="50"/>
  <c r="D72" i="50"/>
  <c r="F71" i="50"/>
  <c r="X70" i="50"/>
  <c r="Y70" i="50" s="1"/>
  <c r="AU63" i="47"/>
  <c r="AL63" i="47"/>
  <c r="AO63" i="47" s="1"/>
  <c r="AL61" i="46"/>
  <c r="AO61" i="46" s="1"/>
  <c r="BA60" i="46"/>
  <c r="AU61" i="46"/>
  <c r="AQ61" i="46"/>
  <c r="X62" i="46"/>
  <c r="BA62" i="47"/>
  <c r="AD64" i="47"/>
  <c r="V64" i="47"/>
  <c r="AS64" i="47" s="1"/>
  <c r="X64" i="47"/>
  <c r="T64" i="47"/>
  <c r="AF63" i="47"/>
  <c r="AQ63" i="47"/>
  <c r="Z64" i="47"/>
  <c r="AY63" i="47"/>
  <c r="AB64" i="47"/>
  <c r="AW63" i="47"/>
  <c r="Z62" i="46"/>
  <c r="AY62" i="46" s="1"/>
  <c r="AB62" i="46"/>
  <c r="AW62" i="46" s="1"/>
  <c r="AD62" i="46"/>
  <c r="V62" i="46"/>
  <c r="AS62" i="46" s="1"/>
  <c r="T62" i="46"/>
  <c r="AF61" i="46"/>
  <c r="F45" i="28"/>
  <c r="E45" i="28"/>
  <c r="H44" i="28"/>
  <c r="G45" i="28"/>
  <c r="I44" i="28" s="1"/>
  <c r="D46" i="28"/>
  <c r="H45" i="28" s="1"/>
  <c r="AD63" i="55" l="1"/>
  <c r="AW62" i="55"/>
  <c r="AB63" i="55"/>
  <c r="Z63" i="55"/>
  <c r="AY62" i="55"/>
  <c r="AS62" i="55"/>
  <c r="X63" i="55"/>
  <c r="V63" i="55"/>
  <c r="BA61" i="55"/>
  <c r="AL62" i="55"/>
  <c r="AO62" i="55" s="1"/>
  <c r="AU62" i="55"/>
  <c r="T63" i="55"/>
  <c r="AF62" i="55"/>
  <c r="AQ62" i="55"/>
  <c r="AU66" i="56"/>
  <c r="AL66" i="56"/>
  <c r="AO66" i="56" s="1"/>
  <c r="BA65" i="56"/>
  <c r="AD67" i="56"/>
  <c r="T67" i="56"/>
  <c r="AF66" i="56"/>
  <c r="AQ66" i="56"/>
  <c r="Z67" i="56"/>
  <c r="AY66" i="56"/>
  <c r="AW66" i="56"/>
  <c r="AB67" i="56"/>
  <c r="AS66" i="56"/>
  <c r="X67" i="56"/>
  <c r="V67" i="56"/>
  <c r="F72" i="50"/>
  <c r="X71" i="50"/>
  <c r="Y71" i="50" s="1"/>
  <c r="D73" i="50"/>
  <c r="V72" i="50"/>
  <c r="AU64" i="47"/>
  <c r="AL64" i="47"/>
  <c r="AO64" i="47" s="1"/>
  <c r="AL62" i="46"/>
  <c r="AO62" i="46" s="1"/>
  <c r="BA61" i="46"/>
  <c r="AU62" i="46"/>
  <c r="AQ62" i="46"/>
  <c r="X63" i="46"/>
  <c r="Z65" i="47"/>
  <c r="AY64" i="47"/>
  <c r="X65" i="47"/>
  <c r="V65" i="47"/>
  <c r="AS65" i="47" s="1"/>
  <c r="BA63" i="47"/>
  <c r="AF64" i="47"/>
  <c r="T65" i="47"/>
  <c r="AQ64" i="47"/>
  <c r="AB65" i="47"/>
  <c r="AW64" i="47"/>
  <c r="AD65" i="47"/>
  <c r="AB63" i="46"/>
  <c r="AW63" i="46" s="1"/>
  <c r="Z63" i="46"/>
  <c r="AY63" i="46" s="1"/>
  <c r="AD63" i="46"/>
  <c r="T63" i="46"/>
  <c r="AF62" i="46"/>
  <c r="V63" i="46"/>
  <c r="AS63" i="46" s="1"/>
  <c r="F46" i="28"/>
  <c r="E46" i="28"/>
  <c r="D47" i="28"/>
  <c r="G46" i="28"/>
  <c r="BA62" i="55" l="1"/>
  <c r="V64" i="55"/>
  <c r="AS63" i="55"/>
  <c r="X64" i="55"/>
  <c r="AL63" i="55"/>
  <c r="AO63" i="55" s="1"/>
  <c r="AU63" i="55"/>
  <c r="AF63" i="55"/>
  <c r="AQ63" i="55"/>
  <c r="T64" i="55"/>
  <c r="AY63" i="55"/>
  <c r="Z64" i="55"/>
  <c r="AD64" i="55"/>
  <c r="AW63" i="55"/>
  <c r="AB64" i="55"/>
  <c r="AU67" i="56"/>
  <c r="AL67" i="56"/>
  <c r="AO67" i="56" s="1"/>
  <c r="T68" i="56"/>
  <c r="AF67" i="56"/>
  <c r="AQ67" i="56"/>
  <c r="AD68" i="56"/>
  <c r="AW67" i="56"/>
  <c r="AB68" i="56"/>
  <c r="AY67" i="56"/>
  <c r="Z68" i="56"/>
  <c r="AS67" i="56"/>
  <c r="X68" i="56"/>
  <c r="V68" i="56"/>
  <c r="BA66" i="56"/>
  <c r="D74" i="50"/>
  <c r="V73" i="50"/>
  <c r="X72" i="50"/>
  <c r="Y72" i="50" s="1"/>
  <c r="F73" i="50"/>
  <c r="AU65" i="47"/>
  <c r="AL65" i="47"/>
  <c r="AO65" i="47" s="1"/>
  <c r="AL63" i="46"/>
  <c r="AO63" i="46" s="1"/>
  <c r="BA62" i="46"/>
  <c r="AU63" i="46"/>
  <c r="AQ63" i="46"/>
  <c r="X64" i="46"/>
  <c r="BA64" i="47"/>
  <c r="T66" i="47"/>
  <c r="AF65" i="47"/>
  <c r="AQ65" i="47"/>
  <c r="AD66" i="47"/>
  <c r="V66" i="47"/>
  <c r="AS66" i="47" s="1"/>
  <c r="X66" i="47"/>
  <c r="AB66" i="47"/>
  <c r="AW65" i="47"/>
  <c r="Z66" i="47"/>
  <c r="AY65" i="47"/>
  <c r="Z64" i="46"/>
  <c r="AY64" i="46" s="1"/>
  <c r="AB64" i="46"/>
  <c r="AW64" i="46" s="1"/>
  <c r="AD64" i="46"/>
  <c r="V64" i="46"/>
  <c r="AS64" i="46" s="1"/>
  <c r="T64" i="46"/>
  <c r="AF63" i="46"/>
  <c r="F47" i="28"/>
  <c r="E47" i="28"/>
  <c r="D48" i="28"/>
  <c r="H47" i="28"/>
  <c r="G47" i="28"/>
  <c r="I45" i="28"/>
  <c r="H46" i="28"/>
  <c r="BA63" i="55" l="1"/>
  <c r="AF64" i="55"/>
  <c r="AQ64" i="55"/>
  <c r="T65" i="55"/>
  <c r="AD65" i="55"/>
  <c r="AU64" i="55"/>
  <c r="AL64" i="55"/>
  <c r="AO64" i="55" s="1"/>
  <c r="AB65" i="55"/>
  <c r="AW64" i="55"/>
  <c r="AY64" i="55"/>
  <c r="Z65" i="55"/>
  <c r="V65" i="55"/>
  <c r="AS64" i="55"/>
  <c r="X65" i="55"/>
  <c r="AU68" i="56"/>
  <c r="AL68" i="56"/>
  <c r="AO68" i="56" s="1"/>
  <c r="BA67" i="56"/>
  <c r="AS68" i="56"/>
  <c r="X69" i="56"/>
  <c r="V69" i="56"/>
  <c r="AB69" i="56"/>
  <c r="AW68" i="56"/>
  <c r="T69" i="56"/>
  <c r="AF68" i="56"/>
  <c r="AQ68" i="56"/>
  <c r="AY68" i="56"/>
  <c r="Z69" i="56"/>
  <c r="AD69" i="56"/>
  <c r="F74" i="50"/>
  <c r="X73" i="50"/>
  <c r="Y73" i="50" s="1"/>
  <c r="V74" i="50"/>
  <c r="D75" i="50"/>
  <c r="AU66" i="47"/>
  <c r="AL66" i="47"/>
  <c r="AO66" i="47" s="1"/>
  <c r="AL64" i="46"/>
  <c r="AO64" i="46" s="1"/>
  <c r="BA63" i="46"/>
  <c r="AU64" i="46"/>
  <c r="AQ64" i="46"/>
  <c r="X65" i="46"/>
  <c r="X67" i="47"/>
  <c r="V67" i="47"/>
  <c r="AS67" i="47" s="1"/>
  <c r="AD67" i="47"/>
  <c r="AB67" i="47"/>
  <c r="AW66" i="47"/>
  <c r="BA65" i="47"/>
  <c r="Z67" i="47"/>
  <c r="AY66" i="47"/>
  <c r="AF66" i="47"/>
  <c r="T67" i="47"/>
  <c r="AQ66" i="47"/>
  <c r="AB65" i="46"/>
  <c r="AW65" i="46" s="1"/>
  <c r="Z65" i="46"/>
  <c r="AY65" i="46" s="1"/>
  <c r="V65" i="46"/>
  <c r="AS65" i="46" s="1"/>
  <c r="AD65" i="46"/>
  <c r="T65" i="46"/>
  <c r="AF64" i="46"/>
  <c r="E48" i="28"/>
  <c r="F48" i="28"/>
  <c r="G48" i="28"/>
  <c r="I47" i="28" s="1"/>
  <c r="D49" i="28"/>
  <c r="I46" i="28"/>
  <c r="AW65" i="55" l="1"/>
  <c r="AB66" i="55"/>
  <c r="AL65" i="55"/>
  <c r="AO65" i="55" s="1"/>
  <c r="AU65" i="55"/>
  <c r="AD66" i="55"/>
  <c r="AS65" i="55"/>
  <c r="X66" i="55"/>
  <c r="V66" i="55"/>
  <c r="T66" i="55"/>
  <c r="AQ65" i="55"/>
  <c r="AF65" i="55"/>
  <c r="AY65" i="55"/>
  <c r="Z66" i="55"/>
  <c r="BA64" i="55"/>
  <c r="AD70" i="56"/>
  <c r="AU69" i="56"/>
  <c r="AL69" i="56"/>
  <c r="AO69" i="56" s="1"/>
  <c r="BA68" i="56"/>
  <c r="AS69" i="56"/>
  <c r="X70" i="56"/>
  <c r="V70" i="56"/>
  <c r="Z70" i="56"/>
  <c r="AY69" i="56"/>
  <c r="AF69" i="56"/>
  <c r="AQ69" i="56"/>
  <c r="T70" i="56"/>
  <c r="AB70" i="56"/>
  <c r="AW69" i="56"/>
  <c r="D76" i="50"/>
  <c r="V75" i="50"/>
  <c r="F75" i="50"/>
  <c r="X74" i="50"/>
  <c r="Y74" i="50" s="1"/>
  <c r="AU67" i="47"/>
  <c r="AL67" i="47"/>
  <c r="AO67" i="47" s="1"/>
  <c r="AL65" i="46"/>
  <c r="AO65" i="46" s="1"/>
  <c r="BA64" i="46"/>
  <c r="AU65" i="46"/>
  <c r="AQ65" i="46"/>
  <c r="X66" i="46"/>
  <c r="Z68" i="47"/>
  <c r="AY67" i="47"/>
  <c r="AD68" i="47"/>
  <c r="BA66" i="47"/>
  <c r="V68" i="47"/>
  <c r="AS68" i="47" s="1"/>
  <c r="X68" i="47"/>
  <c r="AB68" i="47"/>
  <c r="AW67" i="47"/>
  <c r="T68" i="47"/>
  <c r="AF67" i="47"/>
  <c r="AQ67" i="47"/>
  <c r="Z66" i="46"/>
  <c r="AY66" i="46" s="1"/>
  <c r="AB66" i="46"/>
  <c r="AW66" i="46" s="1"/>
  <c r="AD66" i="46"/>
  <c r="AF65" i="46"/>
  <c r="T66" i="46"/>
  <c r="V66" i="46"/>
  <c r="AS66" i="46" s="1"/>
  <c r="E49" i="28"/>
  <c r="F49" i="28"/>
  <c r="H48" i="28"/>
  <c r="D50" i="28"/>
  <c r="G49" i="28"/>
  <c r="X67" i="55" l="1"/>
  <c r="V67" i="55"/>
  <c r="AS66" i="55"/>
  <c r="AL66" i="55"/>
  <c r="AO66" i="55" s="1"/>
  <c r="AU66" i="55"/>
  <c r="AD67" i="55"/>
  <c r="AY66" i="55"/>
  <c r="Z67" i="55"/>
  <c r="BA65" i="55"/>
  <c r="AB67" i="55"/>
  <c r="AW66" i="55"/>
  <c r="AQ66" i="55"/>
  <c r="AF66" i="55"/>
  <c r="T67" i="55"/>
  <c r="AU70" i="56"/>
  <c r="AL70" i="56"/>
  <c r="AO70" i="56" s="1"/>
  <c r="BA69" i="56"/>
  <c r="AQ70" i="56"/>
  <c r="T71" i="56"/>
  <c r="AF70" i="56"/>
  <c r="AW70" i="56"/>
  <c r="AB71" i="56"/>
  <c r="AY70" i="56"/>
  <c r="Z71" i="56"/>
  <c r="AD71" i="56"/>
  <c r="AS70" i="56"/>
  <c r="X71" i="56"/>
  <c r="V71" i="56"/>
  <c r="F76" i="50"/>
  <c r="X75" i="50"/>
  <c r="Y75" i="50" s="1"/>
  <c r="V76" i="50"/>
  <c r="D77" i="50"/>
  <c r="AU68" i="47"/>
  <c r="AL68" i="47"/>
  <c r="AO68" i="47" s="1"/>
  <c r="AL66" i="46"/>
  <c r="AO66" i="46" s="1"/>
  <c r="BA65" i="46"/>
  <c r="AU66" i="46"/>
  <c r="AQ66" i="46"/>
  <c r="X67" i="46"/>
  <c r="AD69" i="47"/>
  <c r="AB69" i="47"/>
  <c r="AW68" i="47"/>
  <c r="X69" i="47"/>
  <c r="V69" i="47"/>
  <c r="AS69" i="47" s="1"/>
  <c r="BA67" i="47"/>
  <c r="AF68" i="47"/>
  <c r="T69" i="47"/>
  <c r="AQ68" i="47"/>
  <c r="Z69" i="47"/>
  <c r="AY68" i="47"/>
  <c r="AB67" i="46"/>
  <c r="AW67" i="46" s="1"/>
  <c r="Z67" i="46"/>
  <c r="AY67" i="46" s="1"/>
  <c r="AD67" i="46"/>
  <c r="V67" i="46"/>
  <c r="AS67" i="46" s="1"/>
  <c r="T67" i="46"/>
  <c r="AF66" i="46"/>
  <c r="E50" i="28"/>
  <c r="F50" i="28"/>
  <c r="D51" i="28"/>
  <c r="G50" i="28"/>
  <c r="I49" i="28" s="1"/>
  <c r="I48" i="28"/>
  <c r="H49" i="28"/>
  <c r="Z68" i="55" l="1"/>
  <c r="AY67" i="55"/>
  <c r="AF67" i="55"/>
  <c r="AQ67" i="55"/>
  <c r="T68" i="55"/>
  <c r="AD68" i="55"/>
  <c r="BA66" i="55"/>
  <c r="AW67" i="55"/>
  <c r="AB68" i="55"/>
  <c r="V68" i="55"/>
  <c r="X68" i="55"/>
  <c r="AS67" i="55"/>
  <c r="AL67" i="55"/>
  <c r="AO67" i="55" s="1"/>
  <c r="AU67" i="55"/>
  <c r="BA70" i="56"/>
  <c r="AU71" i="56"/>
  <c r="AL71" i="56"/>
  <c r="AO71" i="56" s="1"/>
  <c r="T72" i="56"/>
  <c r="AF71" i="56"/>
  <c r="AQ71" i="56"/>
  <c r="AY71" i="56"/>
  <c r="Z72" i="56"/>
  <c r="AW71" i="56"/>
  <c r="AB72" i="56"/>
  <c r="V72" i="56"/>
  <c r="AS71" i="56"/>
  <c r="X72" i="56"/>
  <c r="AD72" i="56"/>
  <c r="D78" i="50"/>
  <c r="V77" i="50"/>
  <c r="F77" i="50"/>
  <c r="X76" i="50"/>
  <c r="Y76" i="50" s="1"/>
  <c r="AU69" i="47"/>
  <c r="AL69" i="47"/>
  <c r="AO69" i="47" s="1"/>
  <c r="AL67" i="46"/>
  <c r="AO67" i="46" s="1"/>
  <c r="BA66" i="46"/>
  <c r="AU67" i="46"/>
  <c r="AQ67" i="46"/>
  <c r="X68" i="46"/>
  <c r="T70" i="47"/>
  <c r="AF69" i="47"/>
  <c r="AQ69" i="47"/>
  <c r="X70" i="47"/>
  <c r="V70" i="47"/>
  <c r="AS70" i="47" s="1"/>
  <c r="Z70" i="47"/>
  <c r="AY69" i="47"/>
  <c r="AB70" i="47"/>
  <c r="AW69" i="47"/>
  <c r="BA68" i="47"/>
  <c r="AD70" i="47"/>
  <c r="V68" i="46"/>
  <c r="AS68" i="46" s="1"/>
  <c r="Z68" i="46"/>
  <c r="AB68" i="46"/>
  <c r="AD68" i="46"/>
  <c r="AF67" i="46"/>
  <c r="T68" i="46"/>
  <c r="H50" i="28"/>
  <c r="E51" i="28"/>
  <c r="F51" i="28"/>
  <c r="G51" i="28"/>
  <c r="D52" i="28"/>
  <c r="AD69" i="55" l="1"/>
  <c r="AF68" i="55"/>
  <c r="T69" i="55"/>
  <c r="AQ68" i="55"/>
  <c r="BA67" i="55"/>
  <c r="AU68" i="55"/>
  <c r="AL68" i="55"/>
  <c r="AO68" i="55" s="1"/>
  <c r="AS68" i="55"/>
  <c r="V69" i="55"/>
  <c r="X69" i="55"/>
  <c r="AB69" i="55"/>
  <c r="AW68" i="55"/>
  <c r="Z69" i="55"/>
  <c r="AY68" i="55"/>
  <c r="AU72" i="56"/>
  <c r="AL72" i="56"/>
  <c r="AO72" i="56" s="1"/>
  <c r="AY72" i="56"/>
  <c r="Z73" i="56"/>
  <c r="BA71" i="56"/>
  <c r="AS72" i="56"/>
  <c r="X73" i="56"/>
  <c r="V73" i="56"/>
  <c r="T73" i="56"/>
  <c r="AQ72" i="56"/>
  <c r="AF72" i="56"/>
  <c r="AW72" i="56"/>
  <c r="AB73" i="56"/>
  <c r="AD73" i="56"/>
  <c r="X77" i="50"/>
  <c r="Y77" i="50" s="1"/>
  <c r="F78" i="50"/>
  <c r="D79" i="50"/>
  <c r="V78" i="50"/>
  <c r="AU70" i="47"/>
  <c r="AL70" i="47"/>
  <c r="AO70" i="47" s="1"/>
  <c r="AL68" i="46"/>
  <c r="AO68" i="46" s="1"/>
  <c r="BA67" i="46"/>
  <c r="AU68" i="46"/>
  <c r="AQ68" i="46"/>
  <c r="X69" i="46"/>
  <c r="AB71" i="47"/>
  <c r="AW70" i="47"/>
  <c r="Z71" i="47"/>
  <c r="AY70" i="47"/>
  <c r="X71" i="47"/>
  <c r="V71" i="47"/>
  <c r="AS71" i="47" s="1"/>
  <c r="BA69" i="47"/>
  <c r="AD71" i="47"/>
  <c r="AF70" i="47"/>
  <c r="T71" i="47"/>
  <c r="AQ70" i="47"/>
  <c r="Z69" i="46"/>
  <c r="AY69" i="46" s="1"/>
  <c r="AY68" i="46"/>
  <c r="AB69" i="46"/>
  <c r="AW69" i="46" s="1"/>
  <c r="AW68" i="46"/>
  <c r="AD69" i="46"/>
  <c r="AF68" i="46"/>
  <c r="T69" i="46"/>
  <c r="V69" i="46"/>
  <c r="AS69" i="46" s="1"/>
  <c r="E52" i="28"/>
  <c r="F52" i="28"/>
  <c r="D53" i="28"/>
  <c r="H52" i="28" s="1"/>
  <c r="G52" i="28"/>
  <c r="H51" i="28"/>
  <c r="I50" i="28"/>
  <c r="BA68" i="55" l="1"/>
  <c r="Z70" i="55"/>
  <c r="AY69" i="55"/>
  <c r="AW69" i="55"/>
  <c r="AB70" i="55"/>
  <c r="T70" i="55"/>
  <c r="AF69" i="55"/>
  <c r="AQ69" i="55"/>
  <c r="AU69" i="55"/>
  <c r="AL69" i="55"/>
  <c r="AO69" i="55" s="1"/>
  <c r="AS69" i="55"/>
  <c r="V70" i="55"/>
  <c r="X70" i="55"/>
  <c r="AD70" i="55"/>
  <c r="AU73" i="56"/>
  <c r="AL73" i="56"/>
  <c r="AO73" i="56" s="1"/>
  <c r="AO9" i="56" s="1"/>
  <c r="BA72" i="56"/>
  <c r="AY73" i="56"/>
  <c r="Z74" i="56"/>
  <c r="AW73" i="56"/>
  <c r="AB74" i="56"/>
  <c r="AF73" i="56"/>
  <c r="AQ73" i="56"/>
  <c r="T74" i="56"/>
  <c r="AD74" i="56"/>
  <c r="X74" i="56"/>
  <c r="AU74" i="56" s="1"/>
  <c r="AS73" i="56"/>
  <c r="V74" i="56"/>
  <c r="V79" i="50"/>
  <c r="D80" i="50"/>
  <c r="F79" i="50"/>
  <c r="X78" i="50"/>
  <c r="Y78" i="50" s="1"/>
  <c r="AU71" i="47"/>
  <c r="AL71" i="47"/>
  <c r="AO71" i="47" s="1"/>
  <c r="AL69" i="46"/>
  <c r="AO69" i="46" s="1"/>
  <c r="AU69" i="46"/>
  <c r="AQ69" i="46"/>
  <c r="X70" i="46"/>
  <c r="BA68" i="46"/>
  <c r="AD72" i="47"/>
  <c r="V72" i="47"/>
  <c r="AS72" i="47" s="1"/>
  <c r="X72" i="47"/>
  <c r="Z72" i="47"/>
  <c r="AY71" i="47"/>
  <c r="T72" i="47"/>
  <c r="AF71" i="47"/>
  <c r="AQ71" i="47"/>
  <c r="BA70" i="47"/>
  <c r="AB72" i="47"/>
  <c r="AW71" i="47"/>
  <c r="Z70" i="46"/>
  <c r="AY70" i="46" s="1"/>
  <c r="AB70" i="46"/>
  <c r="AW70" i="46" s="1"/>
  <c r="AD70" i="46"/>
  <c r="AF69" i="46"/>
  <c r="T70" i="46"/>
  <c r="V70" i="46"/>
  <c r="AS70" i="46" s="1"/>
  <c r="F53" i="28"/>
  <c r="E53" i="28"/>
  <c r="G53" i="28"/>
  <c r="I52" i="28" s="1"/>
  <c r="I51" i="28"/>
  <c r="D54" i="28"/>
  <c r="BA69" i="55" l="1"/>
  <c r="AD71" i="55"/>
  <c r="AF70" i="55"/>
  <c r="T71" i="55"/>
  <c r="AQ70" i="55"/>
  <c r="AU70" i="55"/>
  <c r="AL70" i="55"/>
  <c r="AO70" i="55" s="1"/>
  <c r="AW70" i="55"/>
  <c r="AB71" i="55"/>
  <c r="X71" i="55"/>
  <c r="V71" i="55"/>
  <c r="AS70" i="55"/>
  <c r="Z71" i="55"/>
  <c r="AY70" i="55"/>
  <c r="BA73" i="56"/>
  <c r="T75" i="56"/>
  <c r="AQ74" i="56"/>
  <c r="AF74" i="56"/>
  <c r="AS74" i="56"/>
  <c r="X75" i="56"/>
  <c r="AU75" i="56" s="1"/>
  <c r="V75" i="56"/>
  <c r="Z75" i="56"/>
  <c r="AY74" i="56"/>
  <c r="AW74" i="56"/>
  <c r="AB75" i="56"/>
  <c r="AD75" i="56"/>
  <c r="X79" i="50"/>
  <c r="Y79" i="50" s="1"/>
  <c r="F80" i="50"/>
  <c r="D81" i="50"/>
  <c r="V80" i="50"/>
  <c r="AU72" i="47"/>
  <c r="AL72" i="47"/>
  <c r="AO72" i="47" s="1"/>
  <c r="AL70" i="46"/>
  <c r="AO70" i="46" s="1"/>
  <c r="BA69" i="46"/>
  <c r="AU70" i="46"/>
  <c r="AQ70" i="46"/>
  <c r="X71" i="46"/>
  <c r="AB73" i="47"/>
  <c r="AW72" i="47"/>
  <c r="Z73" i="47"/>
  <c r="AY72" i="47"/>
  <c r="X73" i="47"/>
  <c r="V73" i="47"/>
  <c r="AS73" i="47" s="1"/>
  <c r="AF72" i="47"/>
  <c r="T73" i="47"/>
  <c r="AQ72" i="47"/>
  <c r="BA71" i="47"/>
  <c r="AD73" i="47"/>
  <c r="AB71" i="46"/>
  <c r="AW71" i="46" s="1"/>
  <c r="Z71" i="46"/>
  <c r="AY71" i="46" s="1"/>
  <c r="AD71" i="46"/>
  <c r="V71" i="46"/>
  <c r="AS71" i="46" s="1"/>
  <c r="AF70" i="46"/>
  <c r="T71" i="46"/>
  <c r="H53" i="28"/>
  <c r="F54" i="28"/>
  <c r="E54" i="28"/>
  <c r="G54" i="28"/>
  <c r="I53" i="28"/>
  <c r="D55" i="28"/>
  <c r="H54" i="28" s="1"/>
  <c r="AD76" i="56" l="1"/>
  <c r="BA70" i="55"/>
  <c r="AQ71" i="55"/>
  <c r="T72" i="55"/>
  <c r="AF71" i="55"/>
  <c r="AS71" i="55"/>
  <c r="X72" i="55"/>
  <c r="V72" i="55"/>
  <c r="AW71" i="55"/>
  <c r="AB72" i="55"/>
  <c r="AY71" i="55"/>
  <c r="Z72" i="55"/>
  <c r="AU71" i="55"/>
  <c r="AL71" i="55"/>
  <c r="AO71" i="55" s="1"/>
  <c r="AD72" i="55"/>
  <c r="AY75" i="56"/>
  <c r="Z76" i="56"/>
  <c r="AW75" i="56"/>
  <c r="AB76" i="56"/>
  <c r="BA74" i="56"/>
  <c r="X76" i="56"/>
  <c r="AU76" i="56" s="1"/>
  <c r="V76" i="56"/>
  <c r="AD77" i="56" s="1"/>
  <c r="AS75" i="56"/>
  <c r="AQ75" i="56"/>
  <c r="T76" i="56"/>
  <c r="AF75" i="56"/>
  <c r="V81" i="50"/>
  <c r="D82" i="50"/>
  <c r="X80" i="50"/>
  <c r="Y80" i="50" s="1"/>
  <c r="F81" i="50"/>
  <c r="AU73" i="47"/>
  <c r="AL73" i="47"/>
  <c r="AO73" i="47" s="1"/>
  <c r="AL71" i="46"/>
  <c r="AO71" i="46" s="1"/>
  <c r="BA70" i="46"/>
  <c r="AU71" i="46"/>
  <c r="AQ71" i="46"/>
  <c r="X72" i="46"/>
  <c r="T74" i="47"/>
  <c r="AF73" i="47"/>
  <c r="AQ73" i="47"/>
  <c r="X74" i="47"/>
  <c r="AU74" i="47" s="1"/>
  <c r="V74" i="47"/>
  <c r="AS74" i="47" s="1"/>
  <c r="AD74" i="47"/>
  <c r="Z74" i="47"/>
  <c r="AY73" i="47"/>
  <c r="BA72" i="47"/>
  <c r="AB74" i="47"/>
  <c r="AW73" i="47"/>
  <c r="Z72" i="46"/>
  <c r="AY72" i="46" s="1"/>
  <c r="AB72" i="46"/>
  <c r="AW72" i="46" s="1"/>
  <c r="AD72" i="46"/>
  <c r="AF71" i="46"/>
  <c r="T72" i="46"/>
  <c r="V72" i="46"/>
  <c r="AS72" i="46" s="1"/>
  <c r="F55" i="28"/>
  <c r="E55" i="28"/>
  <c r="G55" i="28"/>
  <c r="I54" i="28" s="1"/>
  <c r="D56" i="28"/>
  <c r="AS72" i="55" l="1"/>
  <c r="V73" i="55"/>
  <c r="X73" i="55"/>
  <c r="AD73" i="55"/>
  <c r="AY72" i="55"/>
  <c r="Z73" i="55"/>
  <c r="AQ72" i="55"/>
  <c r="AF72" i="55"/>
  <c r="T73" i="55"/>
  <c r="BA71" i="55"/>
  <c r="AL72" i="55"/>
  <c r="AO72" i="55" s="1"/>
  <c r="AU72" i="55"/>
  <c r="AW72" i="55"/>
  <c r="AB73" i="55"/>
  <c r="X77" i="56"/>
  <c r="AU77" i="56" s="1"/>
  <c r="V77" i="56"/>
  <c r="AS76" i="56"/>
  <c r="AW76" i="56"/>
  <c r="AB77" i="56"/>
  <c r="AF76" i="56"/>
  <c r="AQ76" i="56"/>
  <c r="T77" i="56"/>
  <c r="BA75" i="56"/>
  <c r="AY76" i="56"/>
  <c r="Z77" i="56"/>
  <c r="F82" i="50"/>
  <c r="X81" i="50"/>
  <c r="Y81" i="50" s="1"/>
  <c r="V82" i="50"/>
  <c r="D83" i="50"/>
  <c r="F6" i="30"/>
  <c r="AL72" i="46"/>
  <c r="AO72" i="46" s="1"/>
  <c r="BA71" i="46"/>
  <c r="AU72" i="46"/>
  <c r="AQ72" i="46"/>
  <c r="X73" i="46"/>
  <c r="AD75" i="47"/>
  <c r="X75" i="47"/>
  <c r="AU75" i="47" s="1"/>
  <c r="V75" i="47"/>
  <c r="AS75" i="47" s="1"/>
  <c r="AB75" i="47"/>
  <c r="AW74" i="47"/>
  <c r="BA73" i="47"/>
  <c r="Z75" i="47"/>
  <c r="AY74" i="47"/>
  <c r="AF74" i="47"/>
  <c r="T75" i="47"/>
  <c r="AQ74" i="47"/>
  <c r="AB73" i="46"/>
  <c r="AW73" i="46" s="1"/>
  <c r="Z73" i="46"/>
  <c r="AY73" i="46" s="1"/>
  <c r="AD73" i="46"/>
  <c r="V73" i="46"/>
  <c r="AS73" i="46" s="1"/>
  <c r="T73" i="46"/>
  <c r="AF72" i="46"/>
  <c r="H55" i="28"/>
  <c r="E56" i="28"/>
  <c r="F56" i="28"/>
  <c r="D57" i="28"/>
  <c r="G56" i="28"/>
  <c r="I55" i="28" s="1"/>
  <c r="BA72" i="55" l="1"/>
  <c r="AW73" i="55"/>
  <c r="AB74" i="55"/>
  <c r="Z74" i="55"/>
  <c r="AY73" i="55"/>
  <c r="AD74" i="55"/>
  <c r="AU73" i="55"/>
  <c r="AL73" i="55"/>
  <c r="AO73" i="55" s="1"/>
  <c r="AO9" i="55" s="1"/>
  <c r="V74" i="55"/>
  <c r="AS73" i="55"/>
  <c r="X74" i="55"/>
  <c r="AU74" i="55" s="1"/>
  <c r="AF73" i="55"/>
  <c r="T74" i="55"/>
  <c r="AQ73" i="55"/>
  <c r="AW77" i="56"/>
  <c r="AB78" i="56"/>
  <c r="AS77" i="56"/>
  <c r="X78" i="56"/>
  <c r="AU78" i="56" s="1"/>
  <c r="V78" i="56"/>
  <c r="Z78" i="56"/>
  <c r="AY77" i="56"/>
  <c r="AF77" i="56"/>
  <c r="AQ77" i="56"/>
  <c r="T78" i="56"/>
  <c r="BA76" i="56"/>
  <c r="AD78" i="56"/>
  <c r="D84" i="50"/>
  <c r="V83" i="50"/>
  <c r="X82" i="50"/>
  <c r="Y82" i="50" s="1"/>
  <c r="F83" i="50"/>
  <c r="Q4" i="30"/>
  <c r="AL73" i="46"/>
  <c r="AO73" i="46" s="1"/>
  <c r="BA72" i="46"/>
  <c r="AU73" i="46"/>
  <c r="AQ73" i="46"/>
  <c r="X74" i="46"/>
  <c r="Z76" i="47"/>
  <c r="AY75" i="47"/>
  <c r="BA74" i="47"/>
  <c r="V76" i="47"/>
  <c r="AS76" i="47" s="1"/>
  <c r="X76" i="47"/>
  <c r="AU76" i="47" s="1"/>
  <c r="AB76" i="47"/>
  <c r="AW75" i="47"/>
  <c r="T76" i="47"/>
  <c r="AF75" i="47"/>
  <c r="AQ75" i="47"/>
  <c r="AD76" i="47"/>
  <c r="Z74" i="46"/>
  <c r="AY74" i="46" s="1"/>
  <c r="AB74" i="46"/>
  <c r="AW74" i="46" s="1"/>
  <c r="AD74" i="46"/>
  <c r="AF73" i="46"/>
  <c r="T74" i="46"/>
  <c r="V74" i="46"/>
  <c r="AS74" i="46" s="1"/>
  <c r="E57" i="28"/>
  <c r="F57" i="28"/>
  <c r="D58" i="28"/>
  <c r="G57" i="28"/>
  <c r="H56" i="28"/>
  <c r="AD79" i="56" l="1"/>
  <c r="AD75" i="55"/>
  <c r="AY74" i="55"/>
  <c r="Z75" i="55"/>
  <c r="AW74" i="55"/>
  <c r="AB75" i="55"/>
  <c r="BA73" i="55"/>
  <c r="AQ74" i="55"/>
  <c r="T75" i="55"/>
  <c r="AF74" i="55"/>
  <c r="AS74" i="55"/>
  <c r="X75" i="55"/>
  <c r="AU75" i="55" s="1"/>
  <c r="V75" i="55"/>
  <c r="AB79" i="56"/>
  <c r="AW78" i="56"/>
  <c r="AF78" i="56"/>
  <c r="AQ78" i="56"/>
  <c r="T79" i="56"/>
  <c r="BA77" i="56"/>
  <c r="AY78" i="56"/>
  <c r="Z79" i="56"/>
  <c r="AS78" i="56"/>
  <c r="X79" i="56"/>
  <c r="AU79" i="56" s="1"/>
  <c r="V79" i="56"/>
  <c r="F84" i="50"/>
  <c r="X83" i="50"/>
  <c r="Y83" i="50" s="1"/>
  <c r="V84" i="50"/>
  <c r="D85" i="50"/>
  <c r="BA73" i="46"/>
  <c r="AU74" i="46"/>
  <c r="AQ74" i="46"/>
  <c r="X75" i="46"/>
  <c r="AF76" i="47"/>
  <c r="T77" i="47"/>
  <c r="AQ76" i="47"/>
  <c r="AD77" i="47"/>
  <c r="AB77" i="47"/>
  <c r="AW76" i="47"/>
  <c r="BA75" i="47"/>
  <c r="X77" i="47"/>
  <c r="AU77" i="47" s="1"/>
  <c r="V77" i="47"/>
  <c r="AS77" i="47" s="1"/>
  <c r="Z77" i="47"/>
  <c r="AY76" i="47"/>
  <c r="AB75" i="46"/>
  <c r="AW75" i="46" s="1"/>
  <c r="Z75" i="46"/>
  <c r="AY75" i="46" s="1"/>
  <c r="AD75" i="46"/>
  <c r="V75" i="46"/>
  <c r="AS75" i="46" s="1"/>
  <c r="AF74" i="46"/>
  <c r="T75" i="46"/>
  <c r="E58" i="28"/>
  <c r="F58" i="28"/>
  <c r="H57" i="28"/>
  <c r="G58" i="28"/>
  <c r="I57" i="28" s="1"/>
  <c r="I56" i="28"/>
  <c r="D59" i="28"/>
  <c r="BA78" i="56" l="1"/>
  <c r="BA74" i="55"/>
  <c r="AQ75" i="55"/>
  <c r="AF75" i="55"/>
  <c r="T76" i="55"/>
  <c r="AB76" i="55"/>
  <c r="AW75" i="55"/>
  <c r="Z76" i="55"/>
  <c r="AY75" i="55"/>
  <c r="X76" i="55"/>
  <c r="AU76" i="55" s="1"/>
  <c r="V76" i="55"/>
  <c r="AS75" i="55"/>
  <c r="AD76" i="55"/>
  <c r="AW79" i="56"/>
  <c r="AB80" i="56"/>
  <c r="AY79" i="56"/>
  <c r="Z80" i="56"/>
  <c r="AS79" i="56"/>
  <c r="X80" i="56"/>
  <c r="AU80" i="56" s="1"/>
  <c r="V80" i="56"/>
  <c r="T80" i="56"/>
  <c r="AQ79" i="56"/>
  <c r="AF79" i="56"/>
  <c r="AD80" i="56"/>
  <c r="AD81" i="56" s="1"/>
  <c r="D86" i="50"/>
  <c r="V85" i="50"/>
  <c r="F85" i="50"/>
  <c r="X84" i="50"/>
  <c r="Y84" i="50" s="1"/>
  <c r="BA74" i="46"/>
  <c r="AU75" i="46"/>
  <c r="X76" i="46"/>
  <c r="AD78" i="47"/>
  <c r="BA76" i="47"/>
  <c r="AB78" i="47"/>
  <c r="AW77" i="47"/>
  <c r="T78" i="47"/>
  <c r="AF77" i="47"/>
  <c r="AQ77" i="47"/>
  <c r="Z78" i="47"/>
  <c r="AY77" i="47"/>
  <c r="X78" i="47"/>
  <c r="AU78" i="47" s="1"/>
  <c r="V78" i="47"/>
  <c r="AS78" i="47" s="1"/>
  <c r="V76" i="46"/>
  <c r="AS76" i="46" s="1"/>
  <c r="AQ75" i="46"/>
  <c r="Z76" i="46"/>
  <c r="AB76" i="46"/>
  <c r="AD76" i="46"/>
  <c r="T76" i="46"/>
  <c r="AF75" i="46"/>
  <c r="E59" i="28"/>
  <c r="F59" i="28"/>
  <c r="G59" i="28"/>
  <c r="I58" i="28" s="1"/>
  <c r="D60" i="28"/>
  <c r="H58" i="28"/>
  <c r="Z77" i="55" l="1"/>
  <c r="AY76" i="55"/>
  <c r="AB77" i="55"/>
  <c r="AW76" i="55"/>
  <c r="AD77" i="55"/>
  <c r="AQ76" i="55"/>
  <c r="T77" i="55"/>
  <c r="AF76" i="55"/>
  <c r="V77" i="55"/>
  <c r="AS76" i="55"/>
  <c r="X77" i="55"/>
  <c r="AU77" i="55" s="1"/>
  <c r="BA75" i="55"/>
  <c r="AY80" i="56"/>
  <c r="Z81" i="56"/>
  <c r="BA79" i="56"/>
  <c r="AQ80" i="56"/>
  <c r="T81" i="56"/>
  <c r="AF80" i="56"/>
  <c r="AS80" i="56"/>
  <c r="V81" i="56"/>
  <c r="X81" i="56"/>
  <c r="AU81" i="56" s="1"/>
  <c r="AW80" i="56"/>
  <c r="AB81" i="56"/>
  <c r="X85" i="50"/>
  <c r="Y85" i="50" s="1"/>
  <c r="F86" i="50"/>
  <c r="D87" i="50"/>
  <c r="V86" i="50"/>
  <c r="BA75" i="46"/>
  <c r="AU76" i="46"/>
  <c r="AQ76" i="46"/>
  <c r="X77" i="46"/>
  <c r="BA77" i="47"/>
  <c r="AF78" i="47"/>
  <c r="T79" i="47"/>
  <c r="AQ78" i="47"/>
  <c r="X79" i="47"/>
  <c r="AU79" i="47" s="1"/>
  <c r="V79" i="47"/>
  <c r="AS79" i="47" s="1"/>
  <c r="AB79" i="47"/>
  <c r="AW78" i="47"/>
  <c r="Z79" i="47"/>
  <c r="AY78" i="47"/>
  <c r="AD79" i="47"/>
  <c r="AB77" i="46"/>
  <c r="AW77" i="46" s="1"/>
  <c r="AW76" i="46"/>
  <c r="Z77" i="46"/>
  <c r="AY77" i="46" s="1"/>
  <c r="AY76" i="46"/>
  <c r="AD77" i="46"/>
  <c r="T77" i="46"/>
  <c r="AF76" i="46"/>
  <c r="V77" i="46"/>
  <c r="AS77" i="46" s="1"/>
  <c r="E60" i="28"/>
  <c r="F60" i="28"/>
  <c r="D61" i="28"/>
  <c r="G60" i="28"/>
  <c r="I59" i="28" s="1"/>
  <c r="H59" i="28"/>
  <c r="BA76" i="55" l="1"/>
  <c r="AF77" i="55"/>
  <c r="AQ77" i="55"/>
  <c r="T78" i="55"/>
  <c r="AD78" i="55"/>
  <c r="AB78" i="55"/>
  <c r="AW77" i="55"/>
  <c r="AS77" i="55"/>
  <c r="V78" i="55"/>
  <c r="X78" i="55"/>
  <c r="AU78" i="55" s="1"/>
  <c r="Z78" i="55"/>
  <c r="AY77" i="55"/>
  <c r="AF81" i="56"/>
  <c r="AQ81" i="56"/>
  <c r="T82" i="56"/>
  <c r="AD82" i="56"/>
  <c r="AY81" i="56"/>
  <c r="Z82" i="56"/>
  <c r="AW81" i="56"/>
  <c r="AB82" i="56"/>
  <c r="BA80" i="56"/>
  <c r="AS81" i="56"/>
  <c r="X82" i="56"/>
  <c r="AU82" i="56" s="1"/>
  <c r="V82" i="56"/>
  <c r="V87" i="50"/>
  <c r="D88" i="50"/>
  <c r="F87" i="50"/>
  <c r="X86" i="50"/>
  <c r="Y86" i="50" s="1"/>
  <c r="AU77" i="46"/>
  <c r="AQ77" i="46"/>
  <c r="X78" i="46"/>
  <c r="AB80" i="47"/>
  <c r="AW79" i="47"/>
  <c r="BA78" i="47"/>
  <c r="Z80" i="47"/>
  <c r="AY79" i="47"/>
  <c r="T80" i="47"/>
  <c r="AF79" i="47"/>
  <c r="AQ79" i="47"/>
  <c r="X80" i="47"/>
  <c r="AU80" i="47" s="1"/>
  <c r="V80" i="47"/>
  <c r="AS80" i="47" s="1"/>
  <c r="AD80" i="47"/>
  <c r="BA76" i="46"/>
  <c r="Z78" i="46"/>
  <c r="AY78" i="46" s="1"/>
  <c r="AB78" i="46"/>
  <c r="AW78" i="46" s="1"/>
  <c r="AD78" i="46"/>
  <c r="V78" i="46"/>
  <c r="AS78" i="46" s="1"/>
  <c r="AF77" i="46"/>
  <c r="T78" i="46"/>
  <c r="H60" i="28"/>
  <c r="F61" i="28"/>
  <c r="E61" i="28"/>
  <c r="G61" i="28"/>
  <c r="D62" i="28"/>
  <c r="AD83" i="56" l="1"/>
  <c r="AB79" i="55"/>
  <c r="AW78" i="55"/>
  <c r="AD79" i="55"/>
  <c r="T79" i="55"/>
  <c r="AQ78" i="55"/>
  <c r="AF78" i="55"/>
  <c r="AY78" i="55"/>
  <c r="Z79" i="55"/>
  <c r="BA77" i="55"/>
  <c r="AS78" i="55"/>
  <c r="X79" i="55"/>
  <c r="AU79" i="55" s="1"/>
  <c r="V79" i="55"/>
  <c r="AF82" i="56"/>
  <c r="AQ82" i="56"/>
  <c r="T83" i="56"/>
  <c r="AW82" i="56"/>
  <c r="AB83" i="56"/>
  <c r="V83" i="56"/>
  <c r="AS82" i="56"/>
  <c r="X83" i="56"/>
  <c r="AU83" i="56" s="1"/>
  <c r="BA81" i="56"/>
  <c r="AY82" i="56"/>
  <c r="Z83" i="56"/>
  <c r="X87" i="50"/>
  <c r="Y87" i="50" s="1"/>
  <c r="F88" i="50"/>
  <c r="D89" i="50"/>
  <c r="V88" i="50"/>
  <c r="BA77" i="46"/>
  <c r="AU78" i="46"/>
  <c r="AQ78" i="46"/>
  <c r="X79" i="46"/>
  <c r="BA79" i="47"/>
  <c r="X81" i="47"/>
  <c r="AU81" i="47" s="1"/>
  <c r="V81" i="47"/>
  <c r="AS81" i="47" s="1"/>
  <c r="AF80" i="47"/>
  <c r="T81" i="47"/>
  <c r="AQ80" i="47"/>
  <c r="Z81" i="47"/>
  <c r="AY80" i="47"/>
  <c r="AD81" i="47"/>
  <c r="AB81" i="47"/>
  <c r="AW80" i="47"/>
  <c r="AB79" i="46"/>
  <c r="AW79" i="46" s="1"/>
  <c r="Z79" i="46"/>
  <c r="AY79" i="46" s="1"/>
  <c r="AD79" i="46"/>
  <c r="AF78" i="46"/>
  <c r="T79" i="46"/>
  <c r="V79" i="46"/>
  <c r="AS79" i="46" s="1"/>
  <c r="F62" i="28"/>
  <c r="E62" i="28"/>
  <c r="G62" i="28"/>
  <c r="I61" i="28" s="1"/>
  <c r="D63" i="28"/>
  <c r="H62" i="28" s="1"/>
  <c r="H61" i="28"/>
  <c r="I60" i="28"/>
  <c r="AD84" i="56" l="1"/>
  <c r="BA78" i="55"/>
  <c r="AY79" i="55"/>
  <c r="Z80" i="55"/>
  <c r="AQ79" i="55"/>
  <c r="T80" i="55"/>
  <c r="AF79" i="55"/>
  <c r="AD80" i="55"/>
  <c r="V80" i="55"/>
  <c r="AS79" i="55"/>
  <c r="X80" i="55"/>
  <c r="AU80" i="55" s="1"/>
  <c r="AW79" i="55"/>
  <c r="AB80" i="55"/>
  <c r="AY83" i="56"/>
  <c r="Z84" i="56"/>
  <c r="AW83" i="56"/>
  <c r="AB84" i="56"/>
  <c r="AS83" i="56"/>
  <c r="X84" i="56"/>
  <c r="AU84" i="56" s="1"/>
  <c r="V84" i="56"/>
  <c r="BA82" i="56"/>
  <c r="T84" i="56"/>
  <c r="AQ83" i="56"/>
  <c r="AF83" i="56"/>
  <c r="V89" i="50"/>
  <c r="D90" i="50"/>
  <c r="X88" i="50"/>
  <c r="Y88" i="50" s="1"/>
  <c r="F89" i="50"/>
  <c r="BA78" i="46"/>
  <c r="AU79" i="46"/>
  <c r="AQ79" i="46"/>
  <c r="X80" i="46"/>
  <c r="Z82" i="47"/>
  <c r="AY81" i="47"/>
  <c r="T82" i="47"/>
  <c r="AF81" i="47"/>
  <c r="AQ81" i="47"/>
  <c r="X82" i="47"/>
  <c r="AU82" i="47" s="1"/>
  <c r="V82" i="47"/>
  <c r="AS82" i="47" s="1"/>
  <c r="BA80" i="47"/>
  <c r="AB82" i="47"/>
  <c r="AW81" i="47"/>
  <c r="AD82" i="47"/>
  <c r="Z80" i="46"/>
  <c r="AY80" i="46" s="1"/>
  <c r="AB80" i="46"/>
  <c r="AW80" i="46" s="1"/>
  <c r="AD80" i="46"/>
  <c r="V80" i="46"/>
  <c r="AS80" i="46" s="1"/>
  <c r="AF79" i="46"/>
  <c r="T80" i="46"/>
  <c r="F63" i="28"/>
  <c r="E63" i="28"/>
  <c r="D64" i="28"/>
  <c r="G63" i="28"/>
  <c r="I62" i="28" s="1"/>
  <c r="BA83" i="56" l="1"/>
  <c r="V81" i="55"/>
  <c r="X81" i="55"/>
  <c r="AU81" i="55" s="1"/>
  <c r="AS80" i="55"/>
  <c r="T81" i="55"/>
  <c r="AQ80" i="55"/>
  <c r="AF80" i="55"/>
  <c r="AB81" i="55"/>
  <c r="AW80" i="55"/>
  <c r="BA79" i="55"/>
  <c r="AD81" i="55"/>
  <c r="AY80" i="55"/>
  <c r="Z81" i="55"/>
  <c r="AS84" i="56"/>
  <c r="X85" i="56"/>
  <c r="AU85" i="56" s="1"/>
  <c r="V85" i="56"/>
  <c r="AY84" i="56"/>
  <c r="Z85" i="56"/>
  <c r="AQ84" i="56"/>
  <c r="T85" i="56"/>
  <c r="AF84" i="56"/>
  <c r="AW84" i="56"/>
  <c r="AB85" i="56"/>
  <c r="AD85" i="56"/>
  <c r="F90" i="50"/>
  <c r="X89" i="50"/>
  <c r="Y89" i="50" s="1"/>
  <c r="V90" i="50"/>
  <c r="D91" i="50"/>
  <c r="BA79" i="46"/>
  <c r="AU80" i="46"/>
  <c r="AQ80" i="46"/>
  <c r="X81" i="46"/>
  <c r="BA81" i="47"/>
  <c r="AF82" i="47"/>
  <c r="T83" i="47"/>
  <c r="AQ82" i="47"/>
  <c r="AD83" i="47"/>
  <c r="X83" i="47"/>
  <c r="AU83" i="47" s="1"/>
  <c r="V83" i="47"/>
  <c r="AS83" i="47" s="1"/>
  <c r="AB83" i="47"/>
  <c r="AW82" i="47"/>
  <c r="Z83" i="47"/>
  <c r="AY82" i="47"/>
  <c r="AB81" i="46"/>
  <c r="AW81" i="46" s="1"/>
  <c r="Z81" i="46"/>
  <c r="AY81" i="46" s="1"/>
  <c r="AD81" i="46"/>
  <c r="AF80" i="46"/>
  <c r="T81" i="46"/>
  <c r="V81" i="46"/>
  <c r="AS81" i="46" s="1"/>
  <c r="E64" i="28"/>
  <c r="F64" i="28"/>
  <c r="D65" i="28"/>
  <c r="G64" i="28"/>
  <c r="I63" i="28" s="1"/>
  <c r="H63" i="28"/>
  <c r="BA84" i="56" l="1"/>
  <c r="AB82" i="55"/>
  <c r="AW81" i="55"/>
  <c r="BA80" i="55"/>
  <c r="T82" i="55"/>
  <c r="AQ81" i="55"/>
  <c r="AF81" i="55"/>
  <c r="Z82" i="55"/>
  <c r="AY81" i="55"/>
  <c r="AD82" i="55"/>
  <c r="AS81" i="55"/>
  <c r="V82" i="55"/>
  <c r="X82" i="55"/>
  <c r="AU82" i="55" s="1"/>
  <c r="T86" i="56"/>
  <c r="AF85" i="56"/>
  <c r="AQ85" i="56"/>
  <c r="AY85" i="56"/>
  <c r="Z86" i="56"/>
  <c r="AW85" i="56"/>
  <c r="AB86" i="56"/>
  <c r="AS85" i="56"/>
  <c r="X86" i="56"/>
  <c r="AU86" i="56" s="1"/>
  <c r="V86" i="56"/>
  <c r="AD86" i="56"/>
  <c r="D92" i="50"/>
  <c r="V91" i="50"/>
  <c r="X90" i="50"/>
  <c r="Y90" i="50" s="1"/>
  <c r="F91" i="50"/>
  <c r="BA80" i="46"/>
  <c r="AU81" i="46"/>
  <c r="AQ81" i="46"/>
  <c r="X82" i="46"/>
  <c r="BA82" i="47"/>
  <c r="X84" i="47"/>
  <c r="AU84" i="47" s="1"/>
  <c r="V84" i="47"/>
  <c r="AS84" i="47" s="1"/>
  <c r="AB84" i="47"/>
  <c r="AW83" i="47"/>
  <c r="Z84" i="47"/>
  <c r="AY83" i="47"/>
  <c r="T84" i="47"/>
  <c r="AF83" i="47"/>
  <c r="AQ83" i="47"/>
  <c r="AD84" i="47"/>
  <c r="Z82" i="46"/>
  <c r="AY82" i="46" s="1"/>
  <c r="AB82" i="46"/>
  <c r="AW82" i="46" s="1"/>
  <c r="AD82" i="46"/>
  <c r="AF81" i="46"/>
  <c r="T82" i="46"/>
  <c r="V82" i="46"/>
  <c r="AS82" i="46" s="1"/>
  <c r="E65" i="28"/>
  <c r="F65" i="28"/>
  <c r="H64" i="28"/>
  <c r="G65" i="28"/>
  <c r="I64" i="28" s="1"/>
  <c r="D66" i="28"/>
  <c r="BA81" i="55" l="1"/>
  <c r="T83" i="55"/>
  <c r="AQ82" i="55"/>
  <c r="AF82" i="55"/>
  <c r="AS82" i="55"/>
  <c r="X83" i="55"/>
  <c r="AU83" i="55" s="1"/>
  <c r="V83" i="55"/>
  <c r="Z83" i="55"/>
  <c r="AY82" i="55"/>
  <c r="AD83" i="55"/>
  <c r="AB83" i="55"/>
  <c r="AW82" i="55"/>
  <c r="BA85" i="56"/>
  <c r="AB87" i="56"/>
  <c r="AW86" i="56"/>
  <c r="AF86" i="56"/>
  <c r="AQ86" i="56"/>
  <c r="T87" i="56"/>
  <c r="AY86" i="56"/>
  <c r="Z87" i="56"/>
  <c r="AD87" i="56"/>
  <c r="AS86" i="56"/>
  <c r="X87" i="56"/>
  <c r="AU87" i="56" s="1"/>
  <c r="V87" i="56"/>
  <c r="F92" i="50"/>
  <c r="X91" i="50"/>
  <c r="Y91" i="50" s="1"/>
  <c r="V92" i="50"/>
  <c r="D93" i="50"/>
  <c r="BA81" i="46"/>
  <c r="AU82" i="46"/>
  <c r="AQ82" i="46"/>
  <c r="X83" i="46"/>
  <c r="AF84" i="47"/>
  <c r="T85" i="47"/>
  <c r="AQ84" i="47"/>
  <c r="Z85" i="47"/>
  <c r="AY84" i="47"/>
  <c r="AB85" i="47"/>
  <c r="AW84" i="47"/>
  <c r="X85" i="47"/>
  <c r="AU85" i="47" s="1"/>
  <c r="V85" i="47"/>
  <c r="AS85" i="47" s="1"/>
  <c r="AD85" i="47"/>
  <c r="BA83" i="47"/>
  <c r="AB83" i="46"/>
  <c r="AW83" i="46" s="1"/>
  <c r="Z83" i="46"/>
  <c r="AY83" i="46" s="1"/>
  <c r="AD83" i="46"/>
  <c r="V83" i="46"/>
  <c r="AS83" i="46" s="1"/>
  <c r="T83" i="46"/>
  <c r="AF82" i="46"/>
  <c r="E66" i="28"/>
  <c r="F66" i="28"/>
  <c r="D67" i="28"/>
  <c r="H66" i="28" s="1"/>
  <c r="G66" i="28"/>
  <c r="H65" i="28"/>
  <c r="BA86" i="56" l="1"/>
  <c r="V84" i="55"/>
  <c r="X84" i="55"/>
  <c r="AU84" i="55" s="1"/>
  <c r="AS83" i="55"/>
  <c r="AY83" i="55"/>
  <c r="Z84" i="55"/>
  <c r="AW83" i="55"/>
  <c r="AB84" i="55"/>
  <c r="BA82" i="55"/>
  <c r="AD84" i="55"/>
  <c r="T84" i="55"/>
  <c r="AF83" i="55"/>
  <c r="AQ83" i="55"/>
  <c r="AD88" i="56"/>
  <c r="AY87" i="56"/>
  <c r="Z88" i="56"/>
  <c r="X88" i="56"/>
  <c r="AU88" i="56" s="1"/>
  <c r="V88" i="56"/>
  <c r="AS87" i="56"/>
  <c r="AW87" i="56"/>
  <c r="AB88" i="56"/>
  <c r="AQ87" i="56"/>
  <c r="T88" i="56"/>
  <c r="AF87" i="56"/>
  <c r="F93" i="50"/>
  <c r="X92" i="50"/>
  <c r="Y92" i="50" s="1"/>
  <c r="D94" i="50"/>
  <c r="V93" i="50"/>
  <c r="BA82" i="46"/>
  <c r="AU83" i="46"/>
  <c r="AQ83" i="46"/>
  <c r="X84" i="46"/>
  <c r="AB86" i="47"/>
  <c r="AW85" i="47"/>
  <c r="BA84" i="47"/>
  <c r="Z86" i="47"/>
  <c r="AY85" i="47"/>
  <c r="AD86" i="47"/>
  <c r="T86" i="47"/>
  <c r="AF85" i="47"/>
  <c r="AQ85" i="47"/>
  <c r="X86" i="47"/>
  <c r="AU86" i="47" s="1"/>
  <c r="V86" i="47"/>
  <c r="AS86" i="47" s="1"/>
  <c r="Z84" i="46"/>
  <c r="AY84" i="46" s="1"/>
  <c r="AB84" i="46"/>
  <c r="AW84" i="46" s="1"/>
  <c r="AD84" i="46"/>
  <c r="T84" i="46"/>
  <c r="AF83" i="46"/>
  <c r="V84" i="46"/>
  <c r="AS84" i="46" s="1"/>
  <c r="E67" i="28"/>
  <c r="F67" i="28"/>
  <c r="G67" i="28"/>
  <c r="D68" i="28"/>
  <c r="H67" i="28" s="1"/>
  <c r="I65" i="28"/>
  <c r="AY84" i="55" l="1"/>
  <c r="Z85" i="55"/>
  <c r="BA83" i="55"/>
  <c r="AW84" i="55"/>
  <c r="AB85" i="55"/>
  <c r="AF84" i="55"/>
  <c r="AQ84" i="55"/>
  <c r="T85" i="55"/>
  <c r="AD85" i="55"/>
  <c r="AS84" i="55"/>
  <c r="V85" i="55"/>
  <c r="X85" i="55"/>
  <c r="AU85" i="55" s="1"/>
  <c r="BA87" i="56"/>
  <c r="AW88" i="56"/>
  <c r="AB89" i="56"/>
  <c r="Z89" i="56"/>
  <c r="AY88" i="56"/>
  <c r="X89" i="56"/>
  <c r="AU89" i="56" s="1"/>
  <c r="AS88" i="56"/>
  <c r="V89" i="56"/>
  <c r="AF88" i="56"/>
  <c r="AQ88" i="56"/>
  <c r="T89" i="56"/>
  <c r="AD89" i="56"/>
  <c r="D95" i="50"/>
  <c r="V94" i="50"/>
  <c r="X93" i="50"/>
  <c r="Y93" i="50" s="1"/>
  <c r="F94" i="50"/>
  <c r="BA83" i="46"/>
  <c r="AU84" i="46"/>
  <c r="AQ84" i="46"/>
  <c r="X85" i="46"/>
  <c r="AD87" i="47"/>
  <c r="X87" i="47"/>
  <c r="AU87" i="47" s="1"/>
  <c r="V87" i="47"/>
  <c r="AS87" i="47" s="1"/>
  <c r="AF86" i="47"/>
  <c r="T87" i="47"/>
  <c r="AQ86" i="47"/>
  <c r="Z87" i="47"/>
  <c r="AY86" i="47"/>
  <c r="BA85" i="47"/>
  <c r="AB87" i="47"/>
  <c r="AW86" i="47"/>
  <c r="AB85" i="46"/>
  <c r="AW85" i="46" s="1"/>
  <c r="Z85" i="46"/>
  <c r="AY85" i="46" s="1"/>
  <c r="AD85" i="46"/>
  <c r="V85" i="46"/>
  <c r="AS85" i="46" s="1"/>
  <c r="AF84" i="46"/>
  <c r="T85" i="46"/>
  <c r="E68" i="28"/>
  <c r="F68" i="28"/>
  <c r="G68" i="28"/>
  <c r="I67" i="28" s="1"/>
  <c r="D69" i="28"/>
  <c r="I66" i="28"/>
  <c r="AD90" i="56" l="1"/>
  <c r="BA84" i="55"/>
  <c r="T86" i="55"/>
  <c r="AF85" i="55"/>
  <c r="AQ85" i="55"/>
  <c r="AB86" i="55"/>
  <c r="AW85" i="55"/>
  <c r="V86" i="55"/>
  <c r="AS85" i="55"/>
  <c r="X86" i="55"/>
  <c r="AU86" i="55" s="1"/>
  <c r="AY85" i="55"/>
  <c r="Z86" i="55"/>
  <c r="AD86" i="55"/>
  <c r="AY89" i="56"/>
  <c r="Z90" i="56"/>
  <c r="AF89" i="56"/>
  <c r="AQ89" i="56"/>
  <c r="T90" i="56"/>
  <c r="AW89" i="56"/>
  <c r="AB90" i="56"/>
  <c r="BA88" i="56"/>
  <c r="X90" i="56"/>
  <c r="AU90" i="56" s="1"/>
  <c r="V90" i="56"/>
  <c r="AS89" i="56"/>
  <c r="F95" i="50"/>
  <c r="X94" i="50"/>
  <c r="Y94" i="50" s="1"/>
  <c r="V95" i="50"/>
  <c r="D96" i="50"/>
  <c r="BA84" i="46"/>
  <c r="AU85" i="46"/>
  <c r="AQ85" i="46"/>
  <c r="X86" i="46"/>
  <c r="Z88" i="47"/>
  <c r="AY87" i="47"/>
  <c r="V88" i="47"/>
  <c r="AS88" i="47" s="1"/>
  <c r="X88" i="47"/>
  <c r="AU88" i="47" s="1"/>
  <c r="T88" i="47"/>
  <c r="AF87" i="47"/>
  <c r="AQ87" i="47"/>
  <c r="AB88" i="47"/>
  <c r="AW87" i="47"/>
  <c r="BA86" i="47"/>
  <c r="AD88" i="47"/>
  <c r="Z86" i="46"/>
  <c r="AY86" i="46" s="1"/>
  <c r="AB86" i="46"/>
  <c r="AW86" i="46" s="1"/>
  <c r="AD86" i="46"/>
  <c r="AF85" i="46"/>
  <c r="T86" i="46"/>
  <c r="V86" i="46"/>
  <c r="AS86" i="46" s="1"/>
  <c r="F69" i="28"/>
  <c r="E69" i="28"/>
  <c r="D70" i="28"/>
  <c r="H69" i="28" s="1"/>
  <c r="G69" i="28"/>
  <c r="I68" i="28" s="1"/>
  <c r="H68" i="28"/>
  <c r="AB87" i="55" l="1"/>
  <c r="AW86" i="55"/>
  <c r="AD87" i="55"/>
  <c r="BA85" i="55"/>
  <c r="AS86" i="55"/>
  <c r="X87" i="55"/>
  <c r="AU87" i="55" s="1"/>
  <c r="V87" i="55"/>
  <c r="Z87" i="55"/>
  <c r="AY86" i="55"/>
  <c r="AF86" i="55"/>
  <c r="AQ86" i="55"/>
  <c r="T87" i="55"/>
  <c r="AB91" i="56"/>
  <c r="AW90" i="56"/>
  <c r="AF90" i="56"/>
  <c r="AQ90" i="56"/>
  <c r="T91" i="56"/>
  <c r="V91" i="56"/>
  <c r="X91" i="56"/>
  <c r="AU91" i="56" s="1"/>
  <c r="AS90" i="56"/>
  <c r="AY90" i="56"/>
  <c r="Z91" i="56"/>
  <c r="BA89" i="56"/>
  <c r="AD91" i="56"/>
  <c r="D97" i="50"/>
  <c r="V96" i="50"/>
  <c r="X95" i="50"/>
  <c r="Y95" i="50" s="1"/>
  <c r="F96" i="50"/>
  <c r="BA85" i="46"/>
  <c r="AU86" i="46"/>
  <c r="AQ86" i="46"/>
  <c r="X87" i="46"/>
  <c r="BA87" i="47"/>
  <c r="AB89" i="47"/>
  <c r="AW88" i="47"/>
  <c r="X89" i="47"/>
  <c r="AU89" i="47" s="1"/>
  <c r="V89" i="47"/>
  <c r="AS89" i="47" s="1"/>
  <c r="AF88" i="47"/>
  <c r="T89" i="47"/>
  <c r="AQ88" i="47"/>
  <c r="AD89" i="47"/>
  <c r="Z89" i="47"/>
  <c r="AY88" i="47"/>
  <c r="AB87" i="46"/>
  <c r="AW87" i="46" s="1"/>
  <c r="Z87" i="46"/>
  <c r="AY87" i="46" s="1"/>
  <c r="AD87" i="46"/>
  <c r="V87" i="46"/>
  <c r="AS87" i="46" s="1"/>
  <c r="T87" i="46"/>
  <c r="AF86" i="46"/>
  <c r="F70" i="28"/>
  <c r="E70" i="28"/>
  <c r="G70" i="28"/>
  <c r="D71" i="28"/>
  <c r="AD92" i="56" l="1"/>
  <c r="BA90" i="56"/>
  <c r="V88" i="55"/>
  <c r="X88" i="55"/>
  <c r="AU88" i="55" s="1"/>
  <c r="AS87" i="55"/>
  <c r="Z88" i="55"/>
  <c r="AY87" i="55"/>
  <c r="BA86" i="55"/>
  <c r="AD88" i="55"/>
  <c r="AF87" i="55"/>
  <c r="AQ87" i="55"/>
  <c r="T88" i="55"/>
  <c r="AW87" i="55"/>
  <c r="AB88" i="55"/>
  <c r="AS91" i="56"/>
  <c r="X92" i="56"/>
  <c r="AU92" i="56" s="1"/>
  <c r="V92" i="56"/>
  <c r="T92" i="56"/>
  <c r="AF91" i="56"/>
  <c r="AQ91" i="56"/>
  <c r="AY91" i="56"/>
  <c r="Z92" i="56"/>
  <c r="AW91" i="56"/>
  <c r="AB92" i="56"/>
  <c r="X96" i="50"/>
  <c r="Y96" i="50" s="1"/>
  <c r="F97" i="50"/>
  <c r="V97" i="50"/>
  <c r="D98" i="50"/>
  <c r="BA86" i="46"/>
  <c r="AU87" i="46"/>
  <c r="AQ87" i="46"/>
  <c r="X88" i="46"/>
  <c r="BA88" i="47"/>
  <c r="AD90" i="47"/>
  <c r="T90" i="47"/>
  <c r="AF89" i="47"/>
  <c r="AQ89" i="47"/>
  <c r="X90" i="47"/>
  <c r="AU90" i="47" s="1"/>
  <c r="V90" i="47"/>
  <c r="AS90" i="47" s="1"/>
  <c r="Z90" i="47"/>
  <c r="AY89" i="47"/>
  <c r="AB90" i="47"/>
  <c r="AW89" i="47"/>
  <c r="Z88" i="46"/>
  <c r="AY88" i="46" s="1"/>
  <c r="AB88" i="46"/>
  <c r="AW88" i="46" s="1"/>
  <c r="AD88" i="46"/>
  <c r="T88" i="46"/>
  <c r="AF87" i="46"/>
  <c r="V88" i="46"/>
  <c r="AS88" i="46" s="1"/>
  <c r="F71" i="28"/>
  <c r="E71" i="28"/>
  <c r="D72" i="28"/>
  <c r="G71" i="28"/>
  <c r="H70" i="28"/>
  <c r="I69" i="28"/>
  <c r="AD89" i="55" l="1"/>
  <c r="Z89" i="55"/>
  <c r="AY88" i="55"/>
  <c r="AB89" i="55"/>
  <c r="AW88" i="55"/>
  <c r="T89" i="55"/>
  <c r="AF88" i="55"/>
  <c r="AQ88" i="55"/>
  <c r="BA87" i="55"/>
  <c r="X89" i="55"/>
  <c r="AU89" i="55" s="1"/>
  <c r="AS88" i="55"/>
  <c r="V89" i="55"/>
  <c r="AQ92" i="56"/>
  <c r="AF92" i="56"/>
  <c r="T93" i="56"/>
  <c r="AW92" i="56"/>
  <c r="AB93" i="56"/>
  <c r="AS92" i="56"/>
  <c r="V93" i="56"/>
  <c r="X93" i="56"/>
  <c r="AU93" i="56" s="1"/>
  <c r="BA91" i="56"/>
  <c r="AY92" i="56"/>
  <c r="Z93" i="56"/>
  <c r="AD93" i="56"/>
  <c r="V98" i="50"/>
  <c r="D99" i="50"/>
  <c r="F98" i="50"/>
  <c r="X97" i="50"/>
  <c r="Y97" i="50" s="1"/>
  <c r="BA87" i="46"/>
  <c r="AU88" i="46"/>
  <c r="AQ88" i="46"/>
  <c r="X89" i="46"/>
  <c r="V91" i="47"/>
  <c r="AS91" i="47" s="1"/>
  <c r="X91" i="47"/>
  <c r="AU91" i="47" s="1"/>
  <c r="AF90" i="47"/>
  <c r="T91" i="47"/>
  <c r="AQ90" i="47"/>
  <c r="Z91" i="47"/>
  <c r="AY90" i="47"/>
  <c r="BA89" i="47"/>
  <c r="AB91" i="47"/>
  <c r="AW90" i="47"/>
  <c r="AD91" i="47"/>
  <c r="AB89" i="46"/>
  <c r="AW89" i="46" s="1"/>
  <c r="Z89" i="46"/>
  <c r="AY89" i="46" s="1"/>
  <c r="AD89" i="46"/>
  <c r="V89" i="46"/>
  <c r="AS89" i="46" s="1"/>
  <c r="T89" i="46"/>
  <c r="AF88" i="46"/>
  <c r="H71" i="28"/>
  <c r="E72" i="28"/>
  <c r="F72" i="28"/>
  <c r="D73" i="28"/>
  <c r="H72" i="28" s="1"/>
  <c r="G72" i="28"/>
  <c r="I70" i="28"/>
  <c r="AD90" i="55" l="1"/>
  <c r="AD94" i="56"/>
  <c r="BA88" i="55"/>
  <c r="AF89" i="55"/>
  <c r="AQ89" i="55"/>
  <c r="T90" i="55"/>
  <c r="X90" i="55"/>
  <c r="AU90" i="55" s="1"/>
  <c r="V90" i="55"/>
  <c r="AS89" i="55"/>
  <c r="AW89" i="55"/>
  <c r="AB90" i="55"/>
  <c r="Z90" i="55"/>
  <c r="AY89" i="55"/>
  <c r="AS93" i="56"/>
  <c r="X94" i="56"/>
  <c r="AU94" i="56" s="1"/>
  <c r="V94" i="56"/>
  <c r="AF93" i="56"/>
  <c r="AQ93" i="56"/>
  <c r="T94" i="56"/>
  <c r="Z94" i="56"/>
  <c r="AY93" i="56"/>
  <c r="AB94" i="56"/>
  <c r="AW93" i="56"/>
  <c r="BA92" i="56"/>
  <c r="X98" i="50"/>
  <c r="Y98" i="50" s="1"/>
  <c r="F99" i="50"/>
  <c r="D100" i="50"/>
  <c r="V99" i="50"/>
  <c r="BA88" i="46"/>
  <c r="AU89" i="46"/>
  <c r="AQ89" i="46"/>
  <c r="X90" i="46"/>
  <c r="Z92" i="47"/>
  <c r="AY91" i="47"/>
  <c r="BA90" i="47"/>
  <c r="AD92" i="47"/>
  <c r="T92" i="47"/>
  <c r="AF91" i="47"/>
  <c r="AQ91" i="47"/>
  <c r="AB92" i="47"/>
  <c r="AW91" i="47"/>
  <c r="X92" i="47"/>
  <c r="AU92" i="47" s="1"/>
  <c r="V92" i="47"/>
  <c r="AS92" i="47" s="1"/>
  <c r="Z90" i="46"/>
  <c r="AY90" i="46" s="1"/>
  <c r="AB90" i="46"/>
  <c r="AW90" i="46" s="1"/>
  <c r="AD90" i="46"/>
  <c r="T90" i="46"/>
  <c r="AF89" i="46"/>
  <c r="V90" i="46"/>
  <c r="AS90" i="46" s="1"/>
  <c r="E73" i="28"/>
  <c r="F73" i="28"/>
  <c r="G73" i="28"/>
  <c r="D74" i="28"/>
  <c r="H73" i="28" s="1"/>
  <c r="I71" i="28"/>
  <c r="AQ90" i="55" l="1"/>
  <c r="T91" i="55"/>
  <c r="AF90" i="55"/>
  <c r="V91" i="55"/>
  <c r="AS90" i="55"/>
  <c r="X91" i="55"/>
  <c r="AU91" i="55" s="1"/>
  <c r="BA89" i="55"/>
  <c r="Z91" i="55"/>
  <c r="AY90" i="55"/>
  <c r="AW90" i="55"/>
  <c r="AB91" i="55"/>
  <c r="AD91" i="55"/>
  <c r="AQ94" i="56"/>
  <c r="T95" i="56"/>
  <c r="AF94" i="56"/>
  <c r="BA93" i="56"/>
  <c r="AW94" i="56"/>
  <c r="AB95" i="56"/>
  <c r="AY94" i="56"/>
  <c r="Z95" i="56"/>
  <c r="AD95" i="56"/>
  <c r="AS94" i="56"/>
  <c r="X95" i="56"/>
  <c r="AU95" i="56" s="1"/>
  <c r="V95" i="56"/>
  <c r="V100" i="50"/>
  <c r="D101" i="50"/>
  <c r="F100" i="50"/>
  <c r="X99" i="50"/>
  <c r="Y99" i="50" s="1"/>
  <c r="BA89" i="46"/>
  <c r="AU90" i="46"/>
  <c r="AQ90" i="46"/>
  <c r="X91" i="46"/>
  <c r="BA91" i="47"/>
  <c r="AF92" i="47"/>
  <c r="T93" i="47"/>
  <c r="AQ92" i="47"/>
  <c r="AB93" i="47"/>
  <c r="AW92" i="47"/>
  <c r="X93" i="47"/>
  <c r="AU93" i="47" s="1"/>
  <c r="V93" i="47"/>
  <c r="AS93" i="47" s="1"/>
  <c r="AD93" i="47"/>
  <c r="Z93" i="47"/>
  <c r="AY92" i="47"/>
  <c r="AB91" i="46"/>
  <c r="AW91" i="46" s="1"/>
  <c r="Z91" i="46"/>
  <c r="AY91" i="46" s="1"/>
  <c r="V91" i="46"/>
  <c r="AS91" i="46" s="1"/>
  <c r="AD91" i="46"/>
  <c r="AF90" i="46"/>
  <c r="T91" i="46"/>
  <c r="E74" i="28"/>
  <c r="F74" i="28"/>
  <c r="G74" i="28"/>
  <c r="I73" i="28" s="1"/>
  <c r="I72" i="28"/>
  <c r="D75" i="28"/>
  <c r="BA94" i="56" l="1"/>
  <c r="AD92" i="55"/>
  <c r="AS91" i="55"/>
  <c r="V92" i="55"/>
  <c r="X92" i="55"/>
  <c r="AU92" i="55" s="1"/>
  <c r="AY91" i="55"/>
  <c r="Z92" i="55"/>
  <c r="AW91" i="55"/>
  <c r="AB92" i="55"/>
  <c r="AF91" i="55"/>
  <c r="AQ91" i="55"/>
  <c r="T92" i="55"/>
  <c r="BA90" i="55"/>
  <c r="AS95" i="56"/>
  <c r="X96" i="56"/>
  <c r="AU96" i="56" s="1"/>
  <c r="V96" i="56"/>
  <c r="T96" i="56"/>
  <c r="AF95" i="56"/>
  <c r="AQ95" i="56"/>
  <c r="AW95" i="56"/>
  <c r="AB96" i="56"/>
  <c r="AD96" i="56"/>
  <c r="AY95" i="56"/>
  <c r="Z96" i="56"/>
  <c r="F101" i="50"/>
  <c r="X100" i="50"/>
  <c r="Y100" i="50" s="1"/>
  <c r="D102" i="50"/>
  <c r="V101" i="50"/>
  <c r="BA90" i="46"/>
  <c r="AU91" i="46"/>
  <c r="AQ91" i="46"/>
  <c r="X92" i="46"/>
  <c r="AD94" i="47"/>
  <c r="BA92" i="47"/>
  <c r="X94" i="47"/>
  <c r="AU94" i="47" s="1"/>
  <c r="V94" i="47"/>
  <c r="AS94" i="47" s="1"/>
  <c r="AB94" i="47"/>
  <c r="AW93" i="47"/>
  <c r="T94" i="47"/>
  <c r="AF93" i="47"/>
  <c r="AQ93" i="47"/>
  <c r="Z94" i="47"/>
  <c r="AY93" i="47"/>
  <c r="Z92" i="46"/>
  <c r="AY92" i="46" s="1"/>
  <c r="AB92" i="46"/>
  <c r="AW92" i="46" s="1"/>
  <c r="AD92" i="46"/>
  <c r="AF91" i="46"/>
  <c r="T92" i="46"/>
  <c r="V92" i="46"/>
  <c r="AS92" i="46" s="1"/>
  <c r="E75" i="28"/>
  <c r="F75" i="28"/>
  <c r="D76" i="28"/>
  <c r="H74" i="28"/>
  <c r="G75" i="28"/>
  <c r="I74" i="28" s="1"/>
  <c r="AD97" i="56" l="1"/>
  <c r="BA95" i="56"/>
  <c r="AW92" i="55"/>
  <c r="AB93" i="55"/>
  <c r="AQ92" i="55"/>
  <c r="AF92" i="55"/>
  <c r="T93" i="55"/>
  <c r="AS92" i="55"/>
  <c r="V93" i="55"/>
  <c r="X93" i="55"/>
  <c r="AU93" i="55" s="1"/>
  <c r="BA91" i="55"/>
  <c r="Z93" i="55"/>
  <c r="AY92" i="55"/>
  <c r="AD93" i="55"/>
  <c r="AF96" i="56"/>
  <c r="AQ96" i="56"/>
  <c r="T97" i="56"/>
  <c r="AS96" i="56"/>
  <c r="X97" i="56"/>
  <c r="AU97" i="56" s="1"/>
  <c r="V97" i="56"/>
  <c r="AW96" i="56"/>
  <c r="AB97" i="56"/>
  <c r="Z97" i="56"/>
  <c r="AY96" i="56"/>
  <c r="D103" i="50"/>
  <c r="V102" i="50"/>
  <c r="X101" i="50"/>
  <c r="Y101" i="50" s="1"/>
  <c r="F102" i="50"/>
  <c r="BA91" i="46"/>
  <c r="AU92" i="46"/>
  <c r="AQ92" i="46"/>
  <c r="X93" i="46"/>
  <c r="AF94" i="47"/>
  <c r="T95" i="47"/>
  <c r="AQ94" i="47"/>
  <c r="X95" i="47"/>
  <c r="AU95" i="47" s="1"/>
  <c r="V95" i="47"/>
  <c r="AS95" i="47" s="1"/>
  <c r="Z95" i="47"/>
  <c r="AY94" i="47"/>
  <c r="AB95" i="47"/>
  <c r="AW94" i="47"/>
  <c r="BA93" i="47"/>
  <c r="AD95" i="47"/>
  <c r="AB93" i="46"/>
  <c r="AW93" i="46" s="1"/>
  <c r="Z93" i="46"/>
  <c r="AY93" i="46" s="1"/>
  <c r="AD93" i="46"/>
  <c r="V93" i="46"/>
  <c r="AS93" i="46" s="1"/>
  <c r="T93" i="46"/>
  <c r="AF92" i="46"/>
  <c r="H75" i="28"/>
  <c r="E76" i="28"/>
  <c r="F76" i="28"/>
  <c r="D77" i="28"/>
  <c r="H76" i="28" s="1"/>
  <c r="G76" i="28"/>
  <c r="I75" i="28" s="1"/>
  <c r="V94" i="55" l="1"/>
  <c r="X94" i="55"/>
  <c r="AU94" i="55" s="1"/>
  <c r="AS93" i="55"/>
  <c r="T94" i="55"/>
  <c r="AQ93" i="55"/>
  <c r="AF93" i="55"/>
  <c r="AD94" i="55"/>
  <c r="BA92" i="55"/>
  <c r="AY93" i="55"/>
  <c r="Z94" i="55"/>
  <c r="AB94" i="55"/>
  <c r="AW93" i="55"/>
  <c r="AB98" i="56"/>
  <c r="AW97" i="56"/>
  <c r="AF97" i="56"/>
  <c r="AQ97" i="56"/>
  <c r="T98" i="56"/>
  <c r="BA96" i="56"/>
  <c r="V98" i="56"/>
  <c r="AS97" i="56"/>
  <c r="X98" i="56"/>
  <c r="AU98" i="56" s="1"/>
  <c r="Z98" i="56"/>
  <c r="AY97" i="56"/>
  <c r="AD98" i="56"/>
  <c r="F103" i="50"/>
  <c r="X102" i="50"/>
  <c r="Y102" i="50" s="1"/>
  <c r="V103" i="50"/>
  <c r="D104" i="50"/>
  <c r="BA92" i="46"/>
  <c r="AU93" i="46"/>
  <c r="AQ93" i="46"/>
  <c r="X94" i="46"/>
  <c r="AB96" i="47"/>
  <c r="AW95" i="47"/>
  <c r="BA94" i="47"/>
  <c r="V96" i="47"/>
  <c r="AS96" i="47" s="1"/>
  <c r="X96" i="47"/>
  <c r="AU96" i="47" s="1"/>
  <c r="T96" i="47"/>
  <c r="AF95" i="47"/>
  <c r="AQ95" i="47"/>
  <c r="Z96" i="47"/>
  <c r="AY95" i="47"/>
  <c r="AD96" i="47"/>
  <c r="Z94" i="46"/>
  <c r="AY94" i="46" s="1"/>
  <c r="AB94" i="46"/>
  <c r="AW94" i="46" s="1"/>
  <c r="AD94" i="46"/>
  <c r="V94" i="46"/>
  <c r="AS94" i="46" s="1"/>
  <c r="AF93" i="46"/>
  <c r="T94" i="46"/>
  <c r="F77" i="28"/>
  <c r="E77" i="28"/>
  <c r="G77" i="28"/>
  <c r="D78" i="28"/>
  <c r="H77" i="28" s="1"/>
  <c r="AD95" i="55" l="1"/>
  <c r="AD99" i="56"/>
  <c r="BA93" i="55"/>
  <c r="T95" i="55"/>
  <c r="AF94" i="55"/>
  <c r="AQ94" i="55"/>
  <c r="AB95" i="55"/>
  <c r="AW94" i="55"/>
  <c r="Z95" i="55"/>
  <c r="AY94" i="55"/>
  <c r="V95" i="55"/>
  <c r="X95" i="55"/>
  <c r="AU95" i="55" s="1"/>
  <c r="AS94" i="55"/>
  <c r="V99" i="56"/>
  <c r="AS98" i="56"/>
  <c r="X99" i="56"/>
  <c r="AU99" i="56" s="1"/>
  <c r="BA97" i="56"/>
  <c r="AW98" i="56"/>
  <c r="AB99" i="56"/>
  <c r="AF98" i="56"/>
  <c r="AQ98" i="56"/>
  <c r="T99" i="56"/>
  <c r="AY98" i="56"/>
  <c r="Z99" i="56"/>
  <c r="D105" i="50"/>
  <c r="V104" i="50"/>
  <c r="X103" i="50"/>
  <c r="Y103" i="50" s="1"/>
  <c r="F104" i="50"/>
  <c r="BA93" i="46"/>
  <c r="AU94" i="46"/>
  <c r="AQ94" i="46"/>
  <c r="X95" i="46"/>
  <c r="BA95" i="47"/>
  <c r="AD97" i="47"/>
  <c r="T97" i="47"/>
  <c r="AF96" i="47"/>
  <c r="AQ96" i="47"/>
  <c r="X97" i="47"/>
  <c r="AU97" i="47" s="1"/>
  <c r="V97" i="47"/>
  <c r="AS97" i="47" s="1"/>
  <c r="Z97" i="47"/>
  <c r="AY96" i="47"/>
  <c r="AB97" i="47"/>
  <c r="AW96" i="47"/>
  <c r="AB95" i="46"/>
  <c r="AW95" i="46" s="1"/>
  <c r="Z95" i="46"/>
  <c r="AY95" i="46" s="1"/>
  <c r="AD95" i="46"/>
  <c r="T95" i="46"/>
  <c r="AF94" i="46"/>
  <c r="V95" i="46"/>
  <c r="AS95" i="46" s="1"/>
  <c r="F78" i="28"/>
  <c r="E78" i="28"/>
  <c r="D79" i="28"/>
  <c r="H78" i="28" s="1"/>
  <c r="G78" i="28"/>
  <c r="I77" i="28" s="1"/>
  <c r="I76" i="28"/>
  <c r="AY95" i="55" l="1"/>
  <c r="Z96" i="55"/>
  <c r="AW95" i="55"/>
  <c r="AB96" i="55"/>
  <c r="AD96" i="55"/>
  <c r="BA94" i="55"/>
  <c r="V96" i="55"/>
  <c r="AS95" i="55"/>
  <c r="X96" i="55"/>
  <c r="AU96" i="55" s="1"/>
  <c r="AF95" i="55"/>
  <c r="AQ95" i="55"/>
  <c r="T96" i="55"/>
  <c r="Z100" i="56"/>
  <c r="AY99" i="56"/>
  <c r="AD100" i="56"/>
  <c r="BA98" i="56"/>
  <c r="AS99" i="56"/>
  <c r="X100" i="56"/>
  <c r="AU100" i="56" s="1"/>
  <c r="V100" i="56"/>
  <c r="AW99" i="56"/>
  <c r="AB100" i="56"/>
  <c r="AF99" i="56"/>
  <c r="AQ99" i="56"/>
  <c r="T100" i="56"/>
  <c r="X104" i="50"/>
  <c r="Y104" i="50" s="1"/>
  <c r="F105" i="50"/>
  <c r="V105" i="50"/>
  <c r="D106" i="50"/>
  <c r="V106" i="50" s="1"/>
  <c r="V107" i="50" s="1"/>
  <c r="V108" i="50" s="1"/>
  <c r="V109" i="50" s="1"/>
  <c r="V110" i="50" s="1"/>
  <c r="V111" i="50" s="1"/>
  <c r="BA94" i="46"/>
  <c r="AU95" i="46"/>
  <c r="AQ95" i="46"/>
  <c r="X96" i="46"/>
  <c r="X98" i="47"/>
  <c r="AU98" i="47" s="1"/>
  <c r="V98" i="47"/>
  <c r="AS98" i="47" s="1"/>
  <c r="Z98" i="47"/>
  <c r="AY97" i="47"/>
  <c r="AB98" i="47"/>
  <c r="AW97" i="47"/>
  <c r="T98" i="47"/>
  <c r="AQ97" i="47"/>
  <c r="AF97" i="47"/>
  <c r="BA96" i="47"/>
  <c r="AD98" i="47"/>
  <c r="Z96" i="46"/>
  <c r="AY96" i="46" s="1"/>
  <c r="AB96" i="46"/>
  <c r="AW96" i="46" s="1"/>
  <c r="AD96" i="46"/>
  <c r="V96" i="46"/>
  <c r="AS96" i="46" s="1"/>
  <c r="AF95" i="46"/>
  <c r="T96" i="46"/>
  <c r="F79" i="28"/>
  <c r="E79" i="28"/>
  <c r="D80" i="28"/>
  <c r="G79" i="28"/>
  <c r="I78" i="28" s="1"/>
  <c r="BA99" i="56" l="1"/>
  <c r="AD97" i="55"/>
  <c r="AQ96" i="55"/>
  <c r="T97" i="55"/>
  <c r="AF96" i="55"/>
  <c r="AW96" i="55"/>
  <c r="AB97" i="55"/>
  <c r="BA95" i="55"/>
  <c r="AS96" i="55"/>
  <c r="V97" i="55"/>
  <c r="X97" i="55"/>
  <c r="AU97" i="55" s="1"/>
  <c r="AY96" i="55"/>
  <c r="Z97" i="55"/>
  <c r="AF100" i="56"/>
  <c r="T101" i="56"/>
  <c r="AQ100" i="56"/>
  <c r="AD101" i="56"/>
  <c r="AS100" i="56"/>
  <c r="X101" i="56"/>
  <c r="AU101" i="56" s="1"/>
  <c r="V101" i="56"/>
  <c r="AW100" i="56"/>
  <c r="AB101" i="56"/>
  <c r="AY100" i="56"/>
  <c r="Z101" i="56"/>
  <c r="F106" i="50"/>
  <c r="X105" i="50"/>
  <c r="Y105" i="50" s="1"/>
  <c r="BA95" i="46"/>
  <c r="AU96" i="46"/>
  <c r="AQ96" i="46"/>
  <c r="X97" i="46"/>
  <c r="BA97" i="47"/>
  <c r="AD99" i="47"/>
  <c r="Z99" i="47"/>
  <c r="AY98" i="47"/>
  <c r="AB99" i="47"/>
  <c r="AW98" i="47"/>
  <c r="V99" i="47"/>
  <c r="AS99" i="47" s="1"/>
  <c r="X99" i="47"/>
  <c r="AU99" i="47" s="1"/>
  <c r="AQ98" i="47"/>
  <c r="T99" i="47"/>
  <c r="AF98" i="47"/>
  <c r="AB97" i="46"/>
  <c r="AW97" i="46" s="1"/>
  <c r="Z97" i="46"/>
  <c r="AY97" i="46" s="1"/>
  <c r="AD97" i="46"/>
  <c r="T97" i="46"/>
  <c r="AF96" i="46"/>
  <c r="V97" i="46"/>
  <c r="AS97" i="46" s="1"/>
  <c r="E80" i="28"/>
  <c r="F80" i="28"/>
  <c r="H79" i="28"/>
  <c r="D81" i="28"/>
  <c r="G80" i="28"/>
  <c r="I79" i="28" s="1"/>
  <c r="Z98" i="55" l="1"/>
  <c r="AY97" i="55"/>
  <c r="AW97" i="55"/>
  <c r="AB98" i="55"/>
  <c r="AF97" i="55"/>
  <c r="AQ97" i="55"/>
  <c r="T98" i="55"/>
  <c r="BA96" i="55"/>
  <c r="X98" i="55"/>
  <c r="AU98" i="55" s="1"/>
  <c r="V98" i="55"/>
  <c r="AS97" i="55"/>
  <c r="AD98" i="55"/>
  <c r="AY101" i="56"/>
  <c r="Z102" i="56"/>
  <c r="BA100" i="56"/>
  <c r="AQ101" i="56"/>
  <c r="AF101" i="56"/>
  <c r="T102" i="56"/>
  <c r="AW101" i="56"/>
  <c r="AB102" i="56"/>
  <c r="AD102" i="56"/>
  <c r="X102" i="56"/>
  <c r="AU102" i="56" s="1"/>
  <c r="V102" i="56"/>
  <c r="AS101" i="56"/>
  <c r="X106" i="50"/>
  <c r="J8" i="50"/>
  <c r="J13" i="50"/>
  <c r="J14" i="50"/>
  <c r="BA96" i="46"/>
  <c r="AU97" i="46"/>
  <c r="AQ97" i="46"/>
  <c r="X98" i="46"/>
  <c r="AY99" i="47"/>
  <c r="Z100" i="47"/>
  <c r="T100" i="47"/>
  <c r="AF99" i="47"/>
  <c r="AQ99" i="47"/>
  <c r="AD100" i="47"/>
  <c r="V100" i="47"/>
  <c r="AS100" i="47" s="1"/>
  <c r="X100" i="47"/>
  <c r="AU100" i="47" s="1"/>
  <c r="AW99" i="47"/>
  <c r="AB100" i="47"/>
  <c r="BA98" i="47"/>
  <c r="Z98" i="46"/>
  <c r="AY98" i="46" s="1"/>
  <c r="AB98" i="46"/>
  <c r="AW98" i="46" s="1"/>
  <c r="AD98" i="46"/>
  <c r="V98" i="46"/>
  <c r="AS98" i="46" s="1"/>
  <c r="AF97" i="46"/>
  <c r="T98" i="46"/>
  <c r="E81" i="28"/>
  <c r="F81" i="28"/>
  <c r="D82" i="28"/>
  <c r="G81" i="28"/>
  <c r="I80" i="28" s="1"/>
  <c r="H80" i="28"/>
  <c r="BA97" i="55" l="1"/>
  <c r="AD99" i="55"/>
  <c r="AB99" i="55"/>
  <c r="AW98" i="55"/>
  <c r="V99" i="55"/>
  <c r="X99" i="55"/>
  <c r="AU99" i="55" s="1"/>
  <c r="AS98" i="55"/>
  <c r="T99" i="55"/>
  <c r="AQ98" i="55"/>
  <c r="AF98" i="55"/>
  <c r="AY98" i="55"/>
  <c r="Z99" i="55"/>
  <c r="AW102" i="56"/>
  <c r="AB103" i="56"/>
  <c r="AW103" i="56" s="1"/>
  <c r="T103" i="56"/>
  <c r="AQ102" i="56"/>
  <c r="AF102" i="56"/>
  <c r="AY102" i="56"/>
  <c r="Z103" i="56"/>
  <c r="AY103" i="56" s="1"/>
  <c r="AS102" i="56"/>
  <c r="X103" i="56"/>
  <c r="AU103" i="56" s="1"/>
  <c r="AU9" i="56" s="1"/>
  <c r="V103" i="56"/>
  <c r="AS103" i="56" s="1"/>
  <c r="BA101" i="56"/>
  <c r="AD103" i="56"/>
  <c r="J15" i="50"/>
  <c r="J21" i="50"/>
  <c r="J23" i="50" s="1"/>
  <c r="J20" i="50" s="1"/>
  <c r="J22" i="50"/>
  <c r="J24" i="50" s="1"/>
  <c r="Y106" i="50"/>
  <c r="Y107" i="50"/>
  <c r="BA97" i="46"/>
  <c r="AU98" i="46"/>
  <c r="X99" i="46"/>
  <c r="AD101" i="47"/>
  <c r="BA99" i="47"/>
  <c r="X101" i="47"/>
  <c r="AU101" i="47" s="1"/>
  <c r="V101" i="47"/>
  <c r="AS101" i="47" s="1"/>
  <c r="AQ100" i="47"/>
  <c r="AF100" i="47"/>
  <c r="T101" i="47"/>
  <c r="AB101" i="47"/>
  <c r="AW100" i="47"/>
  <c r="Z101" i="47"/>
  <c r="AY100" i="47"/>
  <c r="V99" i="46"/>
  <c r="AS99" i="46" s="1"/>
  <c r="AQ98" i="46"/>
  <c r="AB99" i="46"/>
  <c r="Z99" i="46"/>
  <c r="AD99" i="46"/>
  <c r="AF98" i="46"/>
  <c r="T99" i="46"/>
  <c r="E82" i="28"/>
  <c r="F82" i="28"/>
  <c r="G82" i="28"/>
  <c r="D83" i="28"/>
  <c r="H81" i="28"/>
  <c r="AY9" i="56" l="1"/>
  <c r="AW9" i="56"/>
  <c r="BA98" i="55"/>
  <c r="AS99" i="55"/>
  <c r="X100" i="55"/>
  <c r="AU100" i="55" s="1"/>
  <c r="V100" i="55"/>
  <c r="T100" i="55"/>
  <c r="AF99" i="55"/>
  <c r="AQ99" i="55"/>
  <c r="Z100" i="55"/>
  <c r="AY99" i="55"/>
  <c r="AB100" i="55"/>
  <c r="AW99" i="55"/>
  <c r="AD100" i="55"/>
  <c r="BA102" i="56"/>
  <c r="BA9" i="56" s="1"/>
  <c r="AF103" i="56"/>
  <c r="AQ103" i="56"/>
  <c r="AS9" i="56"/>
  <c r="AE109" i="50"/>
  <c r="Y108" i="50"/>
  <c r="Z111" i="50"/>
  <c r="Z99" i="50"/>
  <c r="Z91" i="50"/>
  <c r="Z83" i="50"/>
  <c r="Z75" i="50"/>
  <c r="Z67" i="50"/>
  <c r="Z59" i="50"/>
  <c r="Z51" i="50"/>
  <c r="Z102" i="50"/>
  <c r="Z94" i="50"/>
  <c r="Z86" i="50"/>
  <c r="Z78" i="50"/>
  <c r="Z70" i="50"/>
  <c r="Z62" i="50"/>
  <c r="Z54" i="50"/>
  <c r="Z105" i="50"/>
  <c r="Z97" i="50"/>
  <c r="Z89" i="50"/>
  <c r="Z81" i="50"/>
  <c r="Z73" i="50"/>
  <c r="Z65" i="50"/>
  <c r="Z57" i="50"/>
  <c r="Z49" i="50"/>
  <c r="Z100" i="50"/>
  <c r="Z92" i="50"/>
  <c r="Z84" i="50"/>
  <c r="Z106" i="50"/>
  <c r="AB106" i="50" s="1"/>
  <c r="Z98" i="50"/>
  <c r="Z90" i="50"/>
  <c r="Z82" i="50"/>
  <c r="Z76" i="50"/>
  <c r="Z64" i="50"/>
  <c r="Z50" i="50"/>
  <c r="Z103" i="50"/>
  <c r="Z101" i="50"/>
  <c r="Z95" i="50"/>
  <c r="Z93" i="50"/>
  <c r="Z87" i="50"/>
  <c r="Z85" i="50"/>
  <c r="Z79" i="50"/>
  <c r="Z77" i="50"/>
  <c r="Z63" i="50"/>
  <c r="Z56" i="50"/>
  <c r="Z44" i="50"/>
  <c r="Z36" i="50"/>
  <c r="Z28" i="50"/>
  <c r="Z109" i="50"/>
  <c r="Z104" i="50"/>
  <c r="Z96" i="50"/>
  <c r="Z88" i="50"/>
  <c r="Z80" i="50"/>
  <c r="Z69" i="50"/>
  <c r="Z68" i="50"/>
  <c r="Z55" i="50"/>
  <c r="Z107" i="50"/>
  <c r="AB107" i="50" s="1"/>
  <c r="Z74" i="50"/>
  <c r="Z66" i="50"/>
  <c r="Z27" i="50"/>
  <c r="Z25" i="50"/>
  <c r="Z14" i="50"/>
  <c r="Z110" i="50"/>
  <c r="Z45" i="50"/>
  <c r="Z42" i="50"/>
  <c r="Z38" i="50"/>
  <c r="Z29" i="50"/>
  <c r="Z23" i="50"/>
  <c r="Z19" i="50"/>
  <c r="Z11" i="50"/>
  <c r="Z4" i="50"/>
  <c r="Z71" i="50"/>
  <c r="Z60" i="50"/>
  <c r="Z53" i="50"/>
  <c r="Z40" i="50"/>
  <c r="Z31" i="50"/>
  <c r="Z7" i="50"/>
  <c r="Z21" i="50"/>
  <c r="Z108" i="50"/>
  <c r="Z35" i="50"/>
  <c r="Z33" i="50"/>
  <c r="Z26" i="50"/>
  <c r="Z20" i="50"/>
  <c r="Z72" i="50"/>
  <c r="Z37" i="50"/>
  <c r="Z24" i="50"/>
  <c r="Z15" i="50"/>
  <c r="Z12" i="50"/>
  <c r="Z8" i="50"/>
  <c r="Z61" i="50"/>
  <c r="Z58" i="50"/>
  <c r="Z39" i="50"/>
  <c r="Z16" i="50"/>
  <c r="Z5" i="50"/>
  <c r="Z18" i="50"/>
  <c r="Z52" i="50"/>
  <c r="Z34" i="50"/>
  <c r="Z47" i="50"/>
  <c r="Z9" i="50"/>
  <c r="Z6" i="50"/>
  <c r="Z10" i="50"/>
  <c r="Z32" i="50"/>
  <c r="Z41" i="50"/>
  <c r="Z30" i="50"/>
  <c r="Z22" i="50"/>
  <c r="Z13" i="50"/>
  <c r="Z17" i="50"/>
  <c r="Z48" i="50"/>
  <c r="Z46" i="50"/>
  <c r="Z43" i="50"/>
  <c r="BA98" i="46"/>
  <c r="AU99" i="46"/>
  <c r="AQ99" i="46"/>
  <c r="X100" i="46"/>
  <c r="AW101" i="47"/>
  <c r="AB102" i="47"/>
  <c r="X102" i="47"/>
  <c r="AU102" i="47" s="1"/>
  <c r="V102" i="47"/>
  <c r="AS102" i="47" s="1"/>
  <c r="T102" i="47"/>
  <c r="AQ101" i="47"/>
  <c r="AF101" i="47"/>
  <c r="BA100" i="47"/>
  <c r="Z102" i="47"/>
  <c r="AY101" i="47"/>
  <c r="AD102" i="47"/>
  <c r="Z100" i="46"/>
  <c r="AY100" i="46" s="1"/>
  <c r="AY99" i="46"/>
  <c r="AB100" i="46"/>
  <c r="AW100" i="46" s="1"/>
  <c r="AW99" i="46"/>
  <c r="AD100" i="46"/>
  <c r="T100" i="46"/>
  <c r="AF99" i="46"/>
  <c r="V100" i="46"/>
  <c r="AS100" i="46" s="1"/>
  <c r="H82" i="28"/>
  <c r="E83" i="28"/>
  <c r="F83" i="28"/>
  <c r="G83" i="28"/>
  <c r="D84" i="28"/>
  <c r="I81" i="28"/>
  <c r="AY100" i="55" l="1"/>
  <c r="Z101" i="55"/>
  <c r="BA99" i="55"/>
  <c r="T101" i="55"/>
  <c r="AF100" i="55"/>
  <c r="AQ100" i="55"/>
  <c r="AD101" i="55"/>
  <c r="V101" i="55"/>
  <c r="AS100" i="55"/>
  <c r="X101" i="55"/>
  <c r="AU101" i="55" s="1"/>
  <c r="AB101" i="55"/>
  <c r="AW100" i="55"/>
  <c r="BA103" i="56"/>
  <c r="AQ9" i="56"/>
  <c r="AB13" i="50"/>
  <c r="AA13" i="50"/>
  <c r="AB47" i="50"/>
  <c r="AA47" i="50"/>
  <c r="AB61" i="50"/>
  <c r="AA61" i="50"/>
  <c r="AB26" i="50"/>
  <c r="AA26" i="50"/>
  <c r="AB53" i="50"/>
  <c r="AA53" i="50"/>
  <c r="AA38" i="50"/>
  <c r="AB38" i="50"/>
  <c r="AB74" i="50"/>
  <c r="AA74" i="50"/>
  <c r="AB104" i="50"/>
  <c r="AA104" i="50"/>
  <c r="AA79" i="50"/>
  <c r="AB79" i="50"/>
  <c r="AB64" i="50"/>
  <c r="AA64" i="50"/>
  <c r="AB100" i="50"/>
  <c r="AA100" i="50"/>
  <c r="AB105" i="50"/>
  <c r="AA105" i="50"/>
  <c r="AB51" i="50"/>
  <c r="AA51" i="50"/>
  <c r="AA106" i="50"/>
  <c r="AB20" i="50"/>
  <c r="AA20" i="50"/>
  <c r="AB92" i="50"/>
  <c r="AA92" i="50"/>
  <c r="AB22" i="50"/>
  <c r="AA22" i="50"/>
  <c r="AB34" i="50"/>
  <c r="AA34" i="50"/>
  <c r="AB8" i="50"/>
  <c r="AA8" i="50"/>
  <c r="AB33" i="50"/>
  <c r="AA33" i="50"/>
  <c r="AB60" i="50"/>
  <c r="AA60" i="50"/>
  <c r="AB42" i="50"/>
  <c r="AA42" i="50"/>
  <c r="AA85" i="50"/>
  <c r="AB85" i="50"/>
  <c r="AB76" i="50"/>
  <c r="AA76" i="50"/>
  <c r="AB49" i="50"/>
  <c r="AA49" i="50"/>
  <c r="AA54" i="50"/>
  <c r="AB54" i="50"/>
  <c r="AB59" i="50"/>
  <c r="AA59" i="50"/>
  <c r="AB9" i="50"/>
  <c r="AA9" i="50"/>
  <c r="AA29" i="50"/>
  <c r="AB29" i="50"/>
  <c r="AA102" i="50"/>
  <c r="AB102" i="50"/>
  <c r="AB30" i="50"/>
  <c r="AA30" i="50"/>
  <c r="AB52" i="50"/>
  <c r="AA52" i="50"/>
  <c r="AB12" i="50"/>
  <c r="AA12" i="50"/>
  <c r="AB35" i="50"/>
  <c r="AA35" i="50"/>
  <c r="AB71" i="50"/>
  <c r="AA71" i="50"/>
  <c r="AA45" i="50"/>
  <c r="AB45" i="50"/>
  <c r="AB55" i="50"/>
  <c r="AA55" i="50"/>
  <c r="AB28" i="50"/>
  <c r="AA28" i="50"/>
  <c r="AB87" i="50"/>
  <c r="AA87" i="50"/>
  <c r="AB82" i="50"/>
  <c r="AA82" i="50"/>
  <c r="AB57" i="50"/>
  <c r="AA57" i="50"/>
  <c r="AA62" i="50"/>
  <c r="AB62" i="50"/>
  <c r="AB67" i="50"/>
  <c r="AA67" i="50"/>
  <c r="AE110" i="50"/>
  <c r="AB108" i="50"/>
  <c r="AA108" i="50"/>
  <c r="AB50" i="50"/>
  <c r="AA50" i="50"/>
  <c r="AB41" i="50"/>
  <c r="AA41" i="50"/>
  <c r="AB18" i="50"/>
  <c r="AA18" i="50"/>
  <c r="AB15" i="50"/>
  <c r="AA15" i="50"/>
  <c r="AB4" i="50"/>
  <c r="AA4" i="50"/>
  <c r="AB68" i="50"/>
  <c r="AA68" i="50"/>
  <c r="AB36" i="50"/>
  <c r="AA36" i="50"/>
  <c r="AA93" i="50"/>
  <c r="AB93" i="50"/>
  <c r="AB90" i="50"/>
  <c r="AA90" i="50"/>
  <c r="AB65" i="50"/>
  <c r="AA65" i="50"/>
  <c r="AA70" i="50"/>
  <c r="AB70" i="50"/>
  <c r="AB75" i="50"/>
  <c r="AA75" i="50"/>
  <c r="Y109" i="50"/>
  <c r="Y110" i="50" s="1"/>
  <c r="AA96" i="50"/>
  <c r="AB96" i="50"/>
  <c r="AB43" i="50"/>
  <c r="AA43" i="50"/>
  <c r="AB32" i="50"/>
  <c r="AA32" i="50"/>
  <c r="AA5" i="50"/>
  <c r="AB5" i="50"/>
  <c r="AB24" i="50"/>
  <c r="AA24" i="50"/>
  <c r="AB21" i="50"/>
  <c r="AA21" i="50"/>
  <c r="AA11" i="50"/>
  <c r="AB11" i="50"/>
  <c r="AA14" i="50"/>
  <c r="AB14" i="50"/>
  <c r="AB69" i="50"/>
  <c r="AA69" i="50"/>
  <c r="AB44" i="50"/>
  <c r="AA44" i="50"/>
  <c r="AB95" i="50"/>
  <c r="AA95" i="50"/>
  <c r="AB98" i="50"/>
  <c r="AA98" i="50"/>
  <c r="AB73" i="50"/>
  <c r="AA73" i="50"/>
  <c r="AA78" i="50"/>
  <c r="AB78" i="50"/>
  <c r="AA83" i="50"/>
  <c r="AB83" i="50"/>
  <c r="AA107" i="50"/>
  <c r="AB58" i="50"/>
  <c r="AA58" i="50"/>
  <c r="AB40" i="50"/>
  <c r="AA40" i="50"/>
  <c r="AB66" i="50"/>
  <c r="AA66" i="50"/>
  <c r="AB97" i="50"/>
  <c r="AA97" i="50"/>
  <c r="AA46" i="50"/>
  <c r="AB46" i="50"/>
  <c r="AB10" i="50"/>
  <c r="AA10" i="50"/>
  <c r="AB16" i="50"/>
  <c r="AA16" i="50"/>
  <c r="AB37" i="50"/>
  <c r="AA37" i="50"/>
  <c r="AB7" i="50"/>
  <c r="AA7" i="50"/>
  <c r="AA19" i="50"/>
  <c r="AB19" i="50"/>
  <c r="AB25" i="50"/>
  <c r="AA25" i="50"/>
  <c r="AB80" i="50"/>
  <c r="AA80" i="50"/>
  <c r="AA56" i="50"/>
  <c r="AB56" i="50"/>
  <c r="AA101" i="50"/>
  <c r="AB101" i="50"/>
  <c r="AB81" i="50"/>
  <c r="AA81" i="50"/>
  <c r="AA86" i="50"/>
  <c r="AB86" i="50"/>
  <c r="AA91" i="50"/>
  <c r="AB91" i="50"/>
  <c r="AA17" i="50"/>
  <c r="AB17" i="50"/>
  <c r="AA77" i="50"/>
  <c r="AB77" i="50"/>
  <c r="AB48" i="50"/>
  <c r="AA48" i="50"/>
  <c r="AB6" i="50"/>
  <c r="AA6" i="50"/>
  <c r="AA39" i="50"/>
  <c r="AB39" i="50"/>
  <c r="AA72" i="50"/>
  <c r="AB72" i="50"/>
  <c r="AA31" i="50"/>
  <c r="AB31" i="50"/>
  <c r="AA23" i="50"/>
  <c r="AB23" i="50"/>
  <c r="AB27" i="50"/>
  <c r="AA27" i="50"/>
  <c r="AB88" i="50"/>
  <c r="AA88" i="50"/>
  <c r="AB63" i="50"/>
  <c r="AA63" i="50"/>
  <c r="AB103" i="50"/>
  <c r="AA103" i="50"/>
  <c r="AB84" i="50"/>
  <c r="AA84" i="50"/>
  <c r="AB89" i="50"/>
  <c r="AA89" i="50"/>
  <c r="AA94" i="50"/>
  <c r="AB94" i="50"/>
  <c r="AA99" i="50"/>
  <c r="AB99" i="50"/>
  <c r="AU100" i="46"/>
  <c r="AQ100" i="46"/>
  <c r="X101" i="46"/>
  <c r="BA101" i="47"/>
  <c r="BA99" i="46"/>
  <c r="AQ102" i="47"/>
  <c r="AF102" i="47"/>
  <c r="T103" i="47"/>
  <c r="AB103" i="47"/>
  <c r="AW103" i="47" s="1"/>
  <c r="AW102" i="47"/>
  <c r="V103" i="47"/>
  <c r="AS103" i="47" s="1"/>
  <c r="AS9" i="47" s="1"/>
  <c r="X103" i="47"/>
  <c r="AU103" i="47" s="1"/>
  <c r="AU9" i="47" s="1"/>
  <c r="AD103" i="47"/>
  <c r="Z103" i="47"/>
  <c r="AY103" i="47" s="1"/>
  <c r="AY102" i="47"/>
  <c r="AB101" i="46"/>
  <c r="AW101" i="46" s="1"/>
  <c r="Z101" i="46"/>
  <c r="AY101" i="46" s="1"/>
  <c r="AD101" i="46"/>
  <c r="V101" i="46"/>
  <c r="AS101" i="46" s="1"/>
  <c r="AF100" i="46"/>
  <c r="T101" i="46"/>
  <c r="E84" i="28"/>
  <c r="F84" i="28"/>
  <c r="H83" i="28"/>
  <c r="D85" i="28"/>
  <c r="H84" i="28" s="1"/>
  <c r="G84" i="28"/>
  <c r="I83" i="28" s="1"/>
  <c r="I82" i="28"/>
  <c r="BA100" i="55" l="1"/>
  <c r="X102" i="55"/>
  <c r="AU102" i="55" s="1"/>
  <c r="AS101" i="55"/>
  <c r="V102" i="55"/>
  <c r="AD102" i="55"/>
  <c r="AQ101" i="55"/>
  <c r="AF101" i="55"/>
  <c r="T102" i="55"/>
  <c r="AB102" i="55"/>
  <c r="AW101" i="55"/>
  <c r="Z102" i="55"/>
  <c r="AY101" i="55"/>
  <c r="AB110" i="50"/>
  <c r="AA110" i="50"/>
  <c r="Y111" i="50"/>
  <c r="AE111" i="50"/>
  <c r="AE112" i="50" s="1"/>
  <c r="AB109" i="50"/>
  <c r="AA109" i="50"/>
  <c r="AY9" i="47"/>
  <c r="AW9" i="47"/>
  <c r="BA100" i="46"/>
  <c r="AU101" i="46"/>
  <c r="AQ101" i="46"/>
  <c r="X102" i="46"/>
  <c r="AF103" i="47"/>
  <c r="AQ103" i="47"/>
  <c r="BA102" i="47"/>
  <c r="BA9" i="47" s="1"/>
  <c r="Z102" i="46"/>
  <c r="AY102" i="46" s="1"/>
  <c r="AB102" i="46"/>
  <c r="AW102" i="46" s="1"/>
  <c r="AD102" i="46"/>
  <c r="T102" i="46"/>
  <c r="AF101" i="46"/>
  <c r="V102" i="46"/>
  <c r="AS102" i="46" s="1"/>
  <c r="F85" i="28"/>
  <c r="E85" i="28"/>
  <c r="G85" i="28"/>
  <c r="D86" i="28"/>
  <c r="BA101" i="55" l="1"/>
  <c r="AW102" i="55"/>
  <c r="AB103" i="55"/>
  <c r="AW103" i="55" s="1"/>
  <c r="X103" i="55"/>
  <c r="AU103" i="55" s="1"/>
  <c r="AS102" i="55"/>
  <c r="V103" i="55"/>
  <c r="AS103" i="55" s="1"/>
  <c r="AQ102" i="55"/>
  <c r="AF102" i="55"/>
  <c r="T103" i="55"/>
  <c r="Z103" i="55"/>
  <c r="AY103" i="55" s="1"/>
  <c r="AY102" i="55"/>
  <c r="AD103" i="55"/>
  <c r="AE113" i="50"/>
  <c r="AB111" i="50"/>
  <c r="AA111" i="50"/>
  <c r="BA103" i="47"/>
  <c r="AQ9" i="47"/>
  <c r="BA101" i="46"/>
  <c r="AU102" i="46"/>
  <c r="AO9" i="46"/>
  <c r="AQ102" i="46"/>
  <c r="X103" i="46"/>
  <c r="Z103" i="46"/>
  <c r="AY103" i="46" s="1"/>
  <c r="AB103" i="46"/>
  <c r="AW103" i="46" s="1"/>
  <c r="V103" i="46"/>
  <c r="AS103" i="46" s="1"/>
  <c r="AD103" i="46"/>
  <c r="T103" i="46"/>
  <c r="AF102" i="46"/>
  <c r="F86" i="28"/>
  <c r="E86" i="28"/>
  <c r="H85" i="28"/>
  <c r="G86" i="28"/>
  <c r="I84" i="28"/>
  <c r="D87" i="28"/>
  <c r="H86" i="28" s="1"/>
  <c r="BA102" i="55" l="1"/>
  <c r="BA9" i="55" s="1"/>
  <c r="AQ103" i="55"/>
  <c r="BA103" i="55" s="1"/>
  <c r="AF103" i="55"/>
  <c r="E6" i="30"/>
  <c r="T4" i="30" s="1"/>
  <c r="C6" i="30"/>
  <c r="BA102" i="46"/>
  <c r="BA9" i="46" s="1"/>
  <c r="AU103" i="46"/>
  <c r="AQ103" i="46"/>
  <c r="AF103" i="46"/>
  <c r="F87" i="28"/>
  <c r="E87" i="28"/>
  <c r="G87" i="28"/>
  <c r="D88" i="28"/>
  <c r="I85" i="28"/>
  <c r="P4" i="30" l="1"/>
  <c r="R4" i="30" s="1"/>
  <c r="AI4" i="30" s="1"/>
  <c r="Y5" i="30" s="1"/>
  <c r="C11" i="30"/>
  <c r="BA103" i="46"/>
  <c r="E88" i="28"/>
  <c r="F88" i="28"/>
  <c r="D89" i="28"/>
  <c r="G88" i="28"/>
  <c r="I87" i="28" s="1"/>
  <c r="H87" i="28"/>
  <c r="I86" i="28"/>
  <c r="B6" i="30" l="1"/>
  <c r="S4" i="30" s="1"/>
  <c r="U4" i="30" s="1"/>
  <c r="AJ4" i="30" s="1"/>
  <c r="B11" i="30"/>
  <c r="B28" i="31" s="1"/>
  <c r="D28" i="31" s="1"/>
  <c r="E28" i="31" s="1"/>
  <c r="X9" i="30"/>
  <c r="C13" i="30"/>
  <c r="C14" i="30"/>
  <c r="E89" i="28"/>
  <c r="F89" i="28"/>
  <c r="D90" i="28"/>
  <c r="G89" i="28"/>
  <c r="H88" i="28"/>
  <c r="B35" i="31" l="1"/>
  <c r="D35" i="31" s="1"/>
  <c r="E35" i="31" s="1"/>
  <c r="B54" i="31"/>
  <c r="D54" i="31" s="1"/>
  <c r="E54" i="31" s="1"/>
  <c r="B55" i="31"/>
  <c r="D55" i="31" s="1"/>
  <c r="E55" i="31" s="1"/>
  <c r="B38" i="31"/>
  <c r="D38" i="31" s="1"/>
  <c r="E38" i="31" s="1"/>
  <c r="B12" i="31"/>
  <c r="D12" i="31" s="1"/>
  <c r="E12" i="31" s="1"/>
  <c r="B51" i="31"/>
  <c r="D51" i="31" s="1"/>
  <c r="E51" i="31" s="1"/>
  <c r="B58" i="31"/>
  <c r="D58" i="31" s="1"/>
  <c r="E58" i="31" s="1"/>
  <c r="B26" i="31"/>
  <c r="D26" i="31" s="1"/>
  <c r="E26" i="31" s="1"/>
  <c r="B10" i="31"/>
  <c r="D10" i="31" s="1"/>
  <c r="E10" i="31" s="1"/>
  <c r="B19" i="31"/>
  <c r="D19" i="31" s="1"/>
  <c r="E19" i="31" s="1"/>
  <c r="B50" i="31"/>
  <c r="D50" i="31" s="1"/>
  <c r="E50" i="31" s="1"/>
  <c r="B18" i="31"/>
  <c r="D18" i="31" s="1"/>
  <c r="E18" i="31" s="1"/>
  <c r="B53" i="31"/>
  <c r="D53" i="31" s="1"/>
  <c r="E53" i="31" s="1"/>
  <c r="B45" i="31"/>
  <c r="D45" i="31" s="1"/>
  <c r="E45" i="31" s="1"/>
  <c r="B24" i="31"/>
  <c r="D24" i="31" s="1"/>
  <c r="E24" i="31" s="1"/>
  <c r="B29" i="31"/>
  <c r="D29" i="31" s="1"/>
  <c r="E29" i="31" s="1"/>
  <c r="B17" i="30"/>
  <c r="K32" i="42" s="1"/>
  <c r="B16" i="31"/>
  <c r="D16" i="31" s="1"/>
  <c r="E16" i="31" s="1"/>
  <c r="B25" i="31"/>
  <c r="D25" i="31" s="1"/>
  <c r="E25" i="31" s="1"/>
  <c r="B7" i="31"/>
  <c r="D7" i="31" s="1"/>
  <c r="E7" i="31" s="1"/>
  <c r="B49" i="31"/>
  <c r="D49" i="31" s="1"/>
  <c r="E49" i="31" s="1"/>
  <c r="B47" i="31"/>
  <c r="D47" i="31" s="1"/>
  <c r="E47" i="31" s="1"/>
  <c r="B57" i="31"/>
  <c r="D57" i="31" s="1"/>
  <c r="E57" i="31" s="1"/>
  <c r="B21" i="31"/>
  <c r="D21" i="31" s="1"/>
  <c r="E21" i="31" s="1"/>
  <c r="B30" i="31"/>
  <c r="D30" i="31" s="1"/>
  <c r="E30" i="31" s="1"/>
  <c r="B11" i="31"/>
  <c r="D11" i="31" s="1"/>
  <c r="E11" i="31" s="1"/>
  <c r="B39" i="31"/>
  <c r="D39" i="31" s="1"/>
  <c r="E39" i="31" s="1"/>
  <c r="B52" i="31"/>
  <c r="D52" i="31" s="1"/>
  <c r="E52" i="31" s="1"/>
  <c r="B48" i="31"/>
  <c r="D48" i="31" s="1"/>
  <c r="E48" i="31" s="1"/>
  <c r="B46" i="31"/>
  <c r="D46" i="31" s="1"/>
  <c r="E46" i="31" s="1"/>
  <c r="B43" i="31"/>
  <c r="D43" i="31" s="1"/>
  <c r="E43" i="31" s="1"/>
  <c r="B27" i="31"/>
  <c r="D27" i="31" s="1"/>
  <c r="E27" i="31" s="1"/>
  <c r="B40" i="31"/>
  <c r="D40" i="31" s="1"/>
  <c r="E40" i="31" s="1"/>
  <c r="B23" i="31"/>
  <c r="D23" i="31" s="1"/>
  <c r="E23" i="31" s="1"/>
  <c r="B14" i="31"/>
  <c r="D14" i="31" s="1"/>
  <c r="E14" i="31" s="1"/>
  <c r="B34" i="31"/>
  <c r="D34" i="31" s="1"/>
  <c r="E34" i="31" s="1"/>
  <c r="B36" i="31"/>
  <c r="D36" i="31" s="1"/>
  <c r="E36" i="31" s="1"/>
  <c r="B42" i="31"/>
  <c r="D42" i="31" s="1"/>
  <c r="E42" i="31" s="1"/>
  <c r="B56" i="31"/>
  <c r="D56" i="31" s="1"/>
  <c r="E56" i="31" s="1"/>
  <c r="B33" i="31"/>
  <c r="D33" i="31" s="1"/>
  <c r="E33" i="31" s="1"/>
  <c r="B13" i="31"/>
  <c r="D13" i="31" s="1"/>
  <c r="E13" i="31" s="1"/>
  <c r="B9" i="31"/>
  <c r="D9" i="31" s="1"/>
  <c r="E9" i="31" s="1"/>
  <c r="B31" i="31"/>
  <c r="D31" i="31" s="1"/>
  <c r="E31" i="31" s="1"/>
  <c r="B44" i="31"/>
  <c r="D44" i="31" s="1"/>
  <c r="E44" i="31" s="1"/>
  <c r="B8" i="31"/>
  <c r="D8" i="31" s="1"/>
  <c r="E8" i="31" s="1"/>
  <c r="B32" i="31"/>
  <c r="D32" i="31" s="1"/>
  <c r="E32" i="31" s="1"/>
  <c r="B15" i="31"/>
  <c r="D15" i="31" s="1"/>
  <c r="E15" i="31" s="1"/>
  <c r="B22" i="31"/>
  <c r="D22" i="31" s="1"/>
  <c r="E22" i="31" s="1"/>
  <c r="B41" i="31"/>
  <c r="D41" i="31" s="1"/>
  <c r="E41" i="31" s="1"/>
  <c r="B14" i="30"/>
  <c r="B13" i="30"/>
  <c r="Z6" i="30"/>
  <c r="AC14" i="30" s="1"/>
  <c r="Y9" i="30"/>
  <c r="B37" i="31"/>
  <c r="D37" i="31" s="1"/>
  <c r="E37" i="31" s="1"/>
  <c r="B17" i="31"/>
  <c r="D17" i="31" s="1"/>
  <c r="E17" i="31" s="1"/>
  <c r="B20" i="31"/>
  <c r="D20" i="31" s="1"/>
  <c r="E20" i="31" s="1"/>
  <c r="H89" i="28"/>
  <c r="E90" i="28"/>
  <c r="F90" i="28"/>
  <c r="D91" i="28"/>
  <c r="G90" i="28"/>
  <c r="I89" i="28" s="1"/>
  <c r="I88" i="28"/>
  <c r="Y13" i="30" l="1" a="1"/>
  <c r="Z13" i="30" s="1"/>
  <c r="AC13" i="30"/>
  <c r="H90" i="28"/>
  <c r="E91" i="28"/>
  <c r="F91" i="28"/>
  <c r="G91" i="28"/>
  <c r="D92" i="28"/>
  <c r="AC15" i="30" l="1"/>
  <c r="AC21" i="30" s="1"/>
  <c r="AC22" i="30" s="1"/>
  <c r="Y14" i="30"/>
  <c r="Z14" i="30"/>
  <c r="Y13" i="30"/>
  <c r="E92" i="28"/>
  <c r="F92" i="28"/>
  <c r="D93" i="28"/>
  <c r="G92" i="28"/>
  <c r="I90" i="28"/>
  <c r="H91" i="28"/>
  <c r="AC26" i="30" l="1"/>
  <c r="AB26" i="30"/>
  <c r="AC25" i="30" s="1"/>
  <c r="AB25" i="30"/>
  <c r="AC16" i="30"/>
  <c r="AC20" i="30" s="1"/>
  <c r="AC19" i="30"/>
  <c r="F93" i="28"/>
  <c r="E93" i="28"/>
  <c r="H92" i="28"/>
  <c r="G93" i="28"/>
  <c r="I91" i="28"/>
  <c r="D94" i="28"/>
  <c r="H93" i="28"/>
  <c r="AG5" i="30" l="1"/>
  <c r="AG13" i="30"/>
  <c r="AG21" i="30"/>
  <c r="AG29" i="30"/>
  <c r="AG37" i="30"/>
  <c r="AG45" i="30"/>
  <c r="AG53" i="30"/>
  <c r="AG61" i="30"/>
  <c r="AG69" i="30"/>
  <c r="AG77" i="30"/>
  <c r="AG85" i="30"/>
  <c r="AG93" i="30"/>
  <c r="AG101" i="30"/>
  <c r="AG109" i="30"/>
  <c r="AG117" i="30"/>
  <c r="AG125" i="30"/>
  <c r="AG133" i="30"/>
  <c r="AG141" i="30"/>
  <c r="AG149" i="30"/>
  <c r="AG157" i="30"/>
  <c r="AG165" i="30"/>
  <c r="AG173" i="30"/>
  <c r="AG181" i="30"/>
  <c r="AG189" i="30"/>
  <c r="AG197" i="30"/>
  <c r="AG205" i="30"/>
  <c r="AG213" i="30"/>
  <c r="AG221" i="30"/>
  <c r="AG229" i="30"/>
  <c r="AG237" i="30"/>
  <c r="AG245" i="30"/>
  <c r="AG253" i="30"/>
  <c r="AG261" i="30"/>
  <c r="AG269" i="30"/>
  <c r="AG277" i="30"/>
  <c r="AG285" i="30"/>
  <c r="AG293" i="30"/>
  <c r="AG301" i="30"/>
  <c r="AG309" i="30"/>
  <c r="AG317" i="30"/>
  <c r="AG325" i="30"/>
  <c r="AG333" i="30"/>
  <c r="AG341" i="30"/>
  <c r="AG349" i="30"/>
  <c r="AG357" i="30"/>
  <c r="AG365" i="30"/>
  <c r="AG373" i="30"/>
  <c r="AG381" i="30"/>
  <c r="AG389" i="30"/>
  <c r="AG397" i="30"/>
  <c r="AG405" i="30"/>
  <c r="AG413" i="30"/>
  <c r="AG421" i="30"/>
  <c r="AG429" i="30"/>
  <c r="AG437" i="30"/>
  <c r="AG445" i="30"/>
  <c r="AG453" i="30"/>
  <c r="AG461" i="30"/>
  <c r="AG469" i="30"/>
  <c r="AG477" i="30"/>
  <c r="AG485" i="30"/>
  <c r="AG493" i="30"/>
  <c r="AG501" i="30"/>
  <c r="AG509" i="30"/>
  <c r="AG517" i="30"/>
  <c r="AG525" i="30"/>
  <c r="AG533" i="30"/>
  <c r="AG541" i="30"/>
  <c r="AG549" i="30"/>
  <c r="AG557" i="30"/>
  <c r="AG565" i="30"/>
  <c r="AG573" i="30"/>
  <c r="AG581" i="30"/>
  <c r="AG589" i="30"/>
  <c r="AG597" i="30"/>
  <c r="AG605" i="30"/>
  <c r="AG613" i="30"/>
  <c r="AG621" i="30"/>
  <c r="AG629" i="30"/>
  <c r="AG637" i="30"/>
  <c r="AG645" i="30"/>
  <c r="AG653" i="30"/>
  <c r="AG661" i="30"/>
  <c r="AG669" i="30"/>
  <c r="AG677" i="30"/>
  <c r="AG6" i="30"/>
  <c r="AG14" i="30"/>
  <c r="AG22" i="30"/>
  <c r="AG30" i="30"/>
  <c r="AG38" i="30"/>
  <c r="AG46" i="30"/>
  <c r="AG54" i="30"/>
  <c r="AG62" i="30"/>
  <c r="AG70" i="30"/>
  <c r="AG78" i="30"/>
  <c r="AG86" i="30"/>
  <c r="AG94" i="30"/>
  <c r="AG102" i="30"/>
  <c r="AG110" i="30"/>
  <c r="AG118" i="30"/>
  <c r="AG126" i="30"/>
  <c r="AG134" i="30"/>
  <c r="AG142" i="30"/>
  <c r="AG150" i="30"/>
  <c r="AG158" i="30"/>
  <c r="AG166" i="30"/>
  <c r="AG174" i="30"/>
  <c r="AG182" i="30"/>
  <c r="AG190" i="30"/>
  <c r="AG198" i="30"/>
  <c r="AG206" i="30"/>
  <c r="AG214" i="30"/>
  <c r="AG222" i="30"/>
  <c r="AG230" i="30"/>
  <c r="AG238" i="30"/>
  <c r="AG246" i="30"/>
  <c r="AG254" i="30"/>
  <c r="AG262" i="30"/>
  <c r="AG270" i="30"/>
  <c r="AG278" i="30"/>
  <c r="AG286" i="30"/>
  <c r="AG294" i="30"/>
  <c r="AG302" i="30"/>
  <c r="AG310" i="30"/>
  <c r="AG318" i="30"/>
  <c r="AG326" i="30"/>
  <c r="AG334" i="30"/>
  <c r="AG342" i="30"/>
  <c r="AG350" i="30"/>
  <c r="AG358" i="30"/>
  <c r="AG366" i="30"/>
  <c r="AG374" i="30"/>
  <c r="AG382" i="30"/>
  <c r="AG390" i="30"/>
  <c r="AG398" i="30"/>
  <c r="AG406" i="30"/>
  <c r="AG414" i="30"/>
  <c r="AG422" i="30"/>
  <c r="AG430" i="30"/>
  <c r="AG438" i="30"/>
  <c r="AG446" i="30"/>
  <c r="AG7" i="30"/>
  <c r="AG15" i="30"/>
  <c r="AG23" i="30"/>
  <c r="AG31" i="30"/>
  <c r="AG39" i="30"/>
  <c r="AG47" i="30"/>
  <c r="AG55" i="30"/>
  <c r="AG63" i="30"/>
  <c r="AG71" i="30"/>
  <c r="AG79" i="30"/>
  <c r="AG87" i="30"/>
  <c r="AG95" i="30"/>
  <c r="AG103" i="30"/>
  <c r="AG111" i="30"/>
  <c r="AG119" i="30"/>
  <c r="AG127" i="30"/>
  <c r="AG135" i="30"/>
  <c r="AG143" i="30"/>
  <c r="AG151" i="30"/>
  <c r="AG159" i="30"/>
  <c r="AG167" i="30"/>
  <c r="AG175" i="30"/>
  <c r="AG183" i="30"/>
  <c r="AG191" i="30"/>
  <c r="AG199" i="30"/>
  <c r="AG207" i="30"/>
  <c r="AG215" i="30"/>
  <c r="AG223" i="30"/>
  <c r="AG231" i="30"/>
  <c r="AG239" i="30"/>
  <c r="AG247" i="30"/>
  <c r="AG255" i="30"/>
  <c r="AG263" i="30"/>
  <c r="AG271" i="30"/>
  <c r="AG279" i="30"/>
  <c r="AG287" i="30"/>
  <c r="AG295" i="30"/>
  <c r="AG303" i="30"/>
  <c r="AG311" i="30"/>
  <c r="AG319" i="30"/>
  <c r="AG327" i="30"/>
  <c r="AG335" i="30"/>
  <c r="AG343" i="30"/>
  <c r="AG351" i="30"/>
  <c r="AG359" i="30"/>
  <c r="AG367" i="30"/>
  <c r="AG375" i="30"/>
  <c r="AG383" i="30"/>
  <c r="AG391" i="30"/>
  <c r="AG399" i="30"/>
  <c r="AG407" i="30"/>
  <c r="AG415" i="30"/>
  <c r="AG423" i="30"/>
  <c r="AG431" i="30"/>
  <c r="AG439" i="30"/>
  <c r="AG9" i="30"/>
  <c r="AG17" i="30"/>
  <c r="AG25" i="30"/>
  <c r="AG33" i="30"/>
  <c r="AG41" i="30"/>
  <c r="AG49" i="30"/>
  <c r="AG57" i="30"/>
  <c r="AG65" i="30"/>
  <c r="AG73" i="30"/>
  <c r="AG81" i="30"/>
  <c r="AG89" i="30"/>
  <c r="AG97" i="30"/>
  <c r="AG105" i="30"/>
  <c r="AG113" i="30"/>
  <c r="AG121" i="30"/>
  <c r="AG129" i="30"/>
  <c r="AG137" i="30"/>
  <c r="AG145" i="30"/>
  <c r="AG153" i="30"/>
  <c r="AG161" i="30"/>
  <c r="AG169" i="30"/>
  <c r="AG177" i="30"/>
  <c r="AG185" i="30"/>
  <c r="AG193" i="30"/>
  <c r="AG201" i="30"/>
  <c r="AG209" i="30"/>
  <c r="AG217" i="30"/>
  <c r="AG225" i="30"/>
  <c r="AG233" i="30"/>
  <c r="AG241" i="30"/>
  <c r="AG249" i="30"/>
  <c r="AG257" i="30"/>
  <c r="AG265" i="30"/>
  <c r="AG273" i="30"/>
  <c r="AG281" i="30"/>
  <c r="AG289" i="30"/>
  <c r="AG297" i="30"/>
  <c r="AG305" i="30"/>
  <c r="AG313" i="30"/>
  <c r="AG321" i="30"/>
  <c r="AG329" i="30"/>
  <c r="AG337" i="30"/>
  <c r="AG345" i="30"/>
  <c r="AG353" i="30"/>
  <c r="AG361" i="30"/>
  <c r="AG369" i="30"/>
  <c r="AG377" i="30"/>
  <c r="AG385" i="30"/>
  <c r="AG393" i="30"/>
  <c r="AG401" i="30"/>
  <c r="AG409" i="30"/>
  <c r="AG417" i="30"/>
  <c r="AG425" i="30"/>
  <c r="AG433" i="30"/>
  <c r="AG441" i="30"/>
  <c r="AG449" i="30"/>
  <c r="AG457" i="30"/>
  <c r="AG465" i="30"/>
  <c r="AG473" i="30"/>
  <c r="AG481" i="30"/>
  <c r="AG489" i="30"/>
  <c r="AG497" i="30"/>
  <c r="AG505" i="30"/>
  <c r="AG513" i="30"/>
  <c r="AG521" i="30"/>
  <c r="AG529" i="30"/>
  <c r="AG537" i="30"/>
  <c r="AG545" i="30"/>
  <c r="AG553" i="30"/>
  <c r="AG561" i="30"/>
  <c r="AG569" i="30"/>
  <c r="AG577" i="30"/>
  <c r="AG585" i="30"/>
  <c r="AG593" i="30"/>
  <c r="AG601" i="30"/>
  <c r="AG609" i="30"/>
  <c r="AG617" i="30"/>
  <c r="AG625" i="30"/>
  <c r="AG633" i="30"/>
  <c r="AG641" i="30"/>
  <c r="AG649" i="30"/>
  <c r="AG657" i="30"/>
  <c r="AG665" i="30"/>
  <c r="AG673" i="30"/>
  <c r="AG681" i="30"/>
  <c r="AG10" i="30"/>
  <c r="AG18" i="30"/>
  <c r="AG26" i="30"/>
  <c r="AG34" i="30"/>
  <c r="AG42" i="30"/>
  <c r="AG50" i="30"/>
  <c r="AG58" i="30"/>
  <c r="AG66" i="30"/>
  <c r="AG74" i="30"/>
  <c r="AG82" i="30"/>
  <c r="AG90" i="30"/>
  <c r="AG98" i="30"/>
  <c r="AG106" i="30"/>
  <c r="AG114" i="30"/>
  <c r="AG122" i="30"/>
  <c r="AG130" i="30"/>
  <c r="AG138" i="30"/>
  <c r="AG146" i="30"/>
  <c r="AG154" i="30"/>
  <c r="AG162" i="30"/>
  <c r="AG170" i="30"/>
  <c r="AG178" i="30"/>
  <c r="AG186" i="30"/>
  <c r="AG194" i="30"/>
  <c r="AG202" i="30"/>
  <c r="AG210" i="30"/>
  <c r="AG218" i="30"/>
  <c r="AG226" i="30"/>
  <c r="AG234" i="30"/>
  <c r="AG242" i="30"/>
  <c r="AG250" i="30"/>
  <c r="AG258" i="30"/>
  <c r="AG266" i="30"/>
  <c r="AG274" i="30"/>
  <c r="AG282" i="30"/>
  <c r="AG290" i="30"/>
  <c r="AG298" i="30"/>
  <c r="AG306" i="30"/>
  <c r="AG314" i="30"/>
  <c r="AG322" i="30"/>
  <c r="AG330" i="30"/>
  <c r="AG338" i="30"/>
  <c r="AG346" i="30"/>
  <c r="AG354" i="30"/>
  <c r="AG362" i="30"/>
  <c r="AG370" i="30"/>
  <c r="AG378" i="30"/>
  <c r="AG386" i="30"/>
  <c r="AG394" i="30"/>
  <c r="AG402" i="30"/>
  <c r="AG410" i="30"/>
  <c r="AG418" i="30"/>
  <c r="AG426" i="30"/>
  <c r="AG434" i="30"/>
  <c r="AG442" i="30"/>
  <c r="AG450" i="30"/>
  <c r="AG458" i="30"/>
  <c r="AG466" i="30"/>
  <c r="AG474" i="30"/>
  <c r="AG482" i="30"/>
  <c r="AG490" i="30"/>
  <c r="AG498" i="30"/>
  <c r="AG8" i="30"/>
  <c r="AG28" i="30"/>
  <c r="AG51" i="30"/>
  <c r="AG72" i="30"/>
  <c r="AG92" i="30"/>
  <c r="AG115" i="30"/>
  <c r="AG136" i="30"/>
  <c r="AG156" i="30"/>
  <c r="AG179" i="30"/>
  <c r="AG200" i="30"/>
  <c r="AG220" i="30"/>
  <c r="AG243" i="30"/>
  <c r="AG264" i="30"/>
  <c r="AG284" i="30"/>
  <c r="AG307" i="30"/>
  <c r="AG328" i="30"/>
  <c r="AG348" i="30"/>
  <c r="AG371" i="30"/>
  <c r="AG392" i="30"/>
  <c r="AG412" i="30"/>
  <c r="AG435" i="30"/>
  <c r="AG452" i="30"/>
  <c r="AG464" i="30"/>
  <c r="AG478" i="30"/>
  <c r="AG491" i="30"/>
  <c r="AG503" i="30"/>
  <c r="AG514" i="30"/>
  <c r="AG524" i="30"/>
  <c r="AG535" i="30"/>
  <c r="AG546" i="30"/>
  <c r="AG556" i="30"/>
  <c r="AG567" i="30"/>
  <c r="AG578" i="30"/>
  <c r="AG588" i="30"/>
  <c r="AG599" i="30"/>
  <c r="AG610" i="30"/>
  <c r="AG620" i="30"/>
  <c r="AG631" i="30"/>
  <c r="AG642" i="30"/>
  <c r="AG652" i="30"/>
  <c r="AG663" i="30"/>
  <c r="AG674" i="30"/>
  <c r="AG684" i="30"/>
  <c r="AG692" i="30"/>
  <c r="AG700" i="30"/>
  <c r="AG708" i="30"/>
  <c r="AG716" i="30"/>
  <c r="AG724" i="30"/>
  <c r="AG732" i="30"/>
  <c r="AG740" i="30"/>
  <c r="AG748" i="30"/>
  <c r="AG756" i="30"/>
  <c r="AG764" i="30"/>
  <c r="AG772" i="30"/>
  <c r="AG780" i="30"/>
  <c r="AG788" i="30"/>
  <c r="AG796" i="30"/>
  <c r="AG804" i="30"/>
  <c r="AG812" i="30"/>
  <c r="AG820" i="30"/>
  <c r="AG828" i="30"/>
  <c r="AG836" i="30"/>
  <c r="AG844" i="30"/>
  <c r="AG852" i="30"/>
  <c r="AG860" i="30"/>
  <c r="AG868" i="30"/>
  <c r="AG876" i="30"/>
  <c r="AG884" i="30"/>
  <c r="AG892" i="30"/>
  <c r="AG900" i="30"/>
  <c r="AG908" i="30"/>
  <c r="AG916" i="30"/>
  <c r="AG924" i="30"/>
  <c r="AG932" i="30"/>
  <c r="AG940" i="30"/>
  <c r="AG948" i="30"/>
  <c r="AG956" i="30"/>
  <c r="AG964" i="30"/>
  <c r="AG972" i="30"/>
  <c r="AG980" i="30"/>
  <c r="AG988" i="30"/>
  <c r="AG996" i="30"/>
  <c r="AG1004" i="30"/>
  <c r="AG853" i="30"/>
  <c r="AG885" i="30"/>
  <c r="AG901" i="30"/>
  <c r="AG917" i="30"/>
  <c r="AG933" i="30"/>
  <c r="AG949" i="30"/>
  <c r="AG957" i="30"/>
  <c r="AG973" i="30"/>
  <c r="AG989" i="30"/>
  <c r="AG990" i="30"/>
  <c r="AG656" i="30"/>
  <c r="AG767" i="30"/>
  <c r="AG791" i="30"/>
  <c r="AG815" i="30"/>
  <c r="AG831" i="30"/>
  <c r="AG855" i="30"/>
  <c r="AG11" i="30"/>
  <c r="AG32" i="30"/>
  <c r="AG52" i="30"/>
  <c r="AG75" i="30"/>
  <c r="AG96" i="30"/>
  <c r="AG116" i="30"/>
  <c r="AG139" i="30"/>
  <c r="AG160" i="30"/>
  <c r="AG180" i="30"/>
  <c r="AG203" i="30"/>
  <c r="AG224" i="30"/>
  <c r="AG244" i="30"/>
  <c r="AG267" i="30"/>
  <c r="AG288" i="30"/>
  <c r="AG308" i="30"/>
  <c r="AG331" i="30"/>
  <c r="AG352" i="30"/>
  <c r="AG372" i="30"/>
  <c r="AG395" i="30"/>
  <c r="AG416" i="30"/>
  <c r="AG436" i="30"/>
  <c r="AG454" i="30"/>
  <c r="AG467" i="30"/>
  <c r="AG479" i="30"/>
  <c r="AG492" i="30"/>
  <c r="AG504" i="30"/>
  <c r="AG515" i="30"/>
  <c r="AG526" i="30"/>
  <c r="AG536" i="30"/>
  <c r="AG547" i="30"/>
  <c r="AG558" i="30"/>
  <c r="AG568" i="30"/>
  <c r="AG579" i="30"/>
  <c r="AG590" i="30"/>
  <c r="AG600" i="30"/>
  <c r="AG611" i="30"/>
  <c r="AG622" i="30"/>
  <c r="AG632" i="30"/>
  <c r="AG643" i="30"/>
  <c r="AG654" i="30"/>
  <c r="AG664" i="30"/>
  <c r="AG675" i="30"/>
  <c r="AG685" i="30"/>
  <c r="AG693" i="30"/>
  <c r="AG701" i="30"/>
  <c r="AG709" i="30"/>
  <c r="AG717" i="30"/>
  <c r="AG725" i="30"/>
  <c r="AG733" i="30"/>
  <c r="AG741" i="30"/>
  <c r="AG749" i="30"/>
  <c r="AG757" i="30"/>
  <c r="AG765" i="30"/>
  <c r="AG773" i="30"/>
  <c r="AG781" i="30"/>
  <c r="AG789" i="30"/>
  <c r="AG797" i="30"/>
  <c r="AG805" i="30"/>
  <c r="AG813" i="30"/>
  <c r="AG821" i="30"/>
  <c r="AG829" i="30"/>
  <c r="AG837" i="30"/>
  <c r="AG845" i="30"/>
  <c r="AG861" i="30"/>
  <c r="AG869" i="30"/>
  <c r="AG877" i="30"/>
  <c r="AG893" i="30"/>
  <c r="AG909" i="30"/>
  <c r="AG925" i="30"/>
  <c r="AG941" i="30"/>
  <c r="AG965" i="30"/>
  <c r="AG981" i="30"/>
  <c r="AG997" i="30"/>
  <c r="AG12" i="30"/>
  <c r="AG35" i="30"/>
  <c r="AG56" i="30"/>
  <c r="AG76" i="30"/>
  <c r="AG99" i="30"/>
  <c r="AG120" i="30"/>
  <c r="AG140" i="30"/>
  <c r="AG163" i="30"/>
  <c r="AG184" i="30"/>
  <c r="AG204" i="30"/>
  <c r="AG227" i="30"/>
  <c r="AG248" i="30"/>
  <c r="AG268" i="30"/>
  <c r="AG291" i="30"/>
  <c r="AG312" i="30"/>
  <c r="AG332" i="30"/>
  <c r="AG355" i="30"/>
  <c r="AG376" i="30"/>
  <c r="AG396" i="30"/>
  <c r="AG419" i="30"/>
  <c r="AG440" i="30"/>
  <c r="AG455" i="30"/>
  <c r="AG468" i="30"/>
  <c r="AG480" i="30"/>
  <c r="AG494" i="30"/>
  <c r="AG506" i="30"/>
  <c r="AG516" i="30"/>
  <c r="AG527" i="30"/>
  <c r="AG538" i="30"/>
  <c r="AG548" i="30"/>
  <c r="AG559" i="30"/>
  <c r="AG570" i="30"/>
  <c r="AG580" i="30"/>
  <c r="AG591" i="30"/>
  <c r="AG602" i="30"/>
  <c r="AG612" i="30"/>
  <c r="AG623" i="30"/>
  <c r="AG634" i="30"/>
  <c r="AG644" i="30"/>
  <c r="AG655" i="30"/>
  <c r="AG666" i="30"/>
  <c r="AG676" i="30"/>
  <c r="AG686" i="30"/>
  <c r="AG694" i="30"/>
  <c r="AG702" i="30"/>
  <c r="AG710" i="30"/>
  <c r="AG718" i="30"/>
  <c r="AG726" i="30"/>
  <c r="AG734" i="30"/>
  <c r="AG742" i="30"/>
  <c r="AG750" i="30"/>
  <c r="AG758" i="30"/>
  <c r="AG766" i="30"/>
  <c r="AG774" i="30"/>
  <c r="AG782" i="30"/>
  <c r="AG790" i="30"/>
  <c r="AG798" i="30"/>
  <c r="AG806" i="30"/>
  <c r="AG814" i="30"/>
  <c r="AG822" i="30"/>
  <c r="AG830" i="30"/>
  <c r="AG838" i="30"/>
  <c r="AG846" i="30"/>
  <c r="AG854" i="30"/>
  <c r="AG862" i="30"/>
  <c r="AG870" i="30"/>
  <c r="AG878" i="30"/>
  <c r="AG886" i="30"/>
  <c r="AG894" i="30"/>
  <c r="AG902" i="30"/>
  <c r="AG910" i="30"/>
  <c r="AG918" i="30"/>
  <c r="AG926" i="30"/>
  <c r="AG934" i="30"/>
  <c r="AG942" i="30"/>
  <c r="AG950" i="30"/>
  <c r="AG958" i="30"/>
  <c r="AG966" i="30"/>
  <c r="AG974" i="30"/>
  <c r="AG982" i="30"/>
  <c r="AG998" i="30"/>
  <c r="AG678" i="30"/>
  <c r="AG751" i="30"/>
  <c r="AG799" i="30"/>
  <c r="AG823" i="30"/>
  <c r="AG16" i="30"/>
  <c r="AG36" i="30"/>
  <c r="AG59" i="30"/>
  <c r="AG80" i="30"/>
  <c r="AG100" i="30"/>
  <c r="AG123" i="30"/>
  <c r="AG144" i="30"/>
  <c r="AG164" i="30"/>
  <c r="AG187" i="30"/>
  <c r="AG208" i="30"/>
  <c r="AG228" i="30"/>
  <c r="AG251" i="30"/>
  <c r="AG272" i="30"/>
  <c r="AG292" i="30"/>
  <c r="AG315" i="30"/>
  <c r="AG336" i="30"/>
  <c r="AG356" i="30"/>
  <c r="AG379" i="30"/>
  <c r="AG400" i="30"/>
  <c r="AG420" i="30"/>
  <c r="AG443" i="30"/>
  <c r="AG456" i="30"/>
  <c r="AG470" i="30"/>
  <c r="AG483" i="30"/>
  <c r="AG495" i="30"/>
  <c r="AG507" i="30"/>
  <c r="AG518" i="30"/>
  <c r="AG528" i="30"/>
  <c r="AG539" i="30"/>
  <c r="AG550" i="30"/>
  <c r="AG560" i="30"/>
  <c r="AG571" i="30"/>
  <c r="AG582" i="30"/>
  <c r="AG592" i="30"/>
  <c r="AG603" i="30"/>
  <c r="AG614" i="30"/>
  <c r="AG624" i="30"/>
  <c r="AG635" i="30"/>
  <c r="AG646" i="30"/>
  <c r="AG667" i="30"/>
  <c r="AG687" i="30"/>
  <c r="AG695" i="30"/>
  <c r="AG703" i="30"/>
  <c r="AG711" i="30"/>
  <c r="AG719" i="30"/>
  <c r="AG727" i="30"/>
  <c r="AG735" i="30"/>
  <c r="AG743" i="30"/>
  <c r="AG759" i="30"/>
  <c r="AG775" i="30"/>
  <c r="AG783" i="30"/>
  <c r="AG807" i="30"/>
  <c r="AG839" i="30"/>
  <c r="AG19" i="30"/>
  <c r="AG40" i="30"/>
  <c r="AG60" i="30"/>
  <c r="AG83" i="30"/>
  <c r="AG104" i="30"/>
  <c r="AG124" i="30"/>
  <c r="AG147" i="30"/>
  <c r="AG168" i="30"/>
  <c r="AG188" i="30"/>
  <c r="AG211" i="30"/>
  <c r="AG232" i="30"/>
  <c r="AG252" i="30"/>
  <c r="AG275" i="30"/>
  <c r="AG296" i="30"/>
  <c r="AG316" i="30"/>
  <c r="AG339" i="30"/>
  <c r="AG360" i="30"/>
  <c r="AG380" i="30"/>
  <c r="AG403" i="30"/>
  <c r="AG424" i="30"/>
  <c r="AG444" i="30"/>
  <c r="AG459" i="30"/>
  <c r="AG471" i="30"/>
  <c r="AG484" i="30"/>
  <c r="AG496" i="30"/>
  <c r="AG508" i="30"/>
  <c r="AG519" i="30"/>
  <c r="AG530" i="30"/>
  <c r="AG540" i="30"/>
  <c r="AG551" i="30"/>
  <c r="AG562" i="30"/>
  <c r="AG572" i="30"/>
  <c r="AG583" i="30"/>
  <c r="AG594" i="30"/>
  <c r="AG604" i="30"/>
  <c r="AG615" i="30"/>
  <c r="AG626" i="30"/>
  <c r="AG636" i="30"/>
  <c r="AG647" i="30"/>
  <c r="AG658" i="30"/>
  <c r="AG668" i="30"/>
  <c r="AG679" i="30"/>
  <c r="AG688" i="30"/>
  <c r="AG696" i="30"/>
  <c r="AG704" i="30"/>
  <c r="AG712" i="30"/>
  <c r="AG720" i="30"/>
  <c r="AG728" i="30"/>
  <c r="AG736" i="30"/>
  <c r="AG744" i="30"/>
  <c r="AG752" i="30"/>
  <c r="AG760" i="30"/>
  <c r="AG768" i="30"/>
  <c r="AG776" i="30"/>
  <c r="AG784" i="30"/>
  <c r="AG792" i="30"/>
  <c r="AG800" i="30"/>
  <c r="AG808" i="30"/>
  <c r="AG816" i="30"/>
  <c r="AG824" i="30"/>
  <c r="AG832" i="30"/>
  <c r="AG840" i="30"/>
  <c r="AG848" i="30"/>
  <c r="AG856" i="30"/>
  <c r="AG864" i="30"/>
  <c r="AG872" i="30"/>
  <c r="AG880" i="30"/>
  <c r="AG888" i="30"/>
  <c r="AG896" i="30"/>
  <c r="AG904" i="30"/>
  <c r="AG912" i="30"/>
  <c r="AG920" i="30"/>
  <c r="AG928" i="30"/>
  <c r="AG936" i="30"/>
  <c r="AG944" i="30"/>
  <c r="AG952" i="30"/>
  <c r="AG960" i="30"/>
  <c r="AG20" i="30"/>
  <c r="AG43" i="30"/>
  <c r="AG64" i="30"/>
  <c r="AG84" i="30"/>
  <c r="AG107" i="30"/>
  <c r="AG128" i="30"/>
  <c r="AG148" i="30"/>
  <c r="AG171" i="30"/>
  <c r="AG192" i="30"/>
  <c r="AG212" i="30"/>
  <c r="AG235" i="30"/>
  <c r="AG256" i="30"/>
  <c r="AG276" i="30"/>
  <c r="AG299" i="30"/>
  <c r="AG320" i="30"/>
  <c r="AG340" i="30"/>
  <c r="AG363" i="30"/>
  <c r="AG384" i="30"/>
  <c r="AG404" i="30"/>
  <c r="AG427" i="30"/>
  <c r="AG447" i="30"/>
  <c r="AG460" i="30"/>
  <c r="AG472" i="30"/>
  <c r="AG486" i="30"/>
  <c r="AG499" i="30"/>
  <c r="AG510" i="30"/>
  <c r="AG520" i="30"/>
  <c r="AG531" i="30"/>
  <c r="AG542" i="30"/>
  <c r="AG552" i="30"/>
  <c r="AG563" i="30"/>
  <c r="AG574" i="30"/>
  <c r="AG584" i="30"/>
  <c r="AG595" i="30"/>
  <c r="AG606" i="30"/>
  <c r="AG616" i="30"/>
  <c r="AG627" i="30"/>
  <c r="AG638" i="30"/>
  <c r="AG648" i="30"/>
  <c r="AG659" i="30"/>
  <c r="AG670" i="30"/>
  <c r="AG680" i="30"/>
  <c r="AG689" i="30"/>
  <c r="AG697" i="30"/>
  <c r="AG705" i="30"/>
  <c r="AG713" i="30"/>
  <c r="AG721" i="30"/>
  <c r="AG729" i="30"/>
  <c r="AG737" i="30"/>
  <c r="AG745" i="30"/>
  <c r="AG753" i="30"/>
  <c r="AG761" i="30"/>
  <c r="AG769" i="30"/>
  <c r="AG777" i="30"/>
  <c r="AG785" i="30"/>
  <c r="AG793" i="30"/>
  <c r="AG801" i="30"/>
  <c r="AG809" i="30"/>
  <c r="AG817" i="30"/>
  <c r="AG825" i="30"/>
  <c r="AG833" i="30"/>
  <c r="AG841" i="30"/>
  <c r="AG849" i="30"/>
  <c r="AG857" i="30"/>
  <c r="AG865" i="30"/>
  <c r="AG873" i="30"/>
  <c r="AG881" i="30"/>
  <c r="AG889" i="30"/>
  <c r="AG897" i="30"/>
  <c r="AG905" i="30"/>
  <c r="AG913" i="30"/>
  <c r="AG921" i="30"/>
  <c r="AG929" i="30"/>
  <c r="AG937" i="30"/>
  <c r="AG945" i="30"/>
  <c r="AG953" i="30"/>
  <c r="AG961" i="30"/>
  <c r="AG969" i="30"/>
  <c r="AG977" i="30"/>
  <c r="AG985" i="30"/>
  <c r="AG993" i="30"/>
  <c r="AG1001" i="30"/>
  <c r="AG914" i="30"/>
  <c r="AG946" i="30"/>
  <c r="AG24" i="30"/>
  <c r="AG44" i="30"/>
  <c r="AG67" i="30"/>
  <c r="AG88" i="30"/>
  <c r="AG108" i="30"/>
  <c r="AG131" i="30"/>
  <c r="AG152" i="30"/>
  <c r="AG172" i="30"/>
  <c r="AG195" i="30"/>
  <c r="AG216" i="30"/>
  <c r="AG236" i="30"/>
  <c r="AG259" i="30"/>
  <c r="AG280" i="30"/>
  <c r="AG300" i="30"/>
  <c r="AG323" i="30"/>
  <c r="AG344" i="30"/>
  <c r="AG364" i="30"/>
  <c r="AG387" i="30"/>
  <c r="AG408" i="30"/>
  <c r="AG428" i="30"/>
  <c r="AG448" i="30"/>
  <c r="AG462" i="30"/>
  <c r="AG475" i="30"/>
  <c r="AG487" i="30"/>
  <c r="AG500" i="30"/>
  <c r="AG511" i="30"/>
  <c r="AG522" i="30"/>
  <c r="AG532" i="30"/>
  <c r="AG543" i="30"/>
  <c r="AG554" i="30"/>
  <c r="AG564" i="30"/>
  <c r="AG575" i="30"/>
  <c r="AG586" i="30"/>
  <c r="AG596" i="30"/>
  <c r="AG607" i="30"/>
  <c r="AG618" i="30"/>
  <c r="AG628" i="30"/>
  <c r="AG639" i="30"/>
  <c r="AG650" i="30"/>
  <c r="AG660" i="30"/>
  <c r="AG671" i="30"/>
  <c r="AG682" i="30"/>
  <c r="AG690" i="30"/>
  <c r="AG698" i="30"/>
  <c r="AG706" i="30"/>
  <c r="AG714" i="30"/>
  <c r="AG722" i="30"/>
  <c r="AG730" i="30"/>
  <c r="AG738" i="30"/>
  <c r="AG746" i="30"/>
  <c r="AG754" i="30"/>
  <c r="AG762" i="30"/>
  <c r="AG770" i="30"/>
  <c r="AG778" i="30"/>
  <c r="AG786" i="30"/>
  <c r="AG794" i="30"/>
  <c r="AG802" i="30"/>
  <c r="AG810" i="30"/>
  <c r="AG818" i="30"/>
  <c r="AG826" i="30"/>
  <c r="AG834" i="30"/>
  <c r="AG842" i="30"/>
  <c r="AG850" i="30"/>
  <c r="AG858" i="30"/>
  <c r="AG866" i="30"/>
  <c r="AG874" i="30"/>
  <c r="AG882" i="30"/>
  <c r="AG890" i="30"/>
  <c r="AG898" i="30"/>
  <c r="AG906" i="30"/>
  <c r="AG922" i="30"/>
  <c r="AG930" i="30"/>
  <c r="AG938" i="30"/>
  <c r="AG27" i="30"/>
  <c r="AG196" i="30"/>
  <c r="AG368" i="30"/>
  <c r="AG502" i="30"/>
  <c r="AG587" i="30"/>
  <c r="AG672" i="30"/>
  <c r="AG739" i="30"/>
  <c r="AG803" i="30"/>
  <c r="AG859" i="30"/>
  <c r="AG891" i="30"/>
  <c r="AG923" i="30"/>
  <c r="AG954" i="30"/>
  <c r="AG971" i="30"/>
  <c r="AG987" i="30"/>
  <c r="AG1003" i="30"/>
  <c r="AG48" i="30"/>
  <c r="AG219" i="30"/>
  <c r="AG388" i="30"/>
  <c r="AG512" i="30"/>
  <c r="AG598" i="30"/>
  <c r="AG683" i="30"/>
  <c r="AG747" i="30"/>
  <c r="AG811" i="30"/>
  <c r="AG863" i="30"/>
  <c r="AG895" i="30"/>
  <c r="AG927" i="30"/>
  <c r="AG955" i="30"/>
  <c r="AG975" i="30"/>
  <c r="AG991" i="30"/>
  <c r="AG68" i="30"/>
  <c r="AG240" i="30"/>
  <c r="AG411" i="30"/>
  <c r="AG523" i="30"/>
  <c r="AG608" i="30"/>
  <c r="AG691" i="30"/>
  <c r="AG755" i="30"/>
  <c r="AG819" i="30"/>
  <c r="AG867" i="30"/>
  <c r="AG899" i="30"/>
  <c r="AG931" i="30"/>
  <c r="AG959" i="30"/>
  <c r="AG992" i="30"/>
  <c r="AG260" i="30"/>
  <c r="AG827" i="30"/>
  <c r="AG962" i="30"/>
  <c r="AG304" i="30"/>
  <c r="AG715" i="30"/>
  <c r="AG943" i="30"/>
  <c r="AG155" i="30"/>
  <c r="AG651" i="30"/>
  <c r="AG883" i="30"/>
  <c r="AG1000" i="30"/>
  <c r="AG576" i="30"/>
  <c r="AG851" i="30"/>
  <c r="AG986" i="30"/>
  <c r="AG976" i="30"/>
  <c r="AG619" i="30"/>
  <c r="AG871" i="30"/>
  <c r="AG935" i="30"/>
  <c r="AG994" i="30"/>
  <c r="AG979" i="30"/>
  <c r="AG555" i="30"/>
  <c r="AG879" i="30"/>
  <c r="AG983" i="30"/>
  <c r="AG324" i="30"/>
  <c r="AG847" i="30"/>
  <c r="AG968" i="30"/>
  <c r="AG347" i="30"/>
  <c r="AG731" i="30"/>
  <c r="AG951" i="30"/>
  <c r="AG91" i="30"/>
  <c r="AG432" i="30"/>
  <c r="AG534" i="30"/>
  <c r="AG699" i="30"/>
  <c r="AG763" i="30"/>
  <c r="AG903" i="30"/>
  <c r="AG978" i="30"/>
  <c r="AG995" i="30"/>
  <c r="AG640" i="30"/>
  <c r="AG843" i="30"/>
  <c r="AG967" i="30"/>
  <c r="AG566" i="30"/>
  <c r="AG787" i="30"/>
  <c r="AG947" i="30"/>
  <c r="AG488" i="30"/>
  <c r="AG795" i="30"/>
  <c r="AG919" i="30"/>
  <c r="AG1002" i="30"/>
  <c r="AG112" i="30"/>
  <c r="AG283" i="30"/>
  <c r="AG451" i="30"/>
  <c r="AG544" i="30"/>
  <c r="AG630" i="30"/>
  <c r="AG707" i="30"/>
  <c r="AG771" i="30"/>
  <c r="AG835" i="30"/>
  <c r="AG875" i="30"/>
  <c r="AG907" i="30"/>
  <c r="AG939" i="30"/>
  <c r="AG963" i="30"/>
  <c r="AG463" i="30"/>
  <c r="AG779" i="30"/>
  <c r="AG911" i="30"/>
  <c r="AG999" i="30"/>
  <c r="AG476" i="30"/>
  <c r="AG723" i="30"/>
  <c r="AG915" i="30"/>
  <c r="AG176" i="30"/>
  <c r="AG887" i="30"/>
  <c r="AG132" i="30"/>
  <c r="AG984" i="30"/>
  <c r="AG662" i="30"/>
  <c r="AG970" i="30"/>
  <c r="AG4" i="30"/>
  <c r="AF5" i="30"/>
  <c r="AF13" i="30"/>
  <c r="AF21" i="30"/>
  <c r="AF29" i="30"/>
  <c r="AF37" i="30"/>
  <c r="AF45" i="30"/>
  <c r="AF53" i="30"/>
  <c r="AF61" i="30"/>
  <c r="AF69" i="30"/>
  <c r="AF77" i="30"/>
  <c r="AF85" i="30"/>
  <c r="AF93" i="30"/>
  <c r="AF101" i="30"/>
  <c r="AF109" i="30"/>
  <c r="AF117" i="30"/>
  <c r="AF125" i="30"/>
  <c r="AF133" i="30"/>
  <c r="AF141" i="30"/>
  <c r="AF149" i="30"/>
  <c r="AF157" i="30"/>
  <c r="AF165" i="30"/>
  <c r="AF173" i="30"/>
  <c r="AF181" i="30"/>
  <c r="AF189" i="30"/>
  <c r="AF197" i="30"/>
  <c r="AF205" i="30"/>
  <c r="AF213" i="30"/>
  <c r="AF221" i="30"/>
  <c r="AF229" i="30"/>
  <c r="AF237" i="30"/>
  <c r="AF245" i="30"/>
  <c r="AF253" i="30"/>
  <c r="AF261" i="30"/>
  <c r="AF269" i="30"/>
  <c r="AF277" i="30"/>
  <c r="AF285" i="30"/>
  <c r="AF293" i="30"/>
  <c r="AF301" i="30"/>
  <c r="AF309" i="30"/>
  <c r="AF317" i="30"/>
  <c r="AF325" i="30"/>
  <c r="AF333" i="30"/>
  <c r="AF341" i="30"/>
  <c r="AF349" i="30"/>
  <c r="AF357" i="30"/>
  <c r="AF365" i="30"/>
  <c r="AF373" i="30"/>
  <c r="AF381" i="30"/>
  <c r="AF389" i="30"/>
  <c r="AF397" i="30"/>
  <c r="AF405" i="30"/>
  <c r="AF413" i="30"/>
  <c r="AF421" i="30"/>
  <c r="AF429" i="30"/>
  <c r="AF437" i="30"/>
  <c r="AF445" i="30"/>
  <c r="AF453" i="30"/>
  <c r="AF461" i="30"/>
  <c r="AF469" i="30"/>
  <c r="AF477" i="30"/>
  <c r="AF485" i="30"/>
  <c r="AF493" i="30"/>
  <c r="AF501" i="30"/>
  <c r="AF509" i="30"/>
  <c r="AF517" i="30"/>
  <c r="AF525" i="30"/>
  <c r="AF533" i="30"/>
  <c r="AF541" i="30"/>
  <c r="AF549" i="30"/>
  <c r="AF557" i="30"/>
  <c r="AF565" i="30"/>
  <c r="AF573" i="30"/>
  <c r="AF581" i="30"/>
  <c r="AF589" i="30"/>
  <c r="AF597" i="30"/>
  <c r="AF605" i="30"/>
  <c r="AF613" i="30"/>
  <c r="AF621" i="30"/>
  <c r="AF629" i="30"/>
  <c r="AF637" i="30"/>
  <c r="AF645" i="30"/>
  <c r="AF653" i="30"/>
  <c r="AF661" i="30"/>
  <c r="AF669" i="30"/>
  <c r="AF677" i="30"/>
  <c r="AF6" i="30"/>
  <c r="AF14" i="30"/>
  <c r="AF22" i="30"/>
  <c r="AF30" i="30"/>
  <c r="AF38" i="30"/>
  <c r="AF46" i="30"/>
  <c r="AF54" i="30"/>
  <c r="AF62" i="30"/>
  <c r="AF70" i="30"/>
  <c r="AF78" i="30"/>
  <c r="AF86" i="30"/>
  <c r="AF94" i="30"/>
  <c r="AF102" i="30"/>
  <c r="AF110" i="30"/>
  <c r="AF118" i="30"/>
  <c r="AF126" i="30"/>
  <c r="AF134" i="30"/>
  <c r="AF142" i="30"/>
  <c r="AF150" i="30"/>
  <c r="AF158" i="30"/>
  <c r="AF166" i="30"/>
  <c r="AF174" i="30"/>
  <c r="AF182" i="30"/>
  <c r="AF190" i="30"/>
  <c r="AF198" i="30"/>
  <c r="AF206" i="30"/>
  <c r="AF214" i="30"/>
  <c r="AF222" i="30"/>
  <c r="AF230" i="30"/>
  <c r="AF238" i="30"/>
  <c r="AF246" i="30"/>
  <c r="AF254" i="30"/>
  <c r="AF262" i="30"/>
  <c r="AF270" i="30"/>
  <c r="AF278" i="30"/>
  <c r="AF286" i="30"/>
  <c r="AF294" i="30"/>
  <c r="AF302" i="30"/>
  <c r="AF310" i="30"/>
  <c r="AF318" i="30"/>
  <c r="AF326" i="30"/>
  <c r="AF334" i="30"/>
  <c r="AF342" i="30"/>
  <c r="AF350" i="30"/>
  <c r="AF358" i="30"/>
  <c r="AF366" i="30"/>
  <c r="AF374" i="30"/>
  <c r="AF382" i="30"/>
  <c r="AF390" i="30"/>
  <c r="AF398" i="30"/>
  <c r="AF406" i="30"/>
  <c r="AF414" i="30"/>
  <c r="AF422" i="30"/>
  <c r="AF430" i="30"/>
  <c r="AF438" i="30"/>
  <c r="AF446" i="30"/>
  <c r="AF454" i="30"/>
  <c r="AF462" i="30"/>
  <c r="AF470" i="30"/>
  <c r="AF478" i="30"/>
  <c r="AF486" i="30"/>
  <c r="AF494" i="30"/>
  <c r="AF502" i="30"/>
  <c r="AF510" i="30"/>
  <c r="AF518" i="30"/>
  <c r="AF526" i="30"/>
  <c r="AF534" i="30"/>
  <c r="AF542" i="30"/>
  <c r="AF550" i="30"/>
  <c r="AF558" i="30"/>
  <c r="AF566" i="30"/>
  <c r="AF574" i="30"/>
  <c r="AF582" i="30"/>
  <c r="AF590" i="30"/>
  <c r="AF598" i="30"/>
  <c r="AF606" i="30"/>
  <c r="AF614" i="30"/>
  <c r="AF622" i="30"/>
  <c r="AF630" i="30"/>
  <c r="AF638" i="30"/>
  <c r="AF646" i="30"/>
  <c r="AF654" i="30"/>
  <c r="AF662" i="30"/>
  <c r="AF670" i="30"/>
  <c r="AF7" i="30"/>
  <c r="AF15" i="30"/>
  <c r="AF23" i="30"/>
  <c r="AF31" i="30"/>
  <c r="AF39" i="30"/>
  <c r="AF47" i="30"/>
  <c r="AF55" i="30"/>
  <c r="AF63" i="30"/>
  <c r="AF71" i="30"/>
  <c r="AF79" i="30"/>
  <c r="AF87" i="30"/>
  <c r="AF95" i="30"/>
  <c r="AF103" i="30"/>
  <c r="AF111" i="30"/>
  <c r="AF119" i="30"/>
  <c r="AF127" i="30"/>
  <c r="AF135" i="30"/>
  <c r="AF143" i="30"/>
  <c r="AF151" i="30"/>
  <c r="AF159" i="30"/>
  <c r="AF167" i="30"/>
  <c r="AF175" i="30"/>
  <c r="AF183" i="30"/>
  <c r="AF191" i="30"/>
  <c r="AF199" i="30"/>
  <c r="AF207" i="30"/>
  <c r="AF215" i="30"/>
  <c r="AF223" i="30"/>
  <c r="AF231" i="30"/>
  <c r="AF239" i="30"/>
  <c r="AF247" i="30"/>
  <c r="AF255" i="30"/>
  <c r="AF263" i="30"/>
  <c r="AF271" i="30"/>
  <c r="AF279" i="30"/>
  <c r="AF287" i="30"/>
  <c r="AF295" i="30"/>
  <c r="AF303" i="30"/>
  <c r="AF311" i="30"/>
  <c r="AF319" i="30"/>
  <c r="AF327" i="30"/>
  <c r="AF335" i="30"/>
  <c r="AF343" i="30"/>
  <c r="AF351" i="30"/>
  <c r="AF359" i="30"/>
  <c r="AF367" i="30"/>
  <c r="AF375" i="30"/>
  <c r="AF383" i="30"/>
  <c r="AF391" i="30"/>
  <c r="AF399" i="30"/>
  <c r="AF407" i="30"/>
  <c r="AF415" i="30"/>
  <c r="AF423" i="30"/>
  <c r="AF431" i="30"/>
  <c r="AF439" i="30"/>
  <c r="AF447" i="30"/>
  <c r="AF455" i="30"/>
  <c r="AF463" i="30"/>
  <c r="AF471" i="30"/>
  <c r="AF479" i="30"/>
  <c r="AF487" i="30"/>
  <c r="AF495" i="30"/>
  <c r="AF503" i="30"/>
  <c r="AF511" i="30"/>
  <c r="AF519" i="30"/>
  <c r="AF527" i="30"/>
  <c r="AF535" i="30"/>
  <c r="AF543" i="30"/>
  <c r="AF551" i="30"/>
  <c r="AF559" i="30"/>
  <c r="AF567" i="30"/>
  <c r="AF575" i="30"/>
  <c r="AF583" i="30"/>
  <c r="AF591" i="30"/>
  <c r="AF599" i="30"/>
  <c r="AF607" i="30"/>
  <c r="AF615" i="30"/>
  <c r="AF623" i="30"/>
  <c r="AF631" i="30"/>
  <c r="AF639" i="30"/>
  <c r="AF647" i="30"/>
  <c r="AF655" i="30"/>
  <c r="AF663" i="30"/>
  <c r="AF9" i="30"/>
  <c r="AF17" i="30"/>
  <c r="AF25" i="30"/>
  <c r="AF33" i="30"/>
  <c r="AF41" i="30"/>
  <c r="AF49" i="30"/>
  <c r="AF57" i="30"/>
  <c r="AF65" i="30"/>
  <c r="AF73" i="30"/>
  <c r="AF81" i="30"/>
  <c r="AF89" i="30"/>
  <c r="AF97" i="30"/>
  <c r="AF105" i="30"/>
  <c r="AF113" i="30"/>
  <c r="AF121" i="30"/>
  <c r="AF129" i="30"/>
  <c r="AF137" i="30"/>
  <c r="AF145" i="30"/>
  <c r="AF153" i="30"/>
  <c r="AF161" i="30"/>
  <c r="AF169" i="30"/>
  <c r="AF177" i="30"/>
  <c r="AF185" i="30"/>
  <c r="AF193" i="30"/>
  <c r="AF201" i="30"/>
  <c r="AF209" i="30"/>
  <c r="AF217" i="30"/>
  <c r="AF225" i="30"/>
  <c r="AF233" i="30"/>
  <c r="AF241" i="30"/>
  <c r="AF249" i="30"/>
  <c r="AF257" i="30"/>
  <c r="AF265" i="30"/>
  <c r="AF273" i="30"/>
  <c r="AF281" i="30"/>
  <c r="AF289" i="30"/>
  <c r="AF297" i="30"/>
  <c r="AF305" i="30"/>
  <c r="AF313" i="30"/>
  <c r="AF321" i="30"/>
  <c r="AF329" i="30"/>
  <c r="AF337" i="30"/>
  <c r="AF345" i="30"/>
  <c r="AF353" i="30"/>
  <c r="AF361" i="30"/>
  <c r="AF369" i="30"/>
  <c r="AF377" i="30"/>
  <c r="AF385" i="30"/>
  <c r="AF393" i="30"/>
  <c r="AF401" i="30"/>
  <c r="AF409" i="30"/>
  <c r="AF417" i="30"/>
  <c r="AF425" i="30"/>
  <c r="AF433" i="30"/>
  <c r="AF441" i="30"/>
  <c r="AF449" i="30"/>
  <c r="AF457" i="30"/>
  <c r="AF465" i="30"/>
  <c r="AF473" i="30"/>
  <c r="AF481" i="30"/>
  <c r="AF489" i="30"/>
  <c r="AF497" i="30"/>
  <c r="AF505" i="30"/>
  <c r="AF513" i="30"/>
  <c r="AF521" i="30"/>
  <c r="AF529" i="30"/>
  <c r="AF537" i="30"/>
  <c r="AF545" i="30"/>
  <c r="AF553" i="30"/>
  <c r="AF561" i="30"/>
  <c r="AF569" i="30"/>
  <c r="AF577" i="30"/>
  <c r="AF585" i="30"/>
  <c r="AF593" i="30"/>
  <c r="AF601" i="30"/>
  <c r="AF609" i="30"/>
  <c r="AF617" i="30"/>
  <c r="AF10" i="30"/>
  <c r="AF18" i="30"/>
  <c r="AF26" i="30"/>
  <c r="AF34" i="30"/>
  <c r="AF42" i="30"/>
  <c r="AF50" i="30"/>
  <c r="AF58" i="30"/>
  <c r="AF66" i="30"/>
  <c r="AF74" i="30"/>
  <c r="AF82" i="30"/>
  <c r="AF90" i="30"/>
  <c r="AF98" i="30"/>
  <c r="AF106" i="30"/>
  <c r="AF114" i="30"/>
  <c r="AF122" i="30"/>
  <c r="AF130" i="30"/>
  <c r="AF138" i="30"/>
  <c r="AF146" i="30"/>
  <c r="AF154" i="30"/>
  <c r="AF162" i="30"/>
  <c r="AF170" i="30"/>
  <c r="AF178" i="30"/>
  <c r="AF186" i="30"/>
  <c r="AF194" i="30"/>
  <c r="AF202" i="30"/>
  <c r="AF210" i="30"/>
  <c r="AF218" i="30"/>
  <c r="AF226" i="30"/>
  <c r="AF234" i="30"/>
  <c r="AF242" i="30"/>
  <c r="AF250" i="30"/>
  <c r="AF258" i="30"/>
  <c r="AF266" i="30"/>
  <c r="AF274" i="30"/>
  <c r="AF282" i="30"/>
  <c r="AF290" i="30"/>
  <c r="AF298" i="30"/>
  <c r="AF306" i="30"/>
  <c r="AF314" i="30"/>
  <c r="AF322" i="30"/>
  <c r="AF330" i="30"/>
  <c r="AF338" i="30"/>
  <c r="AF346" i="30"/>
  <c r="AF354" i="30"/>
  <c r="AF362" i="30"/>
  <c r="AF370" i="30"/>
  <c r="AF378" i="30"/>
  <c r="AF386" i="30"/>
  <c r="AF394" i="30"/>
  <c r="AF402" i="30"/>
  <c r="AF410" i="30"/>
  <c r="AF418" i="30"/>
  <c r="AF426" i="30"/>
  <c r="AF434" i="30"/>
  <c r="AF442" i="30"/>
  <c r="AF450" i="30"/>
  <c r="AF458" i="30"/>
  <c r="AF466" i="30"/>
  <c r="AF474" i="30"/>
  <c r="AF482" i="30"/>
  <c r="AF490" i="30"/>
  <c r="AF498" i="30"/>
  <c r="AF506" i="30"/>
  <c r="AF514" i="30"/>
  <c r="AF522" i="30"/>
  <c r="AF530" i="30"/>
  <c r="AF538" i="30"/>
  <c r="AF546" i="30"/>
  <c r="AF554" i="30"/>
  <c r="AF562" i="30"/>
  <c r="AF570" i="30"/>
  <c r="AF578" i="30"/>
  <c r="AF586" i="30"/>
  <c r="AF594" i="30"/>
  <c r="AF602" i="30"/>
  <c r="AF610" i="30"/>
  <c r="AF618" i="30"/>
  <c r="AF626" i="30"/>
  <c r="AF634" i="30"/>
  <c r="AF642" i="30"/>
  <c r="AF650" i="30"/>
  <c r="AF658" i="30"/>
  <c r="AF666" i="30"/>
  <c r="AF674" i="30"/>
  <c r="AF8" i="30"/>
  <c r="AF28" i="30"/>
  <c r="AF51" i="30"/>
  <c r="AF72" i="30"/>
  <c r="AF92" i="30"/>
  <c r="AF115" i="30"/>
  <c r="AF136" i="30"/>
  <c r="AF156" i="30"/>
  <c r="AF179" i="30"/>
  <c r="AF200" i="30"/>
  <c r="AF220" i="30"/>
  <c r="AF243" i="30"/>
  <c r="AF264" i="30"/>
  <c r="AF284" i="30"/>
  <c r="AF307" i="30"/>
  <c r="AF328" i="30"/>
  <c r="AF348" i="30"/>
  <c r="AF371" i="30"/>
  <c r="AF392" i="30"/>
  <c r="AF412" i="30"/>
  <c r="AF435" i="30"/>
  <c r="AF456" i="30"/>
  <c r="AF476" i="30"/>
  <c r="AF499" i="30"/>
  <c r="AF520" i="30"/>
  <c r="AF540" i="30"/>
  <c r="AF563" i="30"/>
  <c r="AF584" i="30"/>
  <c r="AF604" i="30"/>
  <c r="AF625" i="30"/>
  <c r="AF641" i="30"/>
  <c r="AF657" i="30"/>
  <c r="AF672" i="30"/>
  <c r="AF682" i="30"/>
  <c r="AF690" i="30"/>
  <c r="AF698" i="30"/>
  <c r="AF706" i="30"/>
  <c r="AF714" i="30"/>
  <c r="AF722" i="30"/>
  <c r="AF730" i="30"/>
  <c r="AF738" i="30"/>
  <c r="AF746" i="30"/>
  <c r="AF754" i="30"/>
  <c r="AF762" i="30"/>
  <c r="AF770" i="30"/>
  <c r="AF778" i="30"/>
  <c r="AF786" i="30"/>
  <c r="AF794" i="30"/>
  <c r="AF802" i="30"/>
  <c r="AF810" i="30"/>
  <c r="AF818" i="30"/>
  <c r="AF826" i="30"/>
  <c r="AF834" i="30"/>
  <c r="AF842" i="30"/>
  <c r="AF850" i="30"/>
  <c r="AF858" i="30"/>
  <c r="AF866" i="30"/>
  <c r="AF874" i="30"/>
  <c r="AF882" i="30"/>
  <c r="AF890" i="30"/>
  <c r="AF11" i="30"/>
  <c r="AF32" i="30"/>
  <c r="AF52" i="30"/>
  <c r="AF75" i="30"/>
  <c r="AF96" i="30"/>
  <c r="AF116" i="30"/>
  <c r="AF139" i="30"/>
  <c r="AF160" i="30"/>
  <c r="AF180" i="30"/>
  <c r="AF203" i="30"/>
  <c r="AF224" i="30"/>
  <c r="AF244" i="30"/>
  <c r="AF267" i="30"/>
  <c r="AF288" i="30"/>
  <c r="AF308" i="30"/>
  <c r="AF331" i="30"/>
  <c r="AF352" i="30"/>
  <c r="AF372" i="30"/>
  <c r="AF395" i="30"/>
  <c r="AF416" i="30"/>
  <c r="AF436" i="30"/>
  <c r="AF459" i="30"/>
  <c r="AF480" i="30"/>
  <c r="AF500" i="30"/>
  <c r="AF523" i="30"/>
  <c r="AF544" i="30"/>
  <c r="AF564" i="30"/>
  <c r="AF587" i="30"/>
  <c r="AF608" i="30"/>
  <c r="AF627" i="30"/>
  <c r="AF643" i="30"/>
  <c r="AF659" i="30"/>
  <c r="AF673" i="30"/>
  <c r="AF683" i="30"/>
  <c r="AF691" i="30"/>
  <c r="AF699" i="30"/>
  <c r="AF707" i="30"/>
  <c r="AF715" i="30"/>
  <c r="AF723" i="30"/>
  <c r="AF731" i="30"/>
  <c r="AF739" i="30"/>
  <c r="AF747" i="30"/>
  <c r="AF755" i="30"/>
  <c r="AF763" i="30"/>
  <c r="AF771" i="30"/>
  <c r="AF779" i="30"/>
  <c r="AF787" i="30"/>
  <c r="AF795" i="30"/>
  <c r="AF803" i="30"/>
  <c r="AF811" i="30"/>
  <c r="AF819" i="30"/>
  <c r="AF827" i="30"/>
  <c r="AF835" i="30"/>
  <c r="AF843" i="30"/>
  <c r="AF851" i="30"/>
  <c r="AF859" i="30"/>
  <c r="AF867" i="30"/>
  <c r="AF875" i="30"/>
  <c r="AF883" i="30"/>
  <c r="AF891" i="30"/>
  <c r="AF899" i="30"/>
  <c r="AF907" i="30"/>
  <c r="AF915" i="30"/>
  <c r="AF923" i="30"/>
  <c r="AF931" i="30"/>
  <c r="AF939" i="30"/>
  <c r="AF947" i="30"/>
  <c r="AF955" i="30"/>
  <c r="AF963" i="30"/>
  <c r="AF971" i="30"/>
  <c r="AF979" i="30"/>
  <c r="AF12" i="30"/>
  <c r="AF35" i="30"/>
  <c r="AF56" i="30"/>
  <c r="AF76" i="30"/>
  <c r="AF99" i="30"/>
  <c r="AF120" i="30"/>
  <c r="AF140" i="30"/>
  <c r="AF163" i="30"/>
  <c r="AF184" i="30"/>
  <c r="AF204" i="30"/>
  <c r="AF227" i="30"/>
  <c r="AF248" i="30"/>
  <c r="AF268" i="30"/>
  <c r="AF291" i="30"/>
  <c r="AF312" i="30"/>
  <c r="AF332" i="30"/>
  <c r="AF355" i="30"/>
  <c r="AF376" i="30"/>
  <c r="AF396" i="30"/>
  <c r="AF419" i="30"/>
  <c r="AF440" i="30"/>
  <c r="AF460" i="30"/>
  <c r="AF483" i="30"/>
  <c r="AF504" i="30"/>
  <c r="AF524" i="30"/>
  <c r="AF547" i="30"/>
  <c r="AF568" i="30"/>
  <c r="AF588" i="30"/>
  <c r="AF611" i="30"/>
  <c r="AF628" i="30"/>
  <c r="AF644" i="30"/>
  <c r="AF660" i="30"/>
  <c r="AF675" i="30"/>
  <c r="AF684" i="30"/>
  <c r="AF692" i="30"/>
  <c r="AF700" i="30"/>
  <c r="AF708" i="30"/>
  <c r="AF716" i="30"/>
  <c r="AF724" i="30"/>
  <c r="AF732" i="30"/>
  <c r="AF740" i="30"/>
  <c r="AF748" i="30"/>
  <c r="AF756" i="30"/>
  <c r="AF764" i="30"/>
  <c r="AF772" i="30"/>
  <c r="AF780" i="30"/>
  <c r="AF788" i="30"/>
  <c r="AF796" i="30"/>
  <c r="AF804" i="30"/>
  <c r="AF812" i="30"/>
  <c r="AF820" i="30"/>
  <c r="AF828" i="30"/>
  <c r="AF836" i="30"/>
  <c r="AF844" i="30"/>
  <c r="AF852" i="30"/>
  <c r="AF860" i="30"/>
  <c r="AF868" i="30"/>
  <c r="AF876" i="30"/>
  <c r="AF884" i="30"/>
  <c r="AF892" i="30"/>
  <c r="AF900" i="30"/>
  <c r="AF908" i="30"/>
  <c r="AF916" i="30"/>
  <c r="AF924" i="30"/>
  <c r="AF932" i="30"/>
  <c r="AF940" i="30"/>
  <c r="AF948" i="30"/>
  <c r="AF956" i="30"/>
  <c r="AF964" i="30"/>
  <c r="AF972" i="30"/>
  <c r="AF980" i="30"/>
  <c r="AF988" i="30"/>
  <c r="AF996" i="30"/>
  <c r="AF1004" i="30"/>
  <c r="AF701" i="30"/>
  <c r="AF765" i="30"/>
  <c r="AF805" i="30"/>
  <c r="AF821" i="30"/>
  <c r="AF837" i="30"/>
  <c r="AF853" i="30"/>
  <c r="AF877" i="30"/>
  <c r="AF893" i="30"/>
  <c r="AF909" i="30"/>
  <c r="AF925" i="30"/>
  <c r="AF941" i="30"/>
  <c r="AF16" i="30"/>
  <c r="AF36" i="30"/>
  <c r="AF59" i="30"/>
  <c r="AF80" i="30"/>
  <c r="AF100" i="30"/>
  <c r="AF123" i="30"/>
  <c r="AF144" i="30"/>
  <c r="AF164" i="30"/>
  <c r="AF187" i="30"/>
  <c r="AF208" i="30"/>
  <c r="AF228" i="30"/>
  <c r="AF251" i="30"/>
  <c r="AF272" i="30"/>
  <c r="AF292" i="30"/>
  <c r="AF315" i="30"/>
  <c r="AF336" i="30"/>
  <c r="AF356" i="30"/>
  <c r="AF379" i="30"/>
  <c r="AF400" i="30"/>
  <c r="AF420" i="30"/>
  <c r="AF443" i="30"/>
  <c r="AF464" i="30"/>
  <c r="AF484" i="30"/>
  <c r="AF507" i="30"/>
  <c r="AF528" i="30"/>
  <c r="AF548" i="30"/>
  <c r="AF571" i="30"/>
  <c r="AF592" i="30"/>
  <c r="AF612" i="30"/>
  <c r="AF632" i="30"/>
  <c r="AF648" i="30"/>
  <c r="AF664" i="30"/>
  <c r="AF676" i="30"/>
  <c r="AF685" i="30"/>
  <c r="AF693" i="30"/>
  <c r="AF709" i="30"/>
  <c r="AF717" i="30"/>
  <c r="AF725" i="30"/>
  <c r="AF733" i="30"/>
  <c r="AF741" i="30"/>
  <c r="AF749" i="30"/>
  <c r="AF757" i="30"/>
  <c r="AF773" i="30"/>
  <c r="AF781" i="30"/>
  <c r="AF789" i="30"/>
  <c r="AF797" i="30"/>
  <c r="AF813" i="30"/>
  <c r="AF829" i="30"/>
  <c r="AF845" i="30"/>
  <c r="AF861" i="30"/>
  <c r="AF869" i="30"/>
  <c r="AF885" i="30"/>
  <c r="AF901" i="30"/>
  <c r="AF917" i="30"/>
  <c r="AF933" i="30"/>
  <c r="AF949" i="30"/>
  <c r="AF19" i="30"/>
  <c r="AF40" i="30"/>
  <c r="AF60" i="30"/>
  <c r="AF83" i="30"/>
  <c r="AF104" i="30"/>
  <c r="AF124" i="30"/>
  <c r="AF147" i="30"/>
  <c r="AF168" i="30"/>
  <c r="AF188" i="30"/>
  <c r="AF211" i="30"/>
  <c r="AF232" i="30"/>
  <c r="AF252" i="30"/>
  <c r="AF275" i="30"/>
  <c r="AF296" i="30"/>
  <c r="AF316" i="30"/>
  <c r="AF339" i="30"/>
  <c r="AF360" i="30"/>
  <c r="AF380" i="30"/>
  <c r="AF403" i="30"/>
  <c r="AF424" i="30"/>
  <c r="AF444" i="30"/>
  <c r="AF467" i="30"/>
  <c r="AF488" i="30"/>
  <c r="AF508" i="30"/>
  <c r="AF531" i="30"/>
  <c r="AF552" i="30"/>
  <c r="AF572" i="30"/>
  <c r="AF595" i="30"/>
  <c r="AF616" i="30"/>
  <c r="AF633" i="30"/>
  <c r="AF649" i="30"/>
  <c r="AF665" i="30"/>
  <c r="AF678" i="30"/>
  <c r="AF686" i="30"/>
  <c r="AF694" i="30"/>
  <c r="AF702" i="30"/>
  <c r="AF710" i="30"/>
  <c r="AF718" i="30"/>
  <c r="AF726" i="30"/>
  <c r="AF734" i="30"/>
  <c r="AF742" i="30"/>
  <c r="AF750" i="30"/>
  <c r="AF758" i="30"/>
  <c r="AF766" i="30"/>
  <c r="AF774" i="30"/>
  <c r="AF782" i="30"/>
  <c r="AF790" i="30"/>
  <c r="AF798" i="30"/>
  <c r="AF806" i="30"/>
  <c r="AF814" i="30"/>
  <c r="AF822" i="30"/>
  <c r="AF830" i="30"/>
  <c r="AF838" i="30"/>
  <c r="AF846" i="30"/>
  <c r="AF854" i="30"/>
  <c r="AF862" i="30"/>
  <c r="AF870" i="30"/>
  <c r="AF878" i="30"/>
  <c r="AF886" i="30"/>
  <c r="AF894" i="30"/>
  <c r="AF902" i="30"/>
  <c r="AF910" i="30"/>
  <c r="AF918" i="30"/>
  <c r="AF926" i="30"/>
  <c r="AF934" i="30"/>
  <c r="AF942" i="30"/>
  <c r="AF950" i="30"/>
  <c r="AF958" i="30"/>
  <c r="AF966" i="30"/>
  <c r="AF974" i="30"/>
  <c r="AF982" i="30"/>
  <c r="AF990" i="30"/>
  <c r="AF998" i="30"/>
  <c r="AF20" i="30"/>
  <c r="AF43" i="30"/>
  <c r="AF64" i="30"/>
  <c r="AF84" i="30"/>
  <c r="AF107" i="30"/>
  <c r="AF128" i="30"/>
  <c r="AF148" i="30"/>
  <c r="AF171" i="30"/>
  <c r="AF192" i="30"/>
  <c r="AF212" i="30"/>
  <c r="AF235" i="30"/>
  <c r="AF256" i="30"/>
  <c r="AF276" i="30"/>
  <c r="AF299" i="30"/>
  <c r="AF320" i="30"/>
  <c r="AF340" i="30"/>
  <c r="AF363" i="30"/>
  <c r="AF384" i="30"/>
  <c r="AF404" i="30"/>
  <c r="AF427" i="30"/>
  <c r="AF448" i="30"/>
  <c r="AF468" i="30"/>
  <c r="AF491" i="30"/>
  <c r="AF512" i="30"/>
  <c r="AF532" i="30"/>
  <c r="AF555" i="30"/>
  <c r="AF576" i="30"/>
  <c r="AF596" i="30"/>
  <c r="AF619" i="30"/>
  <c r="AF635" i="30"/>
  <c r="AF651" i="30"/>
  <c r="AF667" i="30"/>
  <c r="AF679" i="30"/>
  <c r="AF687" i="30"/>
  <c r="AF695" i="30"/>
  <c r="AF703" i="30"/>
  <c r="AF711" i="30"/>
  <c r="AF719" i="30"/>
  <c r="AF727" i="30"/>
  <c r="AF735" i="30"/>
  <c r="AF743" i="30"/>
  <c r="AF751" i="30"/>
  <c r="AF759" i="30"/>
  <c r="AF767" i="30"/>
  <c r="AF775" i="30"/>
  <c r="AF783" i="30"/>
  <c r="AF791" i="30"/>
  <c r="AF799" i="30"/>
  <c r="AF807" i="30"/>
  <c r="AF815" i="30"/>
  <c r="AF823" i="30"/>
  <c r="AF831" i="30"/>
  <c r="AF839" i="30"/>
  <c r="AF847" i="30"/>
  <c r="AF855" i="30"/>
  <c r="AF863" i="30"/>
  <c r="AF871" i="30"/>
  <c r="AF879" i="30"/>
  <c r="AF887" i="30"/>
  <c r="AF895" i="30"/>
  <c r="AF903" i="30"/>
  <c r="AF911" i="30"/>
  <c r="AF919" i="30"/>
  <c r="AF927" i="30"/>
  <c r="AF935" i="30"/>
  <c r="AF943" i="30"/>
  <c r="AF951" i="30"/>
  <c r="AF959" i="30"/>
  <c r="AF967" i="30"/>
  <c r="AF975" i="30"/>
  <c r="AF24" i="30"/>
  <c r="AF108" i="30"/>
  <c r="AF195" i="30"/>
  <c r="AF280" i="30"/>
  <c r="AF364" i="30"/>
  <c r="AF451" i="30"/>
  <c r="AF536" i="30"/>
  <c r="AF620" i="30"/>
  <c r="AF680" i="30"/>
  <c r="AF712" i="30"/>
  <c r="AF744" i="30"/>
  <c r="AF776" i="30"/>
  <c r="AF808" i="30"/>
  <c r="AF840" i="30"/>
  <c r="AF872" i="30"/>
  <c r="AF898" i="30"/>
  <c r="AF921" i="30"/>
  <c r="AF944" i="30"/>
  <c r="AF961" i="30"/>
  <c r="AF977" i="30"/>
  <c r="AF989" i="30"/>
  <c r="AF1000" i="30"/>
  <c r="AF962" i="30"/>
  <c r="AF1001" i="30"/>
  <c r="AF216" i="30"/>
  <c r="AF300" i="30"/>
  <c r="AF387" i="30"/>
  <c r="AF472" i="30"/>
  <c r="AF556" i="30"/>
  <c r="AF636" i="30"/>
  <c r="AF720" i="30"/>
  <c r="AF752" i="30"/>
  <c r="AF784" i="30"/>
  <c r="AF848" i="30"/>
  <c r="AF880" i="30"/>
  <c r="AF928" i="30"/>
  <c r="AF946" i="30"/>
  <c r="AF981" i="30"/>
  <c r="AF992" i="30"/>
  <c r="AF1002" i="30"/>
  <c r="AF997" i="30"/>
  <c r="AF91" i="30"/>
  <c r="AF432" i="30"/>
  <c r="AF516" i="30"/>
  <c r="AF671" i="30"/>
  <c r="AF769" i="30"/>
  <c r="AF833" i="30"/>
  <c r="AF920" i="30"/>
  <c r="AF960" i="30"/>
  <c r="AF987" i="30"/>
  <c r="AF27" i="30"/>
  <c r="AF112" i="30"/>
  <c r="AF196" i="30"/>
  <c r="AF283" i="30"/>
  <c r="AF368" i="30"/>
  <c r="AF452" i="30"/>
  <c r="AF539" i="30"/>
  <c r="AF624" i="30"/>
  <c r="AF681" i="30"/>
  <c r="AF713" i="30"/>
  <c r="AF745" i="30"/>
  <c r="AF777" i="30"/>
  <c r="AF809" i="30"/>
  <c r="AF841" i="30"/>
  <c r="AF873" i="30"/>
  <c r="AF904" i="30"/>
  <c r="AF922" i="30"/>
  <c r="AF945" i="30"/>
  <c r="AF978" i="30"/>
  <c r="AF991" i="30"/>
  <c r="AF131" i="30"/>
  <c r="AF688" i="30"/>
  <c r="AF816" i="30"/>
  <c r="AF905" i="30"/>
  <c r="AF965" i="30"/>
  <c r="AF176" i="30"/>
  <c r="AF603" i="30"/>
  <c r="AF801" i="30"/>
  <c r="AF938" i="30"/>
  <c r="AF44" i="30"/>
  <c r="AF48" i="30"/>
  <c r="AF132" i="30"/>
  <c r="AF219" i="30"/>
  <c r="AF304" i="30"/>
  <c r="AF388" i="30"/>
  <c r="AF475" i="30"/>
  <c r="AF560" i="30"/>
  <c r="AF640" i="30"/>
  <c r="AF689" i="30"/>
  <c r="AF721" i="30"/>
  <c r="AF753" i="30"/>
  <c r="AF785" i="30"/>
  <c r="AF817" i="30"/>
  <c r="AF849" i="30"/>
  <c r="AF881" i="30"/>
  <c r="AF906" i="30"/>
  <c r="AF929" i="30"/>
  <c r="AF952" i="30"/>
  <c r="AF968" i="30"/>
  <c r="AF983" i="30"/>
  <c r="AF993" i="30"/>
  <c r="AF1003" i="30"/>
  <c r="AF172" i="30"/>
  <c r="AF259" i="30"/>
  <c r="AF344" i="30"/>
  <c r="AF428" i="30"/>
  <c r="AF600" i="30"/>
  <c r="AF704" i="30"/>
  <c r="AF768" i="30"/>
  <c r="AF832" i="30"/>
  <c r="AF896" i="30"/>
  <c r="AF937" i="30"/>
  <c r="AF973" i="30"/>
  <c r="AF260" i="30"/>
  <c r="AF737" i="30"/>
  <c r="AF897" i="30"/>
  <c r="AF999" i="30"/>
  <c r="AF67" i="30"/>
  <c r="AF152" i="30"/>
  <c r="AF236" i="30"/>
  <c r="AF323" i="30"/>
  <c r="AF408" i="30"/>
  <c r="AF492" i="30"/>
  <c r="AF579" i="30"/>
  <c r="AF652" i="30"/>
  <c r="AF696" i="30"/>
  <c r="AF728" i="30"/>
  <c r="AF760" i="30"/>
  <c r="AF792" i="30"/>
  <c r="AF824" i="30"/>
  <c r="AF856" i="30"/>
  <c r="AF888" i="30"/>
  <c r="AF912" i="30"/>
  <c r="AF930" i="30"/>
  <c r="AF953" i="30"/>
  <c r="AF969" i="30"/>
  <c r="AF984" i="30"/>
  <c r="AF994" i="30"/>
  <c r="AF88" i="30"/>
  <c r="AF515" i="30"/>
  <c r="AF668" i="30"/>
  <c r="AF736" i="30"/>
  <c r="AF800" i="30"/>
  <c r="AF864" i="30"/>
  <c r="AF914" i="30"/>
  <c r="AF957" i="30"/>
  <c r="AF986" i="30"/>
  <c r="AF347" i="30"/>
  <c r="AF705" i="30"/>
  <c r="AF865" i="30"/>
  <c r="AF976" i="30"/>
  <c r="AF68" i="30"/>
  <c r="AF155" i="30"/>
  <c r="AF240" i="30"/>
  <c r="AF324" i="30"/>
  <c r="AF411" i="30"/>
  <c r="AF496" i="30"/>
  <c r="AF580" i="30"/>
  <c r="AF656" i="30"/>
  <c r="AF697" i="30"/>
  <c r="AF729" i="30"/>
  <c r="AF761" i="30"/>
  <c r="AF793" i="30"/>
  <c r="AF825" i="30"/>
  <c r="AF857" i="30"/>
  <c r="AF889" i="30"/>
  <c r="AF913" i="30"/>
  <c r="AF936" i="30"/>
  <c r="AF954" i="30"/>
  <c r="AF970" i="30"/>
  <c r="AF985" i="30"/>
  <c r="AF995" i="30"/>
  <c r="AF4" i="30"/>
  <c r="F94" i="28"/>
  <c r="E94" i="28"/>
  <c r="G94" i="28"/>
  <c r="I92" i="28"/>
  <c r="H94" i="28" l="1"/>
  <c r="I94" i="28"/>
  <c r="I93" i="28"/>
  <c r="H96" i="28" l="1"/>
  <c r="H97" i="28" s="1"/>
  <c r="I96" i="28" l="1"/>
  <c r="I97" i="28" s="1"/>
  <c r="G99" i="28" s="1"/>
  <c r="J94" i="28" l="1"/>
  <c r="K94" i="28" l="1"/>
  <c r="J93" i="28"/>
  <c r="L94" i="28"/>
  <c r="J92" i="28" l="1"/>
  <c r="L93" i="28"/>
  <c r="K93" i="28"/>
  <c r="M94" i="28"/>
  <c r="K92" i="28" l="1"/>
  <c r="M93" i="28"/>
  <c r="J91" i="28"/>
  <c r="L92" i="28"/>
  <c r="J90" i="28" l="1"/>
  <c r="L91" i="28"/>
  <c r="K91" i="28"/>
  <c r="M92" i="28"/>
  <c r="K90" i="28" l="1"/>
  <c r="M91" i="28"/>
  <c r="J89" i="28"/>
  <c r="L90" i="28"/>
  <c r="J88" i="28" l="1"/>
  <c r="L89" i="28"/>
  <c r="K89" i="28"/>
  <c r="M90" i="28"/>
  <c r="K88" i="28" l="1"/>
  <c r="M89" i="28"/>
  <c r="J87" i="28"/>
  <c r="L88" i="28"/>
  <c r="J86" i="28" l="1"/>
  <c r="L87" i="28"/>
  <c r="K87" i="28"/>
  <c r="M88" i="28"/>
  <c r="K86" i="28" l="1"/>
  <c r="M87" i="28"/>
  <c r="J85" i="28"/>
  <c r="L86" i="28"/>
  <c r="J84" i="28" l="1"/>
  <c r="L85" i="28"/>
  <c r="K85" i="28"/>
  <c r="M86" i="28"/>
  <c r="K84" i="28" l="1"/>
  <c r="M85" i="28"/>
  <c r="J83" i="28"/>
  <c r="L84" i="28"/>
  <c r="J82" i="28" l="1"/>
  <c r="L83" i="28"/>
  <c r="K83" i="28"/>
  <c r="M84" i="28"/>
  <c r="K82" i="28" l="1"/>
  <c r="M83" i="28"/>
  <c r="J81" i="28"/>
  <c r="L82" i="28"/>
  <c r="J80" i="28" l="1"/>
  <c r="L81" i="28"/>
  <c r="K81" i="28"/>
  <c r="M82" i="28"/>
  <c r="K80" i="28" l="1"/>
  <c r="M81" i="28"/>
  <c r="J79" i="28"/>
  <c r="L80" i="28"/>
  <c r="J78" i="28" l="1"/>
  <c r="L79" i="28"/>
  <c r="K79" i="28"/>
  <c r="M80" i="28"/>
  <c r="K78" i="28" l="1"/>
  <c r="M79" i="28"/>
  <c r="J77" i="28"/>
  <c r="L78" i="28"/>
  <c r="J76" i="28" l="1"/>
  <c r="L77" i="28"/>
  <c r="K77" i="28"/>
  <c r="M78" i="28"/>
  <c r="K76" i="28" l="1"/>
  <c r="M77" i="28"/>
  <c r="J75" i="28"/>
  <c r="L76" i="28"/>
  <c r="J74" i="28" l="1"/>
  <c r="L75" i="28"/>
  <c r="K75" i="28"/>
  <c r="M76" i="28"/>
  <c r="K74" i="28" l="1"/>
  <c r="M75" i="28"/>
  <c r="J73" i="28"/>
  <c r="L74" i="28"/>
  <c r="J72" i="28" l="1"/>
  <c r="L73" i="28"/>
  <c r="K73" i="28"/>
  <c r="M74" i="28"/>
  <c r="K72" i="28" l="1"/>
  <c r="M73" i="28"/>
  <c r="J71" i="28"/>
  <c r="L72" i="28"/>
  <c r="J70" i="28" l="1"/>
  <c r="L71" i="28"/>
  <c r="K71" i="28"/>
  <c r="M72" i="28"/>
  <c r="K70" i="28" l="1"/>
  <c r="M71" i="28"/>
  <c r="J69" i="28"/>
  <c r="L70" i="28"/>
  <c r="J68" i="28" l="1"/>
  <c r="L69" i="28"/>
  <c r="K69" i="28"/>
  <c r="M70" i="28"/>
  <c r="K68" i="28" l="1"/>
  <c r="M69" i="28"/>
  <c r="J67" i="28"/>
  <c r="L68" i="28"/>
  <c r="J66" i="28" l="1"/>
  <c r="L67" i="28"/>
  <c r="K67" i="28"/>
  <c r="M68" i="28"/>
  <c r="K66" i="28" l="1"/>
  <c r="M67" i="28"/>
  <c r="J65" i="28"/>
  <c r="L66" i="28"/>
  <c r="J64" i="28" l="1"/>
  <c r="L65" i="28"/>
  <c r="K65" i="28"/>
  <c r="M66" i="28"/>
  <c r="K64" i="28" l="1"/>
  <c r="M65" i="28"/>
  <c r="J63" i="28"/>
  <c r="L64" i="28"/>
  <c r="J62" i="28" l="1"/>
  <c r="L63" i="28"/>
  <c r="K63" i="28"/>
  <c r="M64" i="28"/>
  <c r="K62" i="28" l="1"/>
  <c r="M63" i="28"/>
  <c r="J61" i="28"/>
  <c r="L62" i="28"/>
  <c r="J60" i="28" l="1"/>
  <c r="L61" i="28"/>
  <c r="K61" i="28"/>
  <c r="M62" i="28"/>
  <c r="K60" i="28" l="1"/>
  <c r="M61" i="28"/>
  <c r="J59" i="28"/>
  <c r="L60" i="28"/>
  <c r="J58" i="28" l="1"/>
  <c r="L59" i="28"/>
  <c r="K59" i="28"/>
  <c r="M60" i="28"/>
  <c r="K58" i="28" l="1"/>
  <c r="M59" i="28"/>
  <c r="J57" i="28"/>
  <c r="L58" i="28"/>
  <c r="J56" i="28" l="1"/>
  <c r="L57" i="28"/>
  <c r="K57" i="28"/>
  <c r="M58" i="28"/>
  <c r="K56" i="28" l="1"/>
  <c r="M57" i="28"/>
  <c r="J55" i="28"/>
  <c r="L56" i="28"/>
  <c r="J54" i="28" l="1"/>
  <c r="L55" i="28"/>
  <c r="K55" i="28"/>
  <c r="M56" i="28"/>
  <c r="K54" i="28" l="1"/>
  <c r="M55" i="28"/>
  <c r="J53" i="28"/>
  <c r="L54" i="28"/>
  <c r="J52" i="28" l="1"/>
  <c r="L53" i="28"/>
  <c r="K53" i="28"/>
  <c r="M54" i="28"/>
  <c r="K52" i="28" l="1"/>
  <c r="M53" i="28"/>
  <c r="J51" i="28"/>
  <c r="L52" i="28"/>
  <c r="J50" i="28" l="1"/>
  <c r="L51" i="28"/>
  <c r="K51" i="28"/>
  <c r="M52" i="28"/>
  <c r="K50" i="28" l="1"/>
  <c r="M51" i="28"/>
  <c r="J49" i="28"/>
  <c r="L50" i="28"/>
  <c r="J48" i="28" l="1"/>
  <c r="L49" i="28"/>
  <c r="K49" i="28"/>
  <c r="M50" i="28"/>
  <c r="K48" i="28" l="1"/>
  <c r="M49" i="28"/>
  <c r="J47" i="28"/>
  <c r="L48" i="28"/>
  <c r="J46" i="28" l="1"/>
  <c r="L47" i="28"/>
  <c r="K47" i="28"/>
  <c r="M48" i="28"/>
  <c r="K46" i="28" l="1"/>
  <c r="M47" i="28"/>
  <c r="J45" i="28"/>
  <c r="L46" i="28"/>
  <c r="J44" i="28" l="1"/>
  <c r="L45" i="28"/>
  <c r="K45" i="28"/>
  <c r="M46" i="28"/>
  <c r="K44" i="28" l="1"/>
  <c r="M45" i="28"/>
  <c r="J43" i="28"/>
  <c r="L44" i="28"/>
  <c r="J42" i="28" l="1"/>
  <c r="L43" i="28"/>
  <c r="K43" i="28"/>
  <c r="M44" i="28"/>
  <c r="K42" i="28" l="1"/>
  <c r="M43" i="28"/>
  <c r="J41" i="28"/>
  <c r="L42" i="28"/>
  <c r="J40" i="28" l="1"/>
  <c r="L41" i="28"/>
  <c r="K41" i="28"/>
  <c r="M42" i="28"/>
  <c r="K40" i="28" l="1"/>
  <c r="M41" i="28"/>
  <c r="J39" i="28"/>
  <c r="L40" i="28"/>
  <c r="J38" i="28" l="1"/>
  <c r="L39" i="28"/>
  <c r="K39" i="28"/>
  <c r="M40" i="28"/>
  <c r="K38" i="28" l="1"/>
  <c r="M39" i="28"/>
  <c r="J37" i="28"/>
  <c r="L38" i="28"/>
  <c r="J36" i="28" l="1"/>
  <c r="L37" i="28"/>
  <c r="K37" i="28"/>
  <c r="M38" i="28"/>
  <c r="K36" i="28" l="1"/>
  <c r="M37" i="28"/>
  <c r="J35" i="28"/>
  <c r="L36" i="28"/>
  <c r="J34" i="28" l="1"/>
  <c r="L35" i="28"/>
  <c r="K35" i="28"/>
  <c r="M36" i="28"/>
  <c r="K34" i="28" l="1"/>
  <c r="M35" i="28"/>
  <c r="J33" i="28"/>
  <c r="L34" i="28"/>
  <c r="J32" i="28" l="1"/>
  <c r="L33" i="28"/>
  <c r="K33" i="28"/>
  <c r="M34" i="28"/>
  <c r="K32" i="28" l="1"/>
  <c r="M33" i="28"/>
  <c r="J31" i="28"/>
  <c r="L32" i="28"/>
  <c r="J30" i="28" l="1"/>
  <c r="L31" i="28"/>
  <c r="K31" i="28"/>
  <c r="M32" i="28"/>
  <c r="K30" i="28" l="1"/>
  <c r="M31" i="28"/>
  <c r="J29" i="28"/>
  <c r="L30" i="28"/>
  <c r="J28" i="28" l="1"/>
  <c r="L29" i="28"/>
  <c r="K29" i="28"/>
  <c r="M30" i="28"/>
  <c r="K28" i="28" l="1"/>
  <c r="M29" i="28"/>
  <c r="J27" i="28"/>
  <c r="L28" i="28"/>
  <c r="J26" i="28" l="1"/>
  <c r="L27" i="28"/>
  <c r="K27" i="28"/>
  <c r="M28" i="28"/>
  <c r="K26" i="28" l="1"/>
  <c r="M27" i="28"/>
  <c r="J25" i="28"/>
  <c r="L26" i="28"/>
  <c r="J24" i="28" l="1"/>
  <c r="L25" i="28"/>
  <c r="K25" i="28"/>
  <c r="M26" i="28"/>
  <c r="K24" i="28" l="1"/>
  <c r="M25" i="28"/>
  <c r="J23" i="28"/>
  <c r="L24" i="28"/>
  <c r="J22" i="28" l="1"/>
  <c r="L23" i="28"/>
  <c r="K23" i="28"/>
  <c r="M24" i="28"/>
  <c r="K22" i="28" l="1"/>
  <c r="M23" i="28"/>
  <c r="J21" i="28"/>
  <c r="L22" i="28"/>
  <c r="J20" i="28" l="1"/>
  <c r="L21" i="28"/>
  <c r="K21" i="28"/>
  <c r="M22" i="28"/>
  <c r="K20" i="28" l="1"/>
  <c r="M21" i="28"/>
  <c r="J19" i="28"/>
  <c r="L20" i="28"/>
  <c r="J18" i="28" l="1"/>
  <c r="L19" i="28"/>
  <c r="K19" i="28"/>
  <c r="M20" i="28"/>
  <c r="K18" i="28" l="1"/>
  <c r="M19" i="28"/>
  <c r="J17" i="28"/>
  <c r="L18" i="28"/>
  <c r="J16" i="28" l="1"/>
  <c r="L17" i="28"/>
  <c r="K17" i="28"/>
  <c r="M18" i="28"/>
  <c r="K16" i="28" l="1"/>
  <c r="M17" i="28"/>
  <c r="J15" i="28"/>
  <c r="L16" i="28"/>
  <c r="J14" i="28" l="1"/>
  <c r="L15" i="28"/>
  <c r="K15" i="28"/>
  <c r="M16" i="28"/>
  <c r="K14" i="28" l="1"/>
  <c r="M15" i="28"/>
  <c r="J13" i="28"/>
  <c r="L14" i="28"/>
  <c r="J12" i="28" l="1"/>
  <c r="L13" i="28"/>
  <c r="K13" i="28"/>
  <c r="M14" i="28"/>
  <c r="K12" i="28" l="1"/>
  <c r="M13" i="28"/>
  <c r="J11" i="28"/>
  <c r="L12" i="28"/>
  <c r="J10" i="28" l="1"/>
  <c r="L11" i="28"/>
  <c r="K11" i="28"/>
  <c r="M12" i="28"/>
  <c r="K10" i="28" l="1"/>
  <c r="M11" i="28"/>
  <c r="J9" i="28"/>
  <c r="L10" i="28"/>
  <c r="J8" i="28" l="1"/>
  <c r="L9" i="28"/>
  <c r="K9" i="28"/>
  <c r="M10" i="28"/>
  <c r="K8" i="28" l="1"/>
  <c r="M9" i="28"/>
  <c r="J7" i="28"/>
  <c r="L8" i="28"/>
  <c r="J6" i="28" l="1"/>
  <c r="L7" i="28"/>
  <c r="K7" i="28"/>
  <c r="M8" i="28"/>
  <c r="K6" i="28" l="1"/>
  <c r="M7" i="28"/>
  <c r="J5" i="28"/>
  <c r="L6" i="28"/>
  <c r="J4" i="28" l="1"/>
  <c r="L4" i="28" s="1"/>
  <c r="L5" i="28"/>
  <c r="K5" i="28"/>
  <c r="M6" i="28"/>
  <c r="K4" i="28" l="1"/>
  <c r="M4" i="28" s="1"/>
  <c r="M5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tc={DA2308AC-E239-4147-90DD-D0422D5A3EEB}</author>
  </authors>
  <commentList>
    <comment ref="X8" authorId="0" shapeId="0" xr:uid="{DA2308AC-E239-4147-90DD-D0422D5A3EEB}">
      <text>
        <t>[Threaded comment]
Your version of Excel allows you to read this threaded comment; however, any edits to it will get removed if the file is opened in a newer version of Excel. Learn more: https://go.microsoft.com/fwlink/?linkid=870924
Comment:
    lf_adl is a tunnel state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tc={A2D7CEDE-4886-FB46-81C8-27AEA6D43680}</author>
  </authors>
  <commentList>
    <comment ref="X8" authorId="0" shapeId="0" xr:uid="{A2D7CEDE-4886-FB46-81C8-27AEA6D43680}">
      <text>
        <t>[Threaded comment]
Your version of Excel allows you to read this threaded comment; however, any edits to it will get removed if the file is opened in a newer version of Excel. Learn more: https://go.microsoft.com/fwlink/?linkid=870924
Comment:
    lf_adl is a tunnel state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tc={94A280FA-BAD9-F247-A515-2D2D7D0F44C3}</author>
  </authors>
  <commentList>
    <comment ref="X8" authorId="0" shapeId="0" xr:uid="{94A280FA-BAD9-F247-A515-2D2D7D0F44C3}">
      <text>
        <t>[Threaded comment]
Your version of Excel allows you to read this threaded comment; however, any edits to it will get removed if the file is opened in a newer version of Excel. Learn more: https://go.microsoft.com/fwlink/?linkid=870924
Comment:
    lf_adl is a tunnel state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tc={7459D03F-C441-3C44-977F-72736E325F4A}</author>
  </authors>
  <commentList>
    <comment ref="X8" authorId="0" shapeId="0" xr:uid="{7459D03F-C441-3C44-977F-72736E325F4A}">
      <text>
        <t>[Threaded comment]
Your version of Excel allows you to read this threaded comment; however, any edits to it will get removed if the file is opened in a newer version of Excel. Learn more: https://go.microsoft.com/fwlink/?linkid=870924
Comment:
    lf_adl is a tunnel state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<sst xmlns="http://schemas.openxmlformats.org/spreadsheetml/2006/main" count="1195" uniqueCount="953">
  <si>
    <t>Country Details</t>
  </si>
  <si>
    <t>Country</t>
  </si>
  <si>
    <t>Training</t>
  </si>
  <si>
    <t>Notes</t>
  </si>
  <si>
    <t>Exchange Rate</t>
  </si>
  <si>
    <t>Local Currency</t>
  </si>
  <si>
    <t>GPD Per Capita</t>
  </si>
  <si>
    <t>Population Estimates</t>
  </si>
  <si>
    <t>Sierra Leone</t>
  </si>
  <si>
    <t>In USD</t>
  </si>
  <si>
    <t>Population Growth Rate</t>
  </si>
  <si>
    <t>Enter values in yellow cells</t>
  </si>
  <si>
    <t>District</t>
  </si>
  <si>
    <t>Kailahun</t>
  </si>
  <si>
    <t>Kenema</t>
  </si>
  <si>
    <t>Kono</t>
  </si>
  <si>
    <t>Bombali</t>
  </si>
  <si>
    <t>Kambia</t>
  </si>
  <si>
    <t>Koinadugu</t>
  </si>
  <si>
    <t>Port Loko</t>
  </si>
  <si>
    <t>Tonkolili</t>
  </si>
  <si>
    <t>Bonthe</t>
  </si>
  <si>
    <t>Moyamba</t>
  </si>
  <si>
    <t>Pujehun</t>
  </si>
  <si>
    <t>Discount rate</t>
  </si>
  <si>
    <t>Notes:</t>
  </si>
  <si>
    <t>Others</t>
  </si>
  <si>
    <t>Costing Tool for NTDS</t>
  </si>
  <si>
    <t>Social Mobilization</t>
  </si>
  <si>
    <t>Country Name</t>
  </si>
  <si>
    <t>Date Updated</t>
  </si>
  <si>
    <t>Activity</t>
  </si>
  <si>
    <t>Year</t>
  </si>
  <si>
    <t>Influence of other interventions on NTD prevalence</t>
  </si>
  <si>
    <t>Estimated future impact</t>
  </si>
  <si>
    <t>Scale pace</t>
  </si>
  <si>
    <t>Bed nets and home improvements for malaria prevention also protect against LF</t>
  </si>
  <si>
    <t>Est. current impact</t>
  </si>
  <si>
    <t>NTD program activities</t>
  </si>
  <si>
    <t>All population coverage</t>
  </si>
  <si>
    <t>Sub-set</t>
  </si>
  <si>
    <t>Current coverage</t>
  </si>
  <si>
    <t>Target coverage</t>
  </si>
  <si>
    <t>Scale-up pace</t>
  </si>
  <si>
    <t>Inflation rate</t>
  </si>
  <si>
    <t>Age</t>
  </si>
  <si>
    <t>Key</t>
  </si>
  <si>
    <t>All-cause mortality rate</t>
  </si>
  <si>
    <t>NTD-related mortality rate</t>
  </si>
  <si>
    <t>beta</t>
  </si>
  <si>
    <t>Decrement lifetable</t>
  </si>
  <si>
    <t>Age x</t>
  </si>
  <si>
    <t>qxAC</t>
  </si>
  <si>
    <t>qxNTD</t>
  </si>
  <si>
    <t xml:space="preserve">lxAC </t>
  </si>
  <si>
    <t>LxAC</t>
  </si>
  <si>
    <t>Total Lx</t>
  </si>
  <si>
    <t>Life Expectancy</t>
  </si>
  <si>
    <t>years</t>
  </si>
  <si>
    <t>Increased  life expectancy due to NTD elimination</t>
  </si>
  <si>
    <t>NTD-specific mortality rate</t>
  </si>
  <si>
    <t>lxAC</t>
  </si>
  <si>
    <t>lx(AC-NTD)</t>
  </si>
  <si>
    <t>Number of people alive if NTDs eliminated</t>
  </si>
  <si>
    <t>Lx(AC-NTD)</t>
  </si>
  <si>
    <t>Change radix from 100,000 to desired population if necessary</t>
  </si>
  <si>
    <t>qxAC values derived from WHO lifetables for Sierra Leone - 2016</t>
  </si>
  <si>
    <t>Summary Results</t>
  </si>
  <si>
    <t xml:space="preserve">Effect </t>
  </si>
  <si>
    <t>Cost</t>
  </si>
  <si>
    <t>Effect</t>
  </si>
  <si>
    <t>Mean</t>
  </si>
  <si>
    <t>Standard Deviation</t>
  </si>
  <si>
    <t>Standard Error</t>
  </si>
  <si>
    <t>lower 95% CI</t>
  </si>
  <si>
    <t>Upper 95% CI</t>
  </si>
  <si>
    <t>ICER</t>
  </si>
  <si>
    <t>Point Estimates</t>
  </si>
  <si>
    <t>Correlation (no-program)</t>
  </si>
  <si>
    <t>Correlation (program)</t>
  </si>
  <si>
    <t>Correlation (difference)</t>
  </si>
  <si>
    <t>Methodology adapted from: Gray et al,2006</t>
  </si>
  <si>
    <t>Difference</t>
  </si>
  <si>
    <t>Parametric Uncertainty Analysis</t>
  </si>
  <si>
    <t>Parametric CEA Curve</t>
  </si>
  <si>
    <t>Rc</t>
  </si>
  <si>
    <t>NB</t>
  </si>
  <si>
    <t>seNB</t>
  </si>
  <si>
    <t>z</t>
  </si>
  <si>
    <t>pCE</t>
  </si>
  <si>
    <t>Placeholder data</t>
  </si>
  <si>
    <t>Theshold</t>
  </si>
  <si>
    <t>Net benefit</t>
  </si>
  <si>
    <t>Standard error NB</t>
  </si>
  <si>
    <t>Probability  cost-effective</t>
  </si>
  <si>
    <t>z-score</t>
  </si>
  <si>
    <t>deterministic</t>
  </si>
  <si>
    <t>probabilistic</t>
  </si>
  <si>
    <t>Trial</t>
  </si>
  <si>
    <t>Next &gt;</t>
  </si>
  <si>
    <t>Dea</t>
  </si>
  <si>
    <t>Jawie</t>
  </si>
  <si>
    <t>Kissi Kama</t>
  </si>
  <si>
    <t>Kissi Teng</t>
  </si>
  <si>
    <t>Kissi Tongi</t>
  </si>
  <si>
    <t>Kpeje Bongre</t>
  </si>
  <si>
    <t>Kpeje West</t>
  </si>
  <si>
    <t>Luawa</t>
  </si>
  <si>
    <t>Malema</t>
  </si>
  <si>
    <t>Mandu</t>
  </si>
  <si>
    <t>Njaluahun</t>
  </si>
  <si>
    <t>Penguia</t>
  </si>
  <si>
    <t>Upper Bambara</t>
  </si>
  <si>
    <t>Yawei</t>
  </si>
  <si>
    <t>Dama</t>
  </si>
  <si>
    <t>Dodo</t>
  </si>
  <si>
    <t>Gaura</t>
  </si>
  <si>
    <t>Gorama Mende</t>
  </si>
  <si>
    <t>Kandu Lekpeama</t>
  </si>
  <si>
    <t>Koya</t>
  </si>
  <si>
    <t>Langrama</t>
  </si>
  <si>
    <t>Lower Bambara</t>
  </si>
  <si>
    <t>Malegohun</t>
  </si>
  <si>
    <t>Niawa</t>
  </si>
  <si>
    <t>Nomo</t>
  </si>
  <si>
    <t>Nongowa</t>
  </si>
  <si>
    <t>Simbaru</t>
  </si>
  <si>
    <t>Small Bo</t>
  </si>
  <si>
    <t>Tunkia</t>
  </si>
  <si>
    <t>Wandor</t>
  </si>
  <si>
    <t>Kenema City</t>
  </si>
  <si>
    <t>Flama</t>
  </si>
  <si>
    <t>Gbane</t>
  </si>
  <si>
    <t>Gbane Kandor</t>
  </si>
  <si>
    <t>Gbense</t>
  </si>
  <si>
    <t>Gorama Kono</t>
  </si>
  <si>
    <t>Kamara</t>
  </si>
  <si>
    <t>Lei</t>
  </si>
  <si>
    <t>Mafindor</t>
  </si>
  <si>
    <t>Nimikoro</t>
  </si>
  <si>
    <t>Nimiyama</t>
  </si>
  <si>
    <t>Sandor</t>
  </si>
  <si>
    <t>Soa</t>
  </si>
  <si>
    <t>Tankoro</t>
  </si>
  <si>
    <t>Toli</t>
  </si>
  <si>
    <t>Koidu/New</t>
  </si>
  <si>
    <t>Biriwa</t>
  </si>
  <si>
    <t>Bombali Sebora</t>
  </si>
  <si>
    <t>Gbanti-Kamaranka</t>
  </si>
  <si>
    <t>Gbendembu Ngowahun</t>
  </si>
  <si>
    <t>Libeisaygahun</t>
  </si>
  <si>
    <t>Magbaimba Ndorhahun</t>
  </si>
  <si>
    <t>Makari Gbanti</t>
  </si>
  <si>
    <t>Paki Masabong</t>
  </si>
  <si>
    <t>Safroko Limba</t>
  </si>
  <si>
    <t>Sanda Loko</t>
  </si>
  <si>
    <t>Sanda Tendaren</t>
  </si>
  <si>
    <t>Sella Limba</t>
  </si>
  <si>
    <t>Tambakka</t>
  </si>
  <si>
    <t>Makeni City</t>
  </si>
  <si>
    <t>Bramaia</t>
  </si>
  <si>
    <t>Gbinle-Dixing</t>
  </si>
  <si>
    <t>Magbema</t>
  </si>
  <si>
    <t>Mambolo</t>
  </si>
  <si>
    <t>Masungbala</t>
  </si>
  <si>
    <t>Samu</t>
  </si>
  <si>
    <t>Tonko Limba</t>
  </si>
  <si>
    <t>Dembelia Sinkunia</t>
  </si>
  <si>
    <t>Diang</t>
  </si>
  <si>
    <t>Follosaba Dembelia</t>
  </si>
  <si>
    <t>Kasunko</t>
  </si>
  <si>
    <t>Mongo</t>
  </si>
  <si>
    <t>Neya</t>
  </si>
  <si>
    <t>Nieni</t>
  </si>
  <si>
    <t>Sengbe</t>
  </si>
  <si>
    <t>Sulima</t>
  </si>
  <si>
    <t>Wara Wara Bafodhia</t>
  </si>
  <si>
    <t>Wara Wara Yagala</t>
  </si>
  <si>
    <t>BKM</t>
  </si>
  <si>
    <t>Buya Romende</t>
  </si>
  <si>
    <t>Dibia</t>
  </si>
  <si>
    <t>Kaffu Bullom</t>
  </si>
  <si>
    <t>Lokomasama</t>
  </si>
  <si>
    <t>Maforki</t>
  </si>
  <si>
    <t>Marampa</t>
  </si>
  <si>
    <t>Masimera</t>
  </si>
  <si>
    <t>Sanda Magbolontor</t>
  </si>
  <si>
    <t>TMS</t>
  </si>
  <si>
    <t>Gbonkolenken</t>
  </si>
  <si>
    <t>Kafe Simira</t>
  </si>
  <si>
    <t>Kalansogoia</t>
  </si>
  <si>
    <t>Kholifa Mabang</t>
  </si>
  <si>
    <t>Kolifa Rowalla</t>
  </si>
  <si>
    <t>Kunike Barina</t>
  </si>
  <si>
    <t>Malal Mara</t>
  </si>
  <si>
    <t>Sambaya</t>
  </si>
  <si>
    <t>Tane</t>
  </si>
  <si>
    <t>Yoni</t>
  </si>
  <si>
    <t>Kunike Sanda</t>
  </si>
  <si>
    <t>Bo</t>
  </si>
  <si>
    <t>Badjia</t>
  </si>
  <si>
    <t>Bagbo</t>
  </si>
  <si>
    <t>Bagbwe</t>
  </si>
  <si>
    <t>Baoma</t>
  </si>
  <si>
    <t>Bumpe Ngawo</t>
  </si>
  <si>
    <t xml:space="preserve">Gbo </t>
  </si>
  <si>
    <t>Jaiama-Bongor</t>
  </si>
  <si>
    <t>Kakua</t>
  </si>
  <si>
    <t>Komboya</t>
  </si>
  <si>
    <t>Lugbu</t>
  </si>
  <si>
    <t>Niawa Lenga</t>
  </si>
  <si>
    <t>Selenga</t>
  </si>
  <si>
    <t>Tikonko</t>
  </si>
  <si>
    <t>Valunia</t>
  </si>
  <si>
    <t>Wunde</t>
  </si>
  <si>
    <t>Bo City</t>
  </si>
  <si>
    <t>Bendu Cha</t>
  </si>
  <si>
    <t xml:space="preserve">Bum </t>
  </si>
  <si>
    <t>Dema</t>
  </si>
  <si>
    <t>Imperi</t>
  </si>
  <si>
    <t>Jong</t>
  </si>
  <si>
    <t>Kpanga Kemo</t>
  </si>
  <si>
    <t>Kwamebai Krim</t>
  </si>
  <si>
    <t>Nongoba Bullom</t>
  </si>
  <si>
    <t>Sittia</t>
  </si>
  <si>
    <t>Sogbini</t>
  </si>
  <si>
    <t>Yawbeko</t>
  </si>
  <si>
    <t>Bagruwa</t>
  </si>
  <si>
    <t>Bumpeh</t>
  </si>
  <si>
    <t>Dasse</t>
  </si>
  <si>
    <t>Fakunya</t>
  </si>
  <si>
    <t>Kagboro</t>
  </si>
  <si>
    <t>Kaiyamba</t>
  </si>
  <si>
    <t>Kamajei</t>
  </si>
  <si>
    <t>Kongbora</t>
  </si>
  <si>
    <t>Kori</t>
  </si>
  <si>
    <t>Kowa</t>
  </si>
  <si>
    <t>Lower Banta</t>
  </si>
  <si>
    <t>Ribbi</t>
  </si>
  <si>
    <t>Timdale</t>
  </si>
  <si>
    <t>Upper Banta</t>
  </si>
  <si>
    <t>Barri</t>
  </si>
  <si>
    <t>Gallinas Peri</t>
  </si>
  <si>
    <t>Kpaka</t>
  </si>
  <si>
    <t>Kpanga-Kabonde</t>
  </si>
  <si>
    <t>Makpele</t>
  </si>
  <si>
    <t>Malen</t>
  </si>
  <si>
    <t>Mano Sakrim</t>
  </si>
  <si>
    <t>Panga Krim</t>
  </si>
  <si>
    <t>Pejeh</t>
  </si>
  <si>
    <t>Soro Gbema</t>
  </si>
  <si>
    <t>Sowa</t>
  </si>
  <si>
    <t>W.A. Rural</t>
  </si>
  <si>
    <t>Mountain</t>
  </si>
  <si>
    <t>Waterloo</t>
  </si>
  <si>
    <t>York Rural</t>
  </si>
  <si>
    <t>W.A. Urban</t>
  </si>
  <si>
    <t>Central 1</t>
  </si>
  <si>
    <t>Central 2</t>
  </si>
  <si>
    <t>East 1</t>
  </si>
  <si>
    <t>East 2</t>
  </si>
  <si>
    <t>East 3</t>
  </si>
  <si>
    <t>West 1</t>
  </si>
  <si>
    <t>West 2</t>
  </si>
  <si>
    <t>West 3</t>
  </si>
  <si>
    <t>Chiefdom</t>
  </si>
  <si>
    <t>= 1 USD (2020)</t>
  </si>
  <si>
    <t>Population 2015</t>
  </si>
  <si>
    <t>All-cause mortality rate (Proportion dying each year)</t>
  </si>
  <si>
    <t xml:space="preserve">Number of people alive at each birthday </t>
  </si>
  <si>
    <t>Number of people years lived with half-cycle correction</t>
  </si>
  <si>
    <t>Number of people years lived with half-cycle correction if NTDs eliminated</t>
  </si>
  <si>
    <t>dxAC</t>
  </si>
  <si>
    <t>dx(AC-NTD)</t>
  </si>
  <si>
    <t>Annual death per age cohort</t>
  </si>
  <si>
    <t>Annual death per age cohort if NTDs eliminated</t>
  </si>
  <si>
    <t>TxAC</t>
  </si>
  <si>
    <t>Tx(AC-NTD)</t>
  </si>
  <si>
    <t>ExAC</t>
  </si>
  <si>
    <t>Ex(AC-NTD)</t>
  </si>
  <si>
    <t>References:</t>
  </si>
  <si>
    <t>Stone CM, Lindsay SW, Chitnis N. 2014. How effective is integrated vector management against malaria and lympatic filariasis where the diseases are transmitted by the same vector? PLoS NTDs</t>
  </si>
  <si>
    <t>8% LLINs or 20% larval site elimination -- LF elimination</t>
  </si>
  <si>
    <t>Kelly-Hope L, Molyneux D, Bockarie M (2013). Can malaria vector control accelerate the interruption of LF transmission in Africa: capturing a window of opportunity? Parasites and Vectors</t>
  </si>
  <si>
    <t>Webber R (1977) Vector control in the Solomon Islands. The Southeast Asia Journal of Tropical Medicine and Public Health 6:430-434</t>
  </si>
  <si>
    <r>
      <t xml:space="preserve">Burkot T et al (1990) Effects of untreated bed nets on the transmission of </t>
    </r>
    <r>
      <rPr>
        <i/>
        <sz val="11"/>
        <color theme="1"/>
        <rFont val="Times New Roman"/>
        <family val="1"/>
      </rPr>
      <t xml:space="preserve">Plasmodium falciparum, P. vivax, </t>
    </r>
    <r>
      <rPr>
        <sz val="11"/>
        <color theme="1"/>
        <rFont val="Times New Roman"/>
        <family val="1"/>
      </rPr>
      <t xml:space="preserve">and </t>
    </r>
    <r>
      <rPr>
        <i/>
        <sz val="11"/>
        <color theme="1"/>
        <rFont val="Times New Roman"/>
        <family val="1"/>
      </rPr>
      <t>W. bancrofti</t>
    </r>
    <r>
      <rPr>
        <sz val="11"/>
        <color theme="1"/>
        <rFont val="Times New Roman"/>
        <family val="1"/>
      </rPr>
      <t xml:space="preserve"> in PNG. Transactions of the Royal Society of Tropical Hygiene and Medicine</t>
    </r>
  </si>
  <si>
    <t>Reimer L et al (2013). Insecticidal bed nets and filariasis transmission in Papua New Guinea. The New England Journal of Medicine</t>
  </si>
  <si>
    <t>Perverse effects of LF elimination on malaria</t>
  </si>
  <si>
    <t>Slatter H, Gambhir M, Parham P, Michael E (2013) Modelling co-infection with malaria and lymphatic filariasis. PLoS Computational Biology</t>
  </si>
  <si>
    <t>Kelly-Hope et al (2006) Negative spatial association between lymphatic filariasis and malaria in West Africa. Tropical Medicine and International Health.</t>
  </si>
  <si>
    <t>LLIN</t>
  </si>
  <si>
    <t>Vector Control activities</t>
  </si>
  <si>
    <t>Behavior/Migration</t>
  </si>
  <si>
    <t>normal</t>
  </si>
  <si>
    <t>gamma</t>
  </si>
  <si>
    <t>point</t>
  </si>
  <si>
    <t>minimum daily wage</t>
  </si>
  <si>
    <t>minimum annual wage</t>
  </si>
  <si>
    <t>ADL episodes p.a.</t>
  </si>
  <si>
    <t>hydrocele visits p.a.</t>
  </si>
  <si>
    <t>lymphedema visits p.a.</t>
  </si>
  <si>
    <t>duration adenolymphangitis episode</t>
  </si>
  <si>
    <t>productivity loss ADL</t>
  </si>
  <si>
    <t>productivity loss hydrocele</t>
  </si>
  <si>
    <t>productivity loss lymphedema</t>
  </si>
  <si>
    <t>Include caretaker costs, transport, OTC drugs under household costs</t>
  </si>
  <si>
    <t>discount rates cost</t>
  </si>
  <si>
    <t>utility healthy</t>
  </si>
  <si>
    <t>utility lymphedema</t>
  </si>
  <si>
    <t>utility hydrocele</t>
  </si>
  <si>
    <t>utility ADL</t>
  </si>
  <si>
    <t>hh costs ADL</t>
  </si>
  <si>
    <t>hh costs hydrocele</t>
  </si>
  <si>
    <t>hh costs lymphedema</t>
  </si>
  <si>
    <t>discount rates effects</t>
  </si>
  <si>
    <t>Clinical care costs: adenolymphangitis</t>
  </si>
  <si>
    <t>Clinical care costs: lymphedema</t>
  </si>
  <si>
    <t>Clinical care costs: hydrocele</t>
  </si>
  <si>
    <t>Surgical care costs: hydrocele</t>
  </si>
  <si>
    <t>Complementary programs include LLINs and malaria vector control</t>
  </si>
  <si>
    <t>complementary program effectiveness</t>
  </si>
  <si>
    <t>Assumption is that there are no effects of LF on education</t>
  </si>
  <si>
    <t>model type</t>
  </si>
  <si>
    <t>perspective</t>
  </si>
  <si>
    <t>societal</t>
  </si>
  <si>
    <t>start age</t>
  </si>
  <si>
    <t>health sector</t>
  </si>
  <si>
    <t>20 years</t>
  </si>
  <si>
    <t>30 years</t>
  </si>
  <si>
    <t>costs current program</t>
  </si>
  <si>
    <t>Deterministic tab chooses mean values while probabilistic model uses probabilistic values</t>
  </si>
  <si>
    <t>Change values in orange tabs only</t>
  </si>
  <si>
    <t>Probability_LF</t>
  </si>
  <si>
    <t>Probability ADL</t>
  </si>
  <si>
    <t>Probability Hydrocele</t>
  </si>
  <si>
    <t>Probability Lymphedema</t>
  </si>
  <si>
    <t>Income</t>
  </si>
  <si>
    <t>Productivity loss ADL</t>
  </si>
  <si>
    <t>Productivity loss lymphedema</t>
  </si>
  <si>
    <t>Productivity loss hydrocele</t>
  </si>
  <si>
    <t>model_productivity_loss_lymphedema</t>
  </si>
  <si>
    <t>model_productivity_loss_hydrocele</t>
  </si>
  <si>
    <t>model_productivity_loss_adl</t>
  </si>
  <si>
    <t>productivity loss values use per capita percentage days lost</t>
  </si>
  <si>
    <t>tbl_prodloss_adl</t>
  </si>
  <si>
    <t>tbl_prodloss_lymphedema</t>
  </si>
  <si>
    <t>tbl_prodloss_hydrocele</t>
  </si>
  <si>
    <t>lf_adl</t>
  </si>
  <si>
    <t>15 years</t>
  </si>
  <si>
    <t>Probability LF Sequelae Death</t>
  </si>
  <si>
    <t>25 years</t>
  </si>
  <si>
    <t>35 years</t>
  </si>
  <si>
    <t>40 years</t>
  </si>
  <si>
    <t>45 years</t>
  </si>
  <si>
    <t>MDA efficacy</t>
  </si>
  <si>
    <t>Kumar et al: Mass drug administration (MDA) to eliminate Lymphatic filariasis: Even 100% coverage would fail to achieve elimination of infection in community in 6 years</t>
  </si>
  <si>
    <t>Walsh et al 2005 Evaluating the Burden of Lymphedema Due to Lymphatic Filariasis in 2005 in Khurda District, Odisha State, India</t>
  </si>
  <si>
    <t>Hydrocele and lymphedema visits include ADL visits</t>
  </si>
  <si>
    <t>Conversion formula for SD from CI: SD=Sqrt(N) *(UL-LL)/3.92</t>
  </si>
  <si>
    <t>Minimum wage in international dollars 2015</t>
  </si>
  <si>
    <t>Press F9 to run Monte Carlo simulations</t>
  </si>
  <si>
    <t>Jambulingam et al 2016. Mathematical Modelling of Lymphatic Filariasis Elimination Programmes in India: Required Duration of Mass Drug Administration and Post-Treatment Level of Infection Indicators</t>
  </si>
  <si>
    <t>Microfilarial</t>
  </si>
  <si>
    <t>Age-specific LF prevalence (pre-MDA)</t>
  </si>
  <si>
    <t>Probability ADL by age-cohort</t>
  </si>
  <si>
    <t>Babu et al 2005. Epidemiology of episodic adenolymphangitis: a longitudinal prospective surveillance among a rural community endemic for bancroftian filariasis in coastal Orissa, India</t>
  </si>
  <si>
    <t>exchange rate</t>
  </si>
  <si>
    <t>costs without donor support</t>
  </si>
  <si>
    <t>Should we assume those with complications don't get MDA?</t>
  </si>
  <si>
    <t>prog_cost</t>
  </si>
  <si>
    <t>no_prog_cost</t>
  </si>
  <si>
    <t>inc_cost</t>
  </si>
  <si>
    <t>prog_effect</t>
  </si>
  <si>
    <t>no_prog_effect</t>
  </si>
  <si>
    <t>inc_effect</t>
  </si>
  <si>
    <t>Monte Carlo Simulations</t>
  </si>
  <si>
    <t>Confidence ellipse</t>
  </si>
  <si>
    <t>chi-sq</t>
  </si>
  <si>
    <t>% covered</t>
  </si>
  <si>
    <t>n</t>
  </si>
  <si>
    <t>Covariance</t>
  </si>
  <si>
    <t>Column 1</t>
  </si>
  <si>
    <t>Column 2</t>
  </si>
  <si>
    <t>mean</t>
  </si>
  <si>
    <t>Inverse covariance</t>
  </si>
  <si>
    <t>trace</t>
  </si>
  <si>
    <t>det</t>
  </si>
  <si>
    <t>eigval 1</t>
  </si>
  <si>
    <t>eigval2</t>
  </si>
  <si>
    <t>ax1</t>
  </si>
  <si>
    <t>ax2</t>
  </si>
  <si>
    <t>ang(rad)</t>
  </si>
  <si>
    <t>ang(degrees)</t>
  </si>
  <si>
    <t>Rotation matrix</t>
  </si>
  <si>
    <t>pi</t>
  </si>
  <si>
    <t>abscissa</t>
  </si>
  <si>
    <t>ordinate</t>
  </si>
  <si>
    <t>yearly horizon</t>
  </si>
  <si>
    <t xml:space="preserve">Year </t>
  </si>
  <si>
    <t>ARIMA Model</t>
  </si>
  <si>
    <t>Model statistics</t>
  </si>
  <si>
    <t>Phi roots</t>
  </si>
  <si>
    <t>T test for the mean</t>
  </si>
  <si>
    <t>Forecast (reduced)</t>
  </si>
  <si>
    <t>Forecast</t>
  </si>
  <si>
    <t>Alpha</t>
  </si>
  <si>
    <t>time</t>
  </si>
  <si>
    <t>data</t>
  </si>
  <si>
    <t>residual</t>
  </si>
  <si>
    <t>index</t>
  </si>
  <si>
    <t>phi</t>
  </si>
  <si>
    <t>theta</t>
  </si>
  <si>
    <t>real</t>
  </si>
  <si>
    <t>imag</t>
  </si>
  <si>
    <t>abs val</t>
  </si>
  <si>
    <t>param</t>
  </si>
  <si>
    <t>value</t>
  </si>
  <si>
    <t>s.e.</t>
  </si>
  <si>
    <t>t-stat</t>
  </si>
  <si>
    <t>p-value</t>
  </si>
  <si>
    <t>pred</t>
  </si>
  <si>
    <t>lower</t>
  </si>
  <si>
    <t>upper</t>
  </si>
  <si>
    <t>forecast</t>
  </si>
  <si>
    <t>const</t>
  </si>
  <si>
    <t>Theta roots</t>
  </si>
  <si>
    <t>SSE</t>
  </si>
  <si>
    <t>p</t>
  </si>
  <si>
    <t>q</t>
  </si>
  <si>
    <t>d</t>
  </si>
  <si>
    <t>Psi coefficients</t>
  </si>
  <si>
    <t>res mean</t>
  </si>
  <si>
    <t>res s.d.</t>
  </si>
  <si>
    <t>psi</t>
  </si>
  <si>
    <t>sqrt mse</t>
  </si>
  <si>
    <t>data mean</t>
  </si>
  <si>
    <t>data s.d.</t>
  </si>
  <si>
    <t>size</t>
  </si>
  <si>
    <t>LL</t>
  </si>
  <si>
    <t>AIC</t>
  </si>
  <si>
    <t>BIC</t>
  </si>
  <si>
    <t>AIC aug</t>
  </si>
  <si>
    <t>BIC aug</t>
  </si>
  <si>
    <t>converge</t>
  </si>
  <si>
    <t>yes</t>
  </si>
  <si>
    <t>DASHBOARD</t>
  </si>
  <si>
    <t>This assumes an autoregressive moving average model of order 1,1,1</t>
  </si>
  <si>
    <t>The initiatization values in column B will be updated based on actual NTD incidence data</t>
  </si>
  <si>
    <t>Amount(SLL)</t>
  </si>
  <si>
    <t>Amount(USD)</t>
  </si>
  <si>
    <t>MDA Distribution</t>
  </si>
  <si>
    <t>NTD Administrative Costs</t>
  </si>
  <si>
    <t>Unit costs</t>
  </si>
  <si>
    <t>Share(%)</t>
  </si>
  <si>
    <t xml:space="preserve">Analysis Level Target Population </t>
  </si>
  <si>
    <t>NTD Prevalence</t>
  </si>
  <si>
    <t>Incremental Investment change</t>
  </si>
  <si>
    <t>Average cost per person served</t>
  </si>
  <si>
    <t>Return on Investment</t>
  </si>
  <si>
    <t>Starting Prevalence</t>
  </si>
  <si>
    <t>Target Prevalence</t>
  </si>
  <si>
    <t>Funding change year</t>
  </si>
  <si>
    <t>Projected elimination year</t>
  </si>
  <si>
    <t>Curvature</t>
  </si>
  <si>
    <t>Initial Prevalence</t>
  </si>
  <si>
    <t>Elimination date</t>
  </si>
  <si>
    <t>Prevalence</t>
  </si>
  <si>
    <t>Below 1% year</t>
  </si>
  <si>
    <t xml:space="preserve">population </t>
  </si>
  <si>
    <t>program effectiveness</t>
  </si>
  <si>
    <t>pop_adl</t>
  </si>
  <si>
    <t>pop_hydrocele</t>
  </si>
  <si>
    <t>pop_lymphedema</t>
  </si>
  <si>
    <t>Assumptions</t>
  </si>
  <si>
    <t>1. Assumes a closed population</t>
  </si>
  <si>
    <t>2. 70% of cases subclinical</t>
  </si>
  <si>
    <t>3. Economic costs calculated using a human capital approach</t>
  </si>
  <si>
    <t>Pop structure</t>
  </si>
  <si>
    <t>M</t>
  </si>
  <si>
    <t>F</t>
  </si>
  <si>
    <t>5-9 years</t>
  </si>
  <si>
    <t>0-4 years</t>
  </si>
  <si>
    <t>10-14 years</t>
  </si>
  <si>
    <t>15-19 years</t>
  </si>
  <si>
    <t>20-24 years</t>
  </si>
  <si>
    <t>25-29 years</t>
  </si>
  <si>
    <t>30-34 years</t>
  </si>
  <si>
    <t>35-39 years</t>
  </si>
  <si>
    <t>40-44 years</t>
  </si>
  <si>
    <t>45-49 years</t>
  </si>
  <si>
    <t>50-54 years</t>
  </si>
  <si>
    <t>55-59 years</t>
  </si>
  <si>
    <t>60-64 years</t>
  </si>
  <si>
    <t>65-69 years</t>
  </si>
  <si>
    <t>70-74 years</t>
  </si>
  <si>
    <t>75-79 years</t>
  </si>
  <si>
    <t>80-84 years</t>
  </si>
  <si>
    <t>85-89 years</t>
  </si>
  <si>
    <t>90-94 years</t>
  </si>
  <si>
    <t>95-99 years</t>
  </si>
  <si>
    <t>100+ years</t>
  </si>
  <si>
    <t>Total</t>
  </si>
  <si>
    <t>Perc</t>
  </si>
  <si>
    <t>start_ageset</t>
  </si>
  <si>
    <t>At-risk population based on starting age</t>
  </si>
  <si>
    <t>4. Assumes reinfections and no immunity</t>
  </si>
  <si>
    <t>Prob hydrocele if infected</t>
  </si>
  <si>
    <t>Prob adl if infected</t>
  </si>
  <si>
    <t>prob lymphedema if infected</t>
  </si>
  <si>
    <t>prob subclinical disease</t>
  </si>
  <si>
    <t>5. Probability sources Ottesen 2006</t>
  </si>
  <si>
    <t>Afilareamia post-Rx (2years)*</t>
  </si>
  <si>
    <t>6.King et al, A randomized trial of a new triple drug treatment for LF, NEJM, 2018</t>
  </si>
  <si>
    <t>OOP costs</t>
  </si>
  <si>
    <t>Informal care costs</t>
  </si>
  <si>
    <t>school_days</t>
  </si>
  <si>
    <t>other_private consumption</t>
  </si>
  <si>
    <t>year</t>
  </si>
  <si>
    <t>hosp_costs</t>
  </si>
  <si>
    <t>hosp_cost = no. of adl patients*no. of annual_adl_visits *average_cost_per_visit +no. of hydrocele patients*no. of annual hydrocele visits *average_cost_per_visit+no. of lymphedema patients*no. of annual _e_visits *average_cost_per_visit</t>
  </si>
  <si>
    <t>This assumes that the average cost of clinic attendance has been calculated and entered in the inputs page</t>
  </si>
  <si>
    <t>Average OOP costs include costs of drugs and transport to facility</t>
  </si>
  <si>
    <t>% LE chronic</t>
  </si>
  <si>
    <t>% Hydrocele chronic</t>
  </si>
  <si>
    <t>% lymphedema chronic</t>
  </si>
  <si>
    <t>% hydrocele chronic</t>
  </si>
  <si>
    <t>patient_hours_clinic</t>
  </si>
  <si>
    <t>Average clinic visit time</t>
  </si>
  <si>
    <t>7. Addiss et al Morbidity management in the Global Programme to Eliminate Lymphatic Filariasis: a review of the scientific literature</t>
  </si>
  <si>
    <t>Mathew et al The Health and Economic Burdens of Lymphatic Filariasis Prior to Mass Drug Administration Programs</t>
  </si>
  <si>
    <t>Addiss et al Morbidity management in the Global Programme to Eliminate Lymphatic Filariasis: a review of the scientific literature</t>
  </si>
  <si>
    <t>work_days_lost</t>
  </si>
  <si>
    <t>Economic workdays lost</t>
  </si>
  <si>
    <t>Lost labor costs</t>
  </si>
  <si>
    <t>Discounted labor costs</t>
  </si>
  <si>
    <t>Assume informal care for LF only during severe ADL</t>
  </si>
  <si>
    <t>Total Economic Costs</t>
  </si>
  <si>
    <t>OOP cost per visit</t>
  </si>
  <si>
    <t>Productive age 15-64</t>
  </si>
  <si>
    <t>Population over 65</t>
  </si>
  <si>
    <t>Productive pop based on starting age</t>
  </si>
  <si>
    <t>years of life lost</t>
  </si>
  <si>
    <t>prob death lf</t>
  </si>
  <si>
    <t>value of life years lost</t>
  </si>
  <si>
    <t>life_years_lost</t>
  </si>
  <si>
    <t>We assume mean years life lost from the literature in the calculations rather than ageset specific years</t>
  </si>
  <si>
    <t>These values can be converted to PPP using standard methods</t>
  </si>
  <si>
    <t>non-health gdp per capita</t>
  </si>
  <si>
    <t>non-health gdp available from WHO country summaries</t>
  </si>
  <si>
    <t xml:space="preserve">Mortality added as a function of projected productive life lost and non-health GDP per capita </t>
  </si>
  <si>
    <t>country gdp per capita</t>
  </si>
  <si>
    <t>Clinical care costs assume personnel time, drugs, etc are included</t>
  </si>
  <si>
    <t>step</t>
  </si>
  <si>
    <t>disc_hosp_costs</t>
  </si>
  <si>
    <t>OOP costs discounted</t>
  </si>
  <si>
    <t>disc OOP costs</t>
  </si>
  <si>
    <t>Informal care costs assumed to cover severe cases of ADL at half the time</t>
  </si>
  <si>
    <t>annual workdays</t>
  </si>
  <si>
    <t>incapacitation days proportion ADL</t>
  </si>
  <si>
    <t>grade 4 lymphedema</t>
  </si>
  <si>
    <t>Physical disability and psychosocial impact due to chronic filarial lymphoedema in Sri Lanka</t>
  </si>
  <si>
    <t>Gyapong: the economic burden of lymphatic filariasis in northern Ghana</t>
  </si>
  <si>
    <t>severe hydrocele</t>
  </si>
  <si>
    <t>disc informal care costs</t>
  </si>
  <si>
    <t>lost_labor_costs</t>
  </si>
  <si>
    <t>disc_lost_labor_costs</t>
  </si>
  <si>
    <t>private consumption drop</t>
  </si>
  <si>
    <t>look for citation -- placeholder -- assume only LE and hydrocele affect consumption, duration of ADL short, hence consumption shocks transient</t>
  </si>
  <si>
    <t>Discounted Total Econ Costs</t>
  </si>
  <si>
    <t>disc_value_of_life</t>
  </si>
  <si>
    <t>Base year</t>
  </si>
  <si>
    <t>Funding change date</t>
  </si>
  <si>
    <t>Male</t>
  </si>
  <si>
    <t>Female</t>
  </si>
  <si>
    <t>Unit-level Population</t>
  </si>
  <si>
    <t>About the tool</t>
  </si>
  <si>
    <t>baseline1</t>
  </si>
  <si>
    <t>baseline2</t>
  </si>
  <si>
    <t>deterministic, 10-year horizon, 30-year start, health-sector</t>
  </si>
  <si>
    <t>deterministic, 10-year horizon, 30-year start, societal</t>
  </si>
  <si>
    <t>Clinical treatment costs</t>
  </si>
  <si>
    <t>Discounted clinical Rx costs</t>
  </si>
  <si>
    <t>disease type</t>
  </si>
  <si>
    <t>lymphatic filariasis</t>
  </si>
  <si>
    <t>schistosomiasis</t>
  </si>
  <si>
    <t>STH</t>
  </si>
  <si>
    <t>onchocerciasis</t>
  </si>
  <si>
    <t>trachoma</t>
  </si>
  <si>
    <t>Funding Change</t>
  </si>
  <si>
    <t>Status Quo</t>
  </si>
  <si>
    <t>At risk population</t>
  </si>
  <si>
    <t>Total Program Funding</t>
  </si>
  <si>
    <t>Total Program Funding Discounted</t>
  </si>
  <si>
    <t>8. 87% of hydrocele cases resolve after 5 MDA annual rounds</t>
  </si>
  <si>
    <t>9. 69% of leg lymphedema cases resolve after 5 MDA annual rounds</t>
  </si>
  <si>
    <t>10. 15% of lymphedema cases and 10% of hydrocele cases reversible after 5 MDA rounds -- Chu et al Economic benefits first 8 years of GPELF</t>
  </si>
  <si>
    <t>cum_pop</t>
  </si>
  <si>
    <t>cum_pop_adl</t>
  </si>
  <si>
    <t>cum_pop_hydro</t>
  </si>
  <si>
    <t>cum_pop_lymp</t>
  </si>
  <si>
    <t>cum_pop_yll</t>
  </si>
  <si>
    <t>Index</t>
  </si>
  <si>
    <t>Utilities</t>
  </si>
  <si>
    <t>adl_utilities</t>
  </si>
  <si>
    <t>death_util</t>
  </si>
  <si>
    <t>tot_utils</t>
  </si>
  <si>
    <t>undiscounted</t>
  </si>
  <si>
    <t>discounted</t>
  </si>
  <si>
    <t>hydr_utilities</t>
  </si>
  <si>
    <t>lymph_util</t>
  </si>
  <si>
    <t>ICERS</t>
  </si>
  <si>
    <t>&lt; Back</t>
  </si>
  <si>
    <t>Menu</t>
  </si>
  <si>
    <t>Number of Staff</t>
  </si>
  <si>
    <t>Salary per year (Leone)</t>
  </si>
  <si>
    <t>Benefits per year (Leone)</t>
  </si>
  <si>
    <t>Salary per year (USD)</t>
  </si>
  <si>
    <t>Benefits per year (USD)</t>
  </si>
  <si>
    <t>Implementation MDA</t>
  </si>
  <si>
    <t>NTDS focal point</t>
  </si>
  <si>
    <t>Drivers</t>
  </si>
  <si>
    <t>Mechanics/Maintenance</t>
  </si>
  <si>
    <t>Clinic nurse</t>
  </si>
  <si>
    <t>NTDP Technicians</t>
  </si>
  <si>
    <t>School Health Focal Points</t>
  </si>
  <si>
    <t>Training coordinators</t>
  </si>
  <si>
    <t>Facilitators</t>
  </si>
  <si>
    <t>Surgeons (District Hospital)</t>
  </si>
  <si>
    <t>Community Health Workers</t>
  </si>
  <si>
    <t>Pharmaceutical technologist</t>
  </si>
  <si>
    <t>Data entry clerk</t>
  </si>
  <si>
    <t>Chiefdom supervisors</t>
  </si>
  <si>
    <t>Sub-total</t>
  </si>
  <si>
    <t>Implementation Clinical Operations</t>
  </si>
  <si>
    <t>MCH Advisor</t>
  </si>
  <si>
    <t>Laboratory technologist</t>
  </si>
  <si>
    <t>District hospital surgeon</t>
  </si>
  <si>
    <t>Laboratory technician</t>
  </si>
  <si>
    <t>Clinic physician assistant</t>
  </si>
  <si>
    <t>Records clerk</t>
  </si>
  <si>
    <t>Management District</t>
  </si>
  <si>
    <t>District medical officers</t>
  </si>
  <si>
    <t>District M&amp;E Officer</t>
  </si>
  <si>
    <t>District NTD Officer</t>
  </si>
  <si>
    <t>District Storekeeper</t>
  </si>
  <si>
    <t>Pharmacist</t>
  </si>
  <si>
    <t>Management National</t>
  </si>
  <si>
    <t>National program manager</t>
  </si>
  <si>
    <t>National Supervisors</t>
  </si>
  <si>
    <t>Surveillance Officer/Epidemiologist</t>
  </si>
  <si>
    <t>Accountant</t>
  </si>
  <si>
    <t>National Storekeeper</t>
  </si>
  <si>
    <t>Mapping</t>
  </si>
  <si>
    <t>Enumerators</t>
  </si>
  <si>
    <t>Epidemiologists</t>
  </si>
  <si>
    <t>Demographers</t>
  </si>
  <si>
    <t>Accountants</t>
  </si>
  <si>
    <t>Admin Assistants</t>
  </si>
  <si>
    <t>Items</t>
  </si>
  <si>
    <t>Units</t>
  </si>
  <si>
    <t>Unit Cost (Leones)</t>
  </si>
  <si>
    <t>Unit Cost (USD)</t>
  </si>
  <si>
    <t>Amortization period</t>
  </si>
  <si>
    <t>Total Cost (Leone)</t>
  </si>
  <si>
    <t>Total Cost (USD)</t>
  </si>
  <si>
    <t>Transport</t>
  </si>
  <si>
    <t>Motorvehicle</t>
  </si>
  <si>
    <t>Motorcycle</t>
  </si>
  <si>
    <t>Bicycle</t>
  </si>
  <si>
    <t>Sub-Total</t>
  </si>
  <si>
    <t>Social mobilization</t>
  </si>
  <si>
    <t>Loud speakers</t>
  </si>
  <si>
    <t>Public address systems</t>
  </si>
  <si>
    <t>Cellphones</t>
  </si>
  <si>
    <t>IT</t>
  </si>
  <si>
    <t>Computers</t>
  </si>
  <si>
    <t>Printers</t>
  </si>
  <si>
    <t>Servers</t>
  </si>
  <si>
    <t>Photocopiers</t>
  </si>
  <si>
    <t>Furnishings</t>
  </si>
  <si>
    <t>Shelves</t>
  </si>
  <si>
    <t>Racks</t>
  </si>
  <si>
    <t>Cabinets</t>
  </si>
  <si>
    <t>Assorted furniture</t>
  </si>
  <si>
    <t>Generators</t>
  </si>
  <si>
    <t>Building Renovations</t>
  </si>
  <si>
    <t>Drugs</t>
  </si>
  <si>
    <t>Unit</t>
  </si>
  <si>
    <t>No. of units</t>
  </si>
  <si>
    <t>Unit price (Leone)</t>
  </si>
  <si>
    <t>Unit price (USD)</t>
  </si>
  <si>
    <t>Wastage %</t>
  </si>
  <si>
    <t>Total cost (Leone)</t>
  </si>
  <si>
    <t>Albendazole</t>
  </si>
  <si>
    <t>Tablets</t>
  </si>
  <si>
    <t>Wastage includes expired.</t>
  </si>
  <si>
    <t>Azithromycin</t>
  </si>
  <si>
    <t>Syrup</t>
  </si>
  <si>
    <t>Diethylcarbamazine citrate</t>
  </si>
  <si>
    <t>Ivermectin</t>
  </si>
  <si>
    <t>Mebendazole</t>
  </si>
  <si>
    <t>Praziquantel</t>
  </si>
  <si>
    <t>Vector control</t>
  </si>
  <si>
    <t>Insecticides</t>
  </si>
  <si>
    <t>Can</t>
  </si>
  <si>
    <t>Larvicides</t>
  </si>
  <si>
    <t>Office running</t>
  </si>
  <si>
    <t>Papers</t>
  </si>
  <si>
    <t>Ream</t>
  </si>
  <si>
    <t>Pens</t>
  </si>
  <si>
    <t>Piece</t>
  </si>
  <si>
    <t>National IEC</t>
  </si>
  <si>
    <t>Unit cost (Leone)</t>
  </si>
  <si>
    <t>Unit cost (USD)</t>
  </si>
  <si>
    <t>% Wastage</t>
  </si>
  <si>
    <t>Total cost (USD)</t>
  </si>
  <si>
    <t>Graphic design flyers</t>
  </si>
  <si>
    <t>No. of flyers</t>
  </si>
  <si>
    <t>Graphic design posters</t>
  </si>
  <si>
    <t>No. of posters</t>
  </si>
  <si>
    <t>Graphic design billboards</t>
  </si>
  <si>
    <t>*Billboards can also be regarded as capital expenditure if they are up for more than 1 year</t>
  </si>
  <si>
    <t>No. of billboards</t>
  </si>
  <si>
    <t>Radio (production fee)</t>
  </si>
  <si>
    <t>No. of slots</t>
  </si>
  <si>
    <t>TV (production fee)</t>
  </si>
  <si>
    <t>T-shirts graphic design</t>
  </si>
  <si>
    <t>No. of T-shirts</t>
  </si>
  <si>
    <t>Cost per unit (Leone)</t>
  </si>
  <si>
    <t>Cost per unit (USD)</t>
  </si>
  <si>
    <t>Total cost (leone)</t>
  </si>
  <si>
    <t>% of Total</t>
  </si>
  <si>
    <t>Registration</t>
  </si>
  <si>
    <t>Transport (Local)</t>
  </si>
  <si>
    <t>Vehicle Fuel (Project)</t>
  </si>
  <si>
    <t>Base on expected number of kilometers per year</t>
  </si>
  <si>
    <t>Maintenance (Project)</t>
  </si>
  <si>
    <t>Insurance (Project)</t>
  </si>
  <si>
    <t>Vehicle lease (Land cruiser)</t>
  </si>
  <si>
    <t>Vehicle Fuel (Land cruiser)</t>
  </si>
  <si>
    <t>Vehicle lease (Boat)</t>
  </si>
  <si>
    <t>Vehicle Fuel (Boat)</t>
  </si>
  <si>
    <t>Vehicle lease (Motorbike)</t>
  </si>
  <si>
    <t>Vehicle Fuel (Motorbike)</t>
  </si>
  <si>
    <t>International travel not included. Insert category if desired.</t>
  </si>
  <si>
    <t>Transport (International Shipment)</t>
  </si>
  <si>
    <t>CIF plus Duty Albendazole</t>
  </si>
  <si>
    <t>Insert estimates even if currently paid by donor(s)</t>
  </si>
  <si>
    <t>CIF plus Duty Diethylcarbamazine Citrate</t>
  </si>
  <si>
    <t>CIF plus Duty Ivermectin</t>
  </si>
  <si>
    <t>CIF plus Duty Mebendazole</t>
  </si>
  <si>
    <t>CIF plus Duty Praziquantel</t>
  </si>
  <si>
    <t>Office Running (Annual costs)</t>
  </si>
  <si>
    <t>Office lease</t>
  </si>
  <si>
    <t>Warehouse lease</t>
  </si>
  <si>
    <t xml:space="preserve">Water </t>
  </si>
  <si>
    <t>Power</t>
  </si>
  <si>
    <t>Internet</t>
  </si>
  <si>
    <t>Security</t>
  </si>
  <si>
    <t>Vector Control</t>
  </si>
  <si>
    <t>Indoor residual spraying</t>
  </si>
  <si>
    <t>Per diems</t>
  </si>
  <si>
    <t>Aerial spraying</t>
  </si>
  <si>
    <t>House improvements e.g. eaves</t>
  </si>
  <si>
    <t>Bush clearing</t>
  </si>
  <si>
    <t>LF Mapping</t>
  </si>
  <si>
    <t>Per diems and allowances</t>
  </si>
  <si>
    <t>Mass drug administration</t>
  </si>
  <si>
    <t>LF</t>
  </si>
  <si>
    <t>Adverse drug reaction monitoring</t>
  </si>
  <si>
    <t xml:space="preserve">Total </t>
  </si>
  <si>
    <t>Avg. no. of Meetings</t>
  </si>
  <si>
    <t>Avg. no of Participants</t>
  </si>
  <si>
    <t>Per diem cost per head (Leone)</t>
  </si>
  <si>
    <t>Per diem cost per head (USD)</t>
  </si>
  <si>
    <t>Total per diem costs (Leone)</t>
  </si>
  <si>
    <t>Total per diem costs (USD)</t>
  </si>
  <si>
    <t>General costs per meeting (Leone)</t>
  </si>
  <si>
    <t>General costs per meeting (USD)</t>
  </si>
  <si>
    <t>Total general meeting costs (Leone)</t>
  </si>
  <si>
    <t>Total general meeting costs (USD)</t>
  </si>
  <si>
    <t>Strategic planning</t>
  </si>
  <si>
    <t>Don't change blue cells</t>
  </si>
  <si>
    <t>Annual review meeting</t>
  </si>
  <si>
    <t>Disease-specific meetings can be taskforce meetings or expert groups</t>
  </si>
  <si>
    <t>Per diem costs include transport reimbursements, accommodation</t>
  </si>
  <si>
    <t>Cost per meeting includes venue hire, projector hire, other logistics costs</t>
  </si>
  <si>
    <t>LF-specific</t>
  </si>
  <si>
    <t>Drug distribution</t>
  </si>
  <si>
    <t>National</t>
  </si>
  <si>
    <t>Regional</t>
  </si>
  <si>
    <t>Social advocacy/mobilization</t>
  </si>
  <si>
    <t>Community</t>
  </si>
  <si>
    <t>Trainer of Trainers</t>
  </si>
  <si>
    <t>Assume that staff time is already included under salaries</t>
  </si>
  <si>
    <t>Supervisors</t>
  </si>
  <si>
    <t>PHU Staff</t>
  </si>
  <si>
    <t>Training M&amp;E</t>
  </si>
  <si>
    <t>Training CDDs</t>
  </si>
  <si>
    <t>Training CHWs</t>
  </si>
  <si>
    <t>Monitoring and Evaluation</t>
  </si>
  <si>
    <t>NTD Costing Tool</t>
  </si>
  <si>
    <t>A tool for calculating the economic costs of the NTD endgame</t>
  </si>
  <si>
    <t>Version 1.0</t>
  </si>
  <si>
    <t>Corresponding Author: Walter Ochieng, Office of Science, Office of the Director, Center for Global Health</t>
  </si>
  <si>
    <t>Email: ocu9@cdc.gov</t>
  </si>
  <si>
    <t>Disclaimer: The design and construction, and thus the findings and conclusions obtained from the use</t>
  </si>
  <si>
    <t>of this software is the responsibility of the authors and users and does not necessarily represent the</t>
  </si>
  <si>
    <t>official position of the U.S. Centers for Disease Control and Prevention</t>
  </si>
  <si>
    <t>Retrieve these inputs from the latest census or spectrum files</t>
  </si>
  <si>
    <t>LOE -- Level of effort or proportion of work time allocated to NTDs</t>
  </si>
  <si>
    <t>LOE will be higher in special programs e.g., staff who work in the NTD program compared to non-NTD-specific staff</t>
  </si>
  <si>
    <t>You should decide on the unit of analysis before starting the analysis. For example, district-level costs would entail counting all facilities where NTDs are offered in a district</t>
  </si>
  <si>
    <t>You would then divide national-level costs appropriately to the unit of analysis.</t>
  </si>
  <si>
    <t>Can add other cost categories if appropriate e.g., boats</t>
  </si>
  <si>
    <t>Some of these categories may only be appropriate at district or national level</t>
  </si>
  <si>
    <t xml:space="preserve">%time allocated </t>
  </si>
  <si>
    <t>% time allocated for shared equipment.</t>
  </si>
  <si>
    <t>From a provider perspective -- includes consultation , lab and dispensing</t>
  </si>
  <si>
    <t>Project LOE</t>
  </si>
  <si>
    <t>Only change values in the yellow cells</t>
  </si>
  <si>
    <t>For buildings, this can be prorated by square feet, or % time in case of special clinics</t>
  </si>
  <si>
    <t>Get amortization data from WHO CHOICE if local estimates are unavailable</t>
  </si>
  <si>
    <t>Use average salaries for worker with ten-year work experience for consistent wage estimates. Can get data from domestic civil service pay structures for government workers</t>
  </si>
  <si>
    <t>Remember to include national-level capital costs</t>
  </si>
  <si>
    <t>For these calculations, also include donated equipment</t>
  </si>
  <si>
    <t>Newspaper ad design</t>
  </si>
  <si>
    <t>No. of newspaper adverts</t>
  </si>
  <si>
    <t>Do not add adverse event management or NTD clinical management drugs here</t>
  </si>
  <si>
    <t>This is to reduce double counting as they are covered in the clinical management costs</t>
  </si>
  <si>
    <t xml:space="preserve">Do not add surveillance-specific costs e.g., mosquito traps here. </t>
  </si>
  <si>
    <t>These are program costs per year.</t>
  </si>
  <si>
    <t>Insert zero for items that are not used in a program</t>
  </si>
  <si>
    <t>For example, in countries with onchocerciasis, DEC will be zero</t>
  </si>
  <si>
    <t>Knapsack sprayer</t>
  </si>
  <si>
    <t>Container</t>
  </si>
  <si>
    <t>Assorted PPE</t>
  </si>
  <si>
    <t>Don't add complementary program costs e.g., bed nets</t>
  </si>
  <si>
    <t>Assorted PPE includes masks, goggles, heavy duty gloves, gumboots, coveralls</t>
  </si>
  <si>
    <t>The costs of these complementary goods frequently outweight the costs of the larvicides</t>
  </si>
  <si>
    <t>Add specific equipment costs e.g., mixing drums if these are sold separately from the larvicides</t>
  </si>
  <si>
    <t>Can add other drugs e.g., tetracycline eye ointment if the program procures them</t>
  </si>
  <si>
    <t>Paracetamol</t>
  </si>
  <si>
    <t>CIF plus Duty Paracetamol</t>
  </si>
  <si>
    <t>CIF plus Duty Larvicide</t>
  </si>
  <si>
    <t>CIF plus Duty Insecticide</t>
  </si>
  <si>
    <t>Unadjusted Total (Leone)</t>
  </si>
  <si>
    <t>Unadjusted Total (USD)</t>
  </si>
  <si>
    <t>Total Project  (Leone)</t>
  </si>
  <si>
    <t>Total Project (USD)</t>
  </si>
  <si>
    <t>Unit-level costs from costing template</t>
  </si>
  <si>
    <t>Personnel</t>
  </si>
  <si>
    <t xml:space="preserve">Capital </t>
  </si>
  <si>
    <t>Consumables</t>
  </si>
  <si>
    <t>Amount (USD)</t>
  </si>
  <si>
    <t xml:space="preserve">Trainings </t>
  </si>
  <si>
    <t xml:space="preserve">Transport </t>
  </si>
  <si>
    <t>Post-MDA surveillance</t>
  </si>
  <si>
    <t xml:space="preserve">Transmission assessment survey </t>
  </si>
  <si>
    <t>MDA Personnel</t>
  </si>
  <si>
    <t>MDA Consumables</t>
  </si>
  <si>
    <t>Transmission Assessment Surveys Costs</t>
  </si>
  <si>
    <t>Preparation</t>
  </si>
  <si>
    <t>Unit description</t>
  </si>
  <si>
    <t>Days</t>
  </si>
  <si>
    <t>Stationery</t>
  </si>
  <si>
    <t>Transportation costs</t>
  </si>
  <si>
    <t>replace this with esimated vehicle running costs if official vehicles are used</t>
  </si>
  <si>
    <t>Per diem/lodging</t>
  </si>
  <si>
    <t>Printing</t>
  </si>
  <si>
    <t>Meeting</t>
  </si>
  <si>
    <t>unit time space is in use</t>
  </si>
  <si>
    <t>will prorate this to calculate such costs. Alternatively use commercial rates if special facilities are hired</t>
  </si>
  <si>
    <t>Storage</t>
  </si>
  <si>
    <t>Per diem</t>
  </si>
  <si>
    <t>Travel reimbursements</t>
  </si>
  <si>
    <t>Refreshments</t>
  </si>
  <si>
    <t>Hall hire</t>
  </si>
  <si>
    <t>TAS Survey</t>
  </si>
  <si>
    <t>Community engagement</t>
  </si>
  <si>
    <t>Program launch</t>
  </si>
  <si>
    <t>Community meetings</t>
  </si>
  <si>
    <t>Unit cost</t>
  </si>
  <si>
    <t>Select appropriate category and delete irrelevant ones</t>
  </si>
  <si>
    <t>ICT</t>
  </si>
  <si>
    <t>RDT</t>
  </si>
  <si>
    <t>Slides</t>
  </si>
  <si>
    <t>Stains</t>
  </si>
  <si>
    <t>Gloves</t>
  </si>
  <si>
    <t>Lancets</t>
  </si>
  <si>
    <t>Biohazard bags</t>
  </si>
  <si>
    <t>Methanol</t>
  </si>
  <si>
    <t>Cotton swabs</t>
  </si>
  <si>
    <t>Deionized water</t>
  </si>
  <si>
    <t>Microscopes (prorated)</t>
  </si>
  <si>
    <t>Alcohol handrub</t>
  </si>
  <si>
    <t>TAS consultants</t>
  </si>
  <si>
    <t>Consultants to support local team with survey design, analysis, etc</t>
  </si>
  <si>
    <t xml:space="preserve">To assist with data collection </t>
  </si>
  <si>
    <t>DHMT time</t>
  </si>
  <si>
    <t>Transportation</t>
  </si>
  <si>
    <t>Fuel</t>
  </si>
  <si>
    <t>Insurance</t>
  </si>
  <si>
    <t>Maintenance</t>
  </si>
  <si>
    <t>Vehicle lease</t>
  </si>
  <si>
    <t>These could include boat hire costs in some places</t>
  </si>
  <si>
    <t>*Capital costs (depreciation)</t>
  </si>
  <si>
    <t>Miscellaneous</t>
  </si>
  <si>
    <t>Security (for mobile teams if applicable)</t>
  </si>
  <si>
    <t>Snacks for participants (schools)</t>
  </si>
  <si>
    <t>T-shirts/caps for enumerators</t>
  </si>
  <si>
    <t>Dissemination</t>
  </si>
  <si>
    <t>IRB costs including prep and submission</t>
  </si>
  <si>
    <t>These costs might be waived in some circumstances. Include only submission costs if personnel time is covered above</t>
  </si>
  <si>
    <t>units</t>
  </si>
  <si>
    <t>Description</t>
  </si>
  <si>
    <t>Training materials assorted</t>
  </si>
  <si>
    <t>These can include consultants to prepare training materials, trainers, etc</t>
  </si>
  <si>
    <t>% wastage</t>
  </si>
  <si>
    <t>Item</t>
  </si>
  <si>
    <t>LOE</t>
  </si>
  <si>
    <t>No of units</t>
  </si>
  <si>
    <t>Project allocation</t>
  </si>
  <si>
    <t>We assume for TAS that there will be minimal capital investments.</t>
  </si>
  <si>
    <t>Assorted IT e.g. laptops if applicable</t>
  </si>
  <si>
    <t>Others include things like national planning meetings if separate from routine work</t>
  </si>
  <si>
    <t>**International freight</t>
  </si>
  <si>
    <t>International freight if some lab samples have to be transported for analyses overseas e.g. to CDC</t>
  </si>
  <si>
    <t>Include international travel if relevant</t>
  </si>
  <si>
    <t>Other printing costs e.g. for reports</t>
  </si>
  <si>
    <t>To discuss Taskforce folks whether it will be xenomonitoring or something else and update costing sheet accordingly</t>
  </si>
  <si>
    <t>Total Costs (USD)</t>
  </si>
  <si>
    <t>Total costs (Leone)</t>
  </si>
  <si>
    <t>Total Costs (Leone)</t>
  </si>
  <si>
    <t>Total Costs  (Leone)</t>
  </si>
  <si>
    <t>Total Costs USD</t>
  </si>
  <si>
    <t>LOE estimate as % time spent on activity per annum. Unit costs are annualized</t>
  </si>
  <si>
    <t>Totals</t>
  </si>
  <si>
    <t>for designs, wastage represents cost variation</t>
  </si>
  <si>
    <t>MDA population target coverage</t>
  </si>
  <si>
    <t>Target Population</t>
  </si>
  <si>
    <t>Average household size</t>
  </si>
  <si>
    <t>This is for estimating flyers and spraying costs</t>
  </si>
  <si>
    <t>Toners (printing/copier)</t>
  </si>
  <si>
    <t>Clearance &amp; forwarding contract</t>
  </si>
  <si>
    <t>Note</t>
  </si>
  <si>
    <t>Clinical management</t>
  </si>
  <si>
    <t>Meetings Planning</t>
  </si>
  <si>
    <t xml:space="preserve">Mapping </t>
  </si>
  <si>
    <t>Others (Vector control)</t>
  </si>
  <si>
    <t>Clinical personnel hours saved</t>
  </si>
  <si>
    <t>*right lower quadrant solution</t>
  </si>
  <si>
    <t>Authors: TBD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</si>
</sst>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-* #,##0_-;\-* #,##0_-;_-* &quot;-&quot;??_-;_-@_-"/>
    <numFmt numFmtId="167" formatCode="0.0%"/>
    <numFmt numFmtId="168" formatCode="&quot;$&quot;#,##0.00"/>
    <numFmt numFmtId="169" formatCode="0.0"/>
    <numFmt numFmtId="170" formatCode="0.0000"/>
    <numFmt numFmtId="171" formatCode="_([$SLL]\ * #,##0.00_);_([$SLL]\ * \(#,##0.00\);_([$SLL]\ * &quot;-&quot;??_);_(@_)"/>
  </numFmts>
  <fonts count="45">
    <font>
      <sz val="11"/>
      <color theme="1"/>
      <name val="Times New Roman"/>
      <family val="2"/>
    </font>
    <font>
      <sz val="11"/>
      <color theme="1"/>
      <name val="Times New Roman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Arial"/>
      <family val="2"/>
    </font>
    <font>
      <sz val="22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11"/>
      <name val="Times New Roman"/>
      <family val="1"/>
    </font>
    <font>
      <i/>
      <sz val="11"/>
      <color theme="1"/>
      <name val="Times New Roman"/>
      <family val="1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2"/>
    </font>
    <font>
      <sz val="24"/>
      <color rgb="FFFFFFFF"/>
      <name val="Helvetica"/>
      <family val="2"/>
    </font>
    <font>
      <b/>
      <sz val="12"/>
      <color theme="1"/>
      <name val="Times New Roman"/>
      <family val="1"/>
    </font>
    <font>
      <i/>
      <sz val="11"/>
      <color theme="1"/>
      <name val="Times New Roman"/>
      <family val="2"/>
    </font>
    <font>
      <i/>
      <sz val="11"/>
      <color theme="1"/>
      <name val="Calibri"/>
      <family val="2"/>
      <scheme val="minor"/>
    </font>
    <font>
      <sz val="14"/>
      <color rgb="FFFF0000"/>
      <name val="Times New Roman"/>
      <family val="2"/>
    </font>
    <font>
      <sz val="14"/>
      <color theme="1"/>
      <name val="Times New Roman"/>
      <family val="2"/>
    </font>
    <font>
      <sz val="14"/>
      <color theme="0"/>
      <name val="Times New Roman"/>
      <family val="2"/>
    </font>
    <font>
      <sz val="11"/>
      <color rgb="FF000000"/>
      <name val="Times New Roman"/>
      <family val="1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sz val="14"/>
      <color rgb="FF000000"/>
      <name val="Times New Roman"/>
      <family val="1"/>
    </font>
    <font>
      <b/>
      <sz val="14"/>
      <color theme="10"/>
      <name val="Arial"/>
      <family val="2"/>
    </font>
    <font>
      <sz val="12"/>
      <color theme="1"/>
      <name val="Arial"/>
      <family val="2"/>
    </font>
    <font>
      <sz val="14"/>
      <color rgb="FF000000"/>
      <name val="Arial"/>
      <family val="2"/>
    </font>
    <font>
      <b/>
      <sz val="11"/>
      <color rgb="FFFFFFFF"/>
      <name val="Times New Roman"/>
      <family val="1"/>
    </font>
    <font>
      <b/>
      <sz val="26"/>
      <color theme="1"/>
      <name val="Times New Roman"/>
      <family val="1"/>
    </font>
    <font>
      <sz val="14"/>
      <color theme="10"/>
      <name val="Times Roman"/>
    </font>
    <font>
      <sz val="14"/>
      <color theme="0"/>
      <name val="Times New Roman"/>
      <family val="1"/>
    </font>
    <font>
      <sz val="12"/>
      <color rgb="FF000000"/>
      <name val="Times New Roman"/>
      <family val="1"/>
    </font>
    <font>
      <i/>
      <sz val="12"/>
      <color rgb="FF000000"/>
      <name val="Times New Roman"/>
      <family val="1"/>
    </font>
    <font>
      <sz val="12"/>
      <color rgb="FF000000"/>
      <name val="Calibri"/>
      <family val="2"/>
    </font>
    <font>
      <sz val="12"/>
      <color rgb="FF000000"/>
      <name val="Times Roman"/>
    </font>
    <font>
      <i/>
      <sz val="12"/>
      <color rgb="FF000000"/>
      <name val="Times Roman"/>
    </font>
    <font>
      <b/>
      <sz val="12"/>
      <color rgb="FF000000"/>
      <name val="Times New Roman"/>
      <family val="1"/>
    </font>
    <font>
      <b/>
      <sz val="12"/>
      <color rgb="FF000000"/>
      <name val="Times Roman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B4C6E7"/>
        <bgColor rgb="FF000000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5">
    <xf numFmtId="0" fontId="0" fillId="0" borderId="0" xfId="0"/>
    <xf numFmtId="0" fontId="0" fillId="0" borderId="2" xfId="0" applyBorder="1"/>
    <xf numFmtId="0" fontId="0" fillId="0" borderId="3" xfId="0" applyBorder="1"/>
    <xf numFmtId="0" fontId="4" fillId="0" borderId="3" xfId="0" applyFont="1" applyBorder="1"/>
    <xf numFmtId="0" fontId="4" fillId="0" borderId="0" xfId="0" applyFont="1"/>
    <xf numFmtId="0" fontId="3" fillId="2" borderId="0" xfId="0" applyFont="1" applyFill="1"/>
    <xf numFmtId="0" fontId="0" fillId="0" borderId="5" xfId="0" applyBorder="1"/>
    <xf numFmtId="0" fontId="0" fillId="0" borderId="6" xfId="0" applyBorder="1"/>
    <xf numFmtId="0" fontId="4" fillId="0" borderId="8" xfId="0" applyFont="1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7" xfId="0" applyBorder="1"/>
    <xf numFmtId="0" fontId="0" fillId="0" borderId="4" xfId="0" applyBorder="1"/>
    <xf numFmtId="0" fontId="0" fillId="0" borderId="15" xfId="0" applyBorder="1"/>
    <xf numFmtId="0" fontId="0" fillId="0" borderId="14" xfId="0" applyBorder="1"/>
    <xf numFmtId="0" fontId="4" fillId="0" borderId="13" xfId="0" applyFont="1" applyBorder="1"/>
    <xf numFmtId="0" fontId="4" fillId="0" borderId="12" xfId="0" applyFont="1" applyBorder="1"/>
    <xf numFmtId="0" fontId="4" fillId="0" borderId="5" xfId="0" applyFont="1" applyBorder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4" fillId="0" borderId="14" xfId="0" applyFont="1" applyBorder="1"/>
    <xf numFmtId="0" fontId="0" fillId="0" borderId="12" xfId="0" applyBorder="1"/>
    <xf numFmtId="0" fontId="9" fillId="0" borderId="0" xfId="0" applyFont="1"/>
    <xf numFmtId="0" fontId="9" fillId="0" borderId="8" xfId="0" applyFont="1" applyBorder="1"/>
    <xf numFmtId="0" fontId="9" fillId="0" borderId="10" xfId="0" applyFont="1" applyBorder="1"/>
    <xf numFmtId="2" fontId="0" fillId="0" borderId="0" xfId="0" applyNumberFormat="1"/>
    <xf numFmtId="2" fontId="0" fillId="0" borderId="14" xfId="0" applyNumberFormat="1" applyBorder="1"/>
    <xf numFmtId="44" fontId="0" fillId="0" borderId="0" xfId="3" applyFont="1" applyBorder="1"/>
    <xf numFmtId="9" fontId="0" fillId="0" borderId="0" xfId="4" applyFont="1"/>
    <xf numFmtId="0" fontId="4" fillId="0" borderId="10" xfId="0" applyFont="1" applyBorder="1"/>
    <xf numFmtId="164" fontId="0" fillId="0" borderId="6" xfId="1" applyNumberFormat="1" applyFont="1" applyBorder="1"/>
    <xf numFmtId="164" fontId="0" fillId="0" borderId="0" xfId="1" applyNumberFormat="1" applyFont="1" applyBorder="1"/>
    <xf numFmtId="164" fontId="0" fillId="0" borderId="0" xfId="0" applyNumberFormat="1"/>
    <xf numFmtId="164" fontId="0" fillId="0" borderId="14" xfId="0" applyNumberFormat="1" applyBorder="1"/>
    <xf numFmtId="164" fontId="0" fillId="0" borderId="3" xfId="0" applyNumberFormat="1" applyBorder="1"/>
    <xf numFmtId="2" fontId="0" fillId="0" borderId="3" xfId="0" applyNumberFormat="1" applyBorder="1"/>
    <xf numFmtId="0" fontId="11" fillId="0" borderId="13" xfId="0" applyFont="1" applyBorder="1"/>
    <xf numFmtId="0" fontId="11" fillId="0" borderId="14" xfId="0" applyFont="1" applyBorder="1"/>
    <xf numFmtId="164" fontId="0" fillId="0" borderId="7" xfId="1" applyNumberFormat="1" applyFont="1" applyBorder="1"/>
    <xf numFmtId="164" fontId="0" fillId="0" borderId="9" xfId="1" applyNumberFormat="1" applyFont="1" applyBorder="1"/>
    <xf numFmtId="0" fontId="11" fillId="0" borderId="0" xfId="0" applyFont="1"/>
    <xf numFmtId="0" fontId="13" fillId="0" borderId="0" xfId="0" applyFont="1"/>
    <xf numFmtId="0" fontId="7" fillId="0" borderId="0" xfId="0" applyFont="1"/>
    <xf numFmtId="165" fontId="8" fillId="0" borderId="0" xfId="3" applyNumberFormat="1" applyFont="1"/>
    <xf numFmtId="2" fontId="5" fillId="8" borderId="3" xfId="0" applyNumberFormat="1" applyFont="1" applyFill="1" applyBorder="1"/>
    <xf numFmtId="44" fontId="5" fillId="8" borderId="3" xfId="3" applyFont="1" applyFill="1" applyBorder="1"/>
    <xf numFmtId="0" fontId="5" fillId="8" borderId="3" xfId="0" applyFont="1" applyFill="1" applyBorder="1"/>
    <xf numFmtId="1" fontId="0" fillId="0" borderId="0" xfId="0" applyNumberFormat="1"/>
    <xf numFmtId="44" fontId="0" fillId="0" borderId="0" xfId="3" applyFont="1"/>
    <xf numFmtId="0" fontId="16" fillId="2" borderId="0" xfId="0" applyFont="1" applyFill="1"/>
    <xf numFmtId="0" fontId="0" fillId="0" borderId="0" xfId="0" applyAlignment="1">
      <alignment horizontal="left"/>
    </xf>
    <xf numFmtId="0" fontId="0" fillId="0" borderId="9" xfId="0" applyBorder="1" applyAlignment="1">
      <alignment horizontal="left"/>
    </xf>
    <xf numFmtId="0" fontId="0" fillId="5" borderId="0" xfId="0" applyFill="1"/>
    <xf numFmtId="166" fontId="0" fillId="5" borderId="3" xfId="1" quotePrefix="1" applyNumberFormat="1" applyFont="1" applyFill="1" applyBorder="1"/>
    <xf numFmtId="166" fontId="0" fillId="5" borderId="3" xfId="0" applyNumberFormat="1" applyFill="1" applyBorder="1"/>
    <xf numFmtId="166" fontId="0" fillId="5" borderId="3" xfId="1" applyNumberFormat="1" applyFont="1" applyFill="1" applyBorder="1"/>
    <xf numFmtId="0" fontId="7" fillId="0" borderId="5" xfId="0" applyFont="1" applyBorder="1"/>
    <xf numFmtId="0" fontId="14" fillId="0" borderId="6" xfId="0" applyFont="1" applyBorder="1"/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5" fillId="0" borderId="9" xfId="0" applyFont="1" applyBorder="1"/>
    <xf numFmtId="0" fontId="14" fillId="0" borderId="0" xfId="0" applyFont="1"/>
    <xf numFmtId="0" fontId="5" fillId="0" borderId="8" xfId="0" applyFont="1" applyBorder="1"/>
    <xf numFmtId="0" fontId="5" fillId="0" borderId="10" xfId="0" applyFont="1" applyBorder="1"/>
    <xf numFmtId="0" fontId="5" fillId="8" borderId="2" xfId="0" applyFont="1" applyFill="1" applyBorder="1"/>
    <xf numFmtId="0" fontId="5" fillId="0" borderId="2" xfId="0" applyFont="1" applyBorder="1"/>
    <xf numFmtId="0" fontId="5" fillId="0" borderId="11" xfId="0" applyFont="1" applyBorder="1"/>
    <xf numFmtId="164" fontId="1" fillId="10" borderId="6" xfId="1" applyNumberFormat="1" applyFont="1" applyFill="1" applyBorder="1"/>
    <xf numFmtId="164" fontId="1" fillId="5" borderId="6" xfId="1" applyNumberFormat="1" applyFont="1" applyFill="1" applyBorder="1"/>
    <xf numFmtId="164" fontId="1" fillId="5" borderId="0" xfId="1" applyNumberFormat="1" applyFont="1" applyFill="1" applyBorder="1"/>
    <xf numFmtId="0" fontId="0" fillId="11" borderId="3" xfId="0" applyFill="1" applyBorder="1"/>
    <xf numFmtId="0" fontId="0" fillId="0" borderId="16" xfId="0" applyBorder="1"/>
    <xf numFmtId="0" fontId="12" fillId="0" borderId="0" xfId="0" applyFont="1"/>
    <xf numFmtId="9" fontId="0" fillId="11" borderId="3" xfId="4" applyFont="1" applyFill="1" applyBorder="1"/>
    <xf numFmtId="0" fontId="0" fillId="8" borderId="3" xfId="0" applyFill="1" applyBorder="1"/>
    <xf numFmtId="9" fontId="0" fillId="8" borderId="3" xfId="4" applyFont="1" applyFill="1" applyBorder="1"/>
    <xf numFmtId="9" fontId="0" fillId="0" borderId="0" xfId="4" applyFont="1" applyFill="1" applyBorder="1"/>
    <xf numFmtId="0" fontId="4" fillId="0" borderId="14" xfId="0" applyFont="1" applyBorder="1" applyAlignment="1">
      <alignment vertical="center" wrapText="1"/>
    </xf>
    <xf numFmtId="0" fontId="4" fillId="5" borderId="3" xfId="0" applyFont="1" applyFill="1" applyBorder="1" applyAlignment="1">
      <alignment vertical="center" wrapText="1"/>
    </xf>
    <xf numFmtId="0" fontId="0" fillId="7" borderId="4" xfId="0" applyFill="1" applyBorder="1"/>
    <xf numFmtId="0" fontId="4" fillId="0" borderId="0" xfId="0" applyFont="1" applyAlignment="1">
      <alignment vertical="center" wrapText="1"/>
    </xf>
    <xf numFmtId="0" fontId="0" fillId="11" borderId="9" xfId="0" applyFill="1" applyBorder="1"/>
    <xf numFmtId="0" fontId="17" fillId="0" borderId="3" xfId="0" applyFont="1" applyBorder="1"/>
    <xf numFmtId="0" fontId="17" fillId="0" borderId="14" xfId="0" applyFont="1" applyBorder="1" applyAlignment="1">
      <alignment vertical="center" wrapText="1"/>
    </xf>
    <xf numFmtId="0" fontId="18" fillId="0" borderId="4" xfId="0" applyFont="1" applyBorder="1"/>
    <xf numFmtId="0" fontId="18" fillId="12" borderId="9" xfId="0" applyFont="1" applyFill="1" applyBorder="1"/>
    <xf numFmtId="0" fontId="18" fillId="0" borderId="15" xfId="0" applyFont="1" applyBorder="1"/>
    <xf numFmtId="9" fontId="0" fillId="0" borderId="0" xfId="0" applyNumberFormat="1"/>
    <xf numFmtId="0" fontId="17" fillId="0" borderId="0" xfId="0" applyFont="1" applyAlignment="1">
      <alignment vertical="center" wrapText="1"/>
    </xf>
    <xf numFmtId="0" fontId="18" fillId="0" borderId="0" xfId="0" applyFont="1"/>
    <xf numFmtId="0" fontId="18" fillId="0" borderId="5" xfId="0" applyFont="1" applyBorder="1"/>
    <xf numFmtId="0" fontId="18" fillId="12" borderId="7" xfId="0" applyFont="1" applyFill="1" applyBorder="1"/>
    <xf numFmtId="0" fontId="18" fillId="0" borderId="8" xfId="0" applyFont="1" applyBorder="1"/>
    <xf numFmtId="0" fontId="18" fillId="0" borderId="10" xfId="0" applyFont="1" applyBorder="1"/>
    <xf numFmtId="0" fontId="17" fillId="0" borderId="3" xfId="0" applyFont="1" applyBorder="1" applyAlignment="1">
      <alignment vertical="center" wrapText="1"/>
    </xf>
    <xf numFmtId="167" fontId="0" fillId="0" borderId="0" xfId="0" applyNumberFormat="1"/>
    <xf numFmtId="2" fontId="4" fillId="0" borderId="0" xfId="0" applyNumberFormat="1" applyFont="1" applyAlignment="1">
      <alignment wrapText="1"/>
    </xf>
    <xf numFmtId="0" fontId="4" fillId="0" borderId="0" xfId="0" applyFont="1" applyAlignment="1">
      <alignment wrapText="1"/>
    </xf>
    <xf numFmtId="0" fontId="0" fillId="11" borderId="0" xfId="0" applyFill="1"/>
    <xf numFmtId="0" fontId="4" fillId="11" borderId="0" xfId="0" applyFont="1" applyFill="1"/>
    <xf numFmtId="0" fontId="4" fillId="0" borderId="16" xfId="0" applyFont="1" applyBorder="1"/>
    <xf numFmtId="0" fontId="0" fillId="11" borderId="19" xfId="0" applyFill="1" applyBorder="1"/>
    <xf numFmtId="0" fontId="4" fillId="0" borderId="16" xfId="0" applyFont="1" applyBorder="1" applyAlignment="1">
      <alignment wrapText="1"/>
    </xf>
    <xf numFmtId="167" fontId="0" fillId="0" borderId="16" xfId="0" applyNumberFormat="1" applyBorder="1"/>
    <xf numFmtId="0" fontId="0" fillId="0" borderId="19" xfId="0" applyBorder="1"/>
    <xf numFmtId="9" fontId="0" fillId="0" borderId="16" xfId="0" applyNumberFormat="1" applyBorder="1"/>
    <xf numFmtId="0" fontId="4" fillId="11" borderId="19" xfId="0" applyFont="1" applyFill="1" applyBorder="1"/>
    <xf numFmtId="0" fontId="0" fillId="11" borderId="17" xfId="0" applyFill="1" applyBorder="1"/>
    <xf numFmtId="0" fontId="0" fillId="11" borderId="20" xfId="0" applyFill="1" applyBorder="1"/>
    <xf numFmtId="0" fontId="0" fillId="11" borderId="16" xfId="0" applyFill="1" applyBorder="1"/>
    <xf numFmtId="0" fontId="0" fillId="0" borderId="21" xfId="0" applyBorder="1"/>
    <xf numFmtId="0" fontId="19" fillId="0" borderId="0" xfId="0" applyFont="1"/>
    <xf numFmtId="2" fontId="0" fillId="11" borderId="3" xfId="0" applyNumberFormat="1" applyFill="1" applyBorder="1"/>
    <xf numFmtId="9" fontId="0" fillId="8" borderId="3" xfId="0" applyNumberFormat="1" applyFill="1" applyBorder="1"/>
    <xf numFmtId="9" fontId="0" fillId="11" borderId="3" xfId="0" applyNumberFormat="1" applyFill="1" applyBorder="1"/>
    <xf numFmtId="2" fontId="0" fillId="8" borderId="3" xfId="0" applyNumberFormat="1" applyFill="1" applyBorder="1"/>
    <xf numFmtId="168" fontId="0" fillId="11" borderId="3" xfId="0" applyNumberFormat="1" applyFill="1" applyBorder="1"/>
    <xf numFmtId="168" fontId="0" fillId="8" borderId="3" xfId="0" applyNumberFormat="1" applyFill="1" applyBorder="1"/>
    <xf numFmtId="44" fontId="18" fillId="12" borderId="1" xfId="3" applyFont="1" applyFill="1" applyBorder="1"/>
    <xf numFmtId="44" fontId="18" fillId="12" borderId="9" xfId="3" applyFont="1" applyFill="1" applyBorder="1"/>
    <xf numFmtId="44" fontId="18" fillId="12" borderId="4" xfId="3" applyFont="1" applyFill="1" applyBorder="1"/>
    <xf numFmtId="44" fontId="0" fillId="11" borderId="4" xfId="3" applyFont="1" applyFill="1" applyBorder="1"/>
    <xf numFmtId="44" fontId="18" fillId="12" borderId="15" xfId="3" applyFont="1" applyFill="1" applyBorder="1"/>
    <xf numFmtId="44" fontId="0" fillId="8" borderId="3" xfId="3" applyFont="1" applyFill="1" applyBorder="1"/>
    <xf numFmtId="44" fontId="0" fillId="0" borderId="0" xfId="0" applyNumberFormat="1"/>
    <xf numFmtId="44" fontId="0" fillId="8" borderId="3" xfId="0" applyNumberFormat="1" applyFill="1" applyBorder="1"/>
    <xf numFmtId="44" fontId="0" fillId="11" borderId="3" xfId="3" applyFont="1" applyFill="1" applyBorder="1"/>
    <xf numFmtId="2" fontId="0" fillId="0" borderId="16" xfId="0" applyNumberFormat="1" applyBorder="1"/>
    <xf numFmtId="44" fontId="0" fillId="0" borderId="16" xfId="3" applyFont="1" applyBorder="1"/>
    <xf numFmtId="44" fontId="0" fillId="0" borderId="21" xfId="3" applyFont="1" applyBorder="1"/>
    <xf numFmtId="0" fontId="0" fillId="0" borderId="0" xfId="3" applyNumberFormat="1" applyFont="1"/>
    <xf numFmtId="2" fontId="0" fillId="0" borderId="0" xfId="3" applyNumberFormat="1" applyFont="1"/>
    <xf numFmtId="169" fontId="5" fillId="8" borderId="3" xfId="0" applyNumberFormat="1" applyFont="1" applyFill="1" applyBorder="1"/>
    <xf numFmtId="0" fontId="20" fillId="0" borderId="13" xfId="0" applyFont="1" applyBorder="1"/>
    <xf numFmtId="0" fontId="20" fillId="0" borderId="14" xfId="0" applyFont="1" applyBorder="1"/>
    <xf numFmtId="2" fontId="0" fillId="11" borderId="9" xfId="0" applyNumberFormat="1" applyFill="1" applyBorder="1"/>
    <xf numFmtId="2" fontId="0" fillId="0" borderId="2" xfId="0" applyNumberFormat="1" applyBorder="1"/>
    <xf numFmtId="2" fontId="0" fillId="11" borderId="11" xfId="0" applyNumberFormat="1" applyFill="1" applyBorder="1"/>
    <xf numFmtId="0" fontId="20" fillId="0" borderId="3" xfId="0" applyFont="1" applyBorder="1"/>
    <xf numFmtId="44" fontId="0" fillId="11" borderId="0" xfId="3" applyFont="1" applyFill="1" applyBorder="1"/>
    <xf numFmtId="44" fontId="0" fillId="0" borderId="2" xfId="3" applyFont="1" applyBorder="1"/>
    <xf numFmtId="44" fontId="0" fillId="11" borderId="2" xfId="3" applyFont="1" applyFill="1" applyBorder="1"/>
    <xf numFmtId="0" fontId="20" fillId="0" borderId="0" xfId="0" applyFont="1"/>
    <xf numFmtId="0" fontId="0" fillId="0" borderId="18" xfId="0" applyBorder="1"/>
    <xf numFmtId="0" fontId="21" fillId="0" borderId="22" xfId="0" applyFont="1" applyBorder="1" applyAlignment="1">
      <alignment horizontal="center"/>
    </xf>
    <xf numFmtId="0" fontId="9" fillId="0" borderId="1" xfId="0" applyFont="1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/>
    <xf numFmtId="0" fontId="0" fillId="0" borderId="0" xfId="0" applyAlignment="1">
      <alignment vertical="center"/>
    </xf>
    <xf numFmtId="0" fontId="0" fillId="0" borderId="23" xfId="0" applyBorder="1" applyAlignment="1">
      <alignment horizontal="center"/>
    </xf>
    <xf numFmtId="0" fontId="22" fillId="0" borderId="24" xfId="0" applyFont="1" applyBorder="1" applyAlignment="1">
      <alignment horizontal="center"/>
    </xf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25" xfId="0" applyBorder="1" applyAlignment="1">
      <alignment horizontal="center"/>
    </xf>
    <xf numFmtId="0" fontId="23" fillId="0" borderId="0" xfId="0" applyFont="1"/>
    <xf numFmtId="0" fontId="24" fillId="0" borderId="0" xfId="0" applyFont="1"/>
    <xf numFmtId="0" fontId="25" fillId="2" borderId="5" xfId="0" applyFont="1" applyFill="1" applyBorder="1"/>
    <xf numFmtId="0" fontId="25" fillId="2" borderId="28" xfId="0" applyFont="1" applyFill="1" applyBorder="1"/>
    <xf numFmtId="0" fontId="25" fillId="2" borderId="7" xfId="0" applyFont="1" applyFill="1" applyBorder="1"/>
    <xf numFmtId="0" fontId="24" fillId="0" borderId="13" xfId="0" applyFont="1" applyBorder="1"/>
    <xf numFmtId="43" fontId="24" fillId="0" borderId="0" xfId="0" applyNumberFormat="1" applyFont="1"/>
    <xf numFmtId="43" fontId="24" fillId="14" borderId="28" xfId="1" applyFont="1" applyFill="1" applyBorder="1"/>
    <xf numFmtId="44" fontId="24" fillId="0" borderId="0" xfId="0" applyNumberFormat="1" applyFont="1"/>
    <xf numFmtId="9" fontId="24" fillId="0" borderId="0" xfId="0" applyNumberFormat="1" applyFont="1"/>
    <xf numFmtId="164" fontId="24" fillId="14" borderId="13" xfId="1" applyNumberFormat="1" applyFont="1" applyFill="1" applyBorder="1"/>
    <xf numFmtId="44" fontId="24" fillId="13" borderId="13" xfId="3" applyFont="1" applyFill="1" applyBorder="1"/>
    <xf numFmtId="44" fontId="24" fillId="13" borderId="28" xfId="3" applyFont="1" applyFill="1" applyBorder="1"/>
    <xf numFmtId="9" fontId="24" fillId="13" borderId="7" xfId="4" applyFont="1" applyFill="1" applyBorder="1"/>
    <xf numFmtId="9" fontId="24" fillId="13" borderId="14" xfId="4" applyFont="1" applyFill="1" applyBorder="1"/>
    <xf numFmtId="0" fontId="0" fillId="0" borderId="28" xfId="0" applyBorder="1" applyAlignment="1">
      <alignment horizontal="center"/>
    </xf>
    <xf numFmtId="170" fontId="0" fillId="0" borderId="0" xfId="0" applyNumberFormat="1"/>
    <xf numFmtId="0" fontId="0" fillId="15" borderId="5" xfId="0" applyFill="1" applyBorder="1"/>
    <xf numFmtId="0" fontId="0" fillId="15" borderId="7" xfId="0" applyFill="1" applyBorder="1"/>
    <xf numFmtId="0" fontId="0" fillId="15" borderId="8" xfId="0" applyFill="1" applyBorder="1"/>
    <xf numFmtId="0" fontId="0" fillId="15" borderId="9" xfId="0" applyFill="1" applyBorder="1"/>
    <xf numFmtId="0" fontId="0" fillId="15" borderId="10" xfId="0" applyFill="1" applyBorder="1"/>
    <xf numFmtId="0" fontId="0" fillId="15" borderId="11" xfId="0" applyFill="1" applyBorder="1"/>
    <xf numFmtId="0" fontId="0" fillId="14" borderId="0" xfId="0" applyFill="1"/>
    <xf numFmtId="0" fontId="17" fillId="0" borderId="8" xfId="0" applyFont="1" applyBorder="1"/>
    <xf numFmtId="0" fontId="9" fillId="13" borderId="9" xfId="0" applyFont="1" applyFill="1" applyBorder="1"/>
    <xf numFmtId="16" fontId="17" fillId="0" borderId="8" xfId="0" applyNumberFormat="1" applyFont="1" applyBorder="1"/>
    <xf numFmtId="0" fontId="17" fillId="0" borderId="10" xfId="0" applyFont="1" applyBorder="1"/>
    <xf numFmtId="0" fontId="9" fillId="13" borderId="11" xfId="0" applyFont="1" applyFill="1" applyBorder="1"/>
    <xf numFmtId="0" fontId="26" fillId="14" borderId="4" xfId="0" applyFont="1" applyFill="1" applyBorder="1"/>
    <xf numFmtId="0" fontId="26" fillId="14" borderId="15" xfId="0" applyFont="1" applyFill="1" applyBorder="1"/>
    <xf numFmtId="0" fontId="9" fillId="13" borderId="4" xfId="0" applyFont="1" applyFill="1" applyBorder="1"/>
    <xf numFmtId="0" fontId="9" fillId="13" borderId="15" xfId="0" applyFont="1" applyFill="1" applyBorder="1"/>
    <xf numFmtId="0" fontId="17" fillId="0" borderId="12" xfId="0" applyFont="1" applyBorder="1"/>
    <xf numFmtId="0" fontId="17" fillId="0" borderId="14" xfId="0" applyFont="1" applyBorder="1" applyAlignment="1">
      <alignment horizontal="right"/>
    </xf>
    <xf numFmtId="0" fontId="17" fillId="0" borderId="14" xfId="0" applyFont="1" applyBorder="1"/>
    <xf numFmtId="43" fontId="9" fillId="13" borderId="9" xfId="0" applyNumberFormat="1" applyFont="1" applyFill="1" applyBorder="1"/>
    <xf numFmtId="0" fontId="0" fillId="13" borderId="13" xfId="0" applyFill="1" applyBorder="1"/>
    <xf numFmtId="164" fontId="24" fillId="13" borderId="13" xfId="1" applyNumberFormat="1" applyFont="1" applyFill="1" applyBorder="1"/>
    <xf numFmtId="164" fontId="0" fillId="0" borderId="0" xfId="1" applyNumberFormat="1" applyFont="1"/>
    <xf numFmtId="0" fontId="0" fillId="13" borderId="28" xfId="0" applyFill="1" applyBorder="1"/>
    <xf numFmtId="0" fontId="0" fillId="13" borderId="0" xfId="0" applyFill="1"/>
    <xf numFmtId="0" fontId="0" fillId="13" borderId="2" xfId="0" applyFill="1" applyBorder="1"/>
    <xf numFmtId="2" fontId="24" fillId="13" borderId="13" xfId="0" applyNumberFormat="1" applyFont="1" applyFill="1" applyBorder="1"/>
    <xf numFmtId="0" fontId="26" fillId="0" borderId="0" xfId="0" applyFont="1"/>
    <xf numFmtId="0" fontId="0" fillId="16" borderId="5" xfId="0" applyFill="1" applyBorder="1"/>
    <xf numFmtId="0" fontId="0" fillId="16" borderId="7" xfId="0" applyFill="1" applyBorder="1"/>
    <xf numFmtId="0" fontId="0" fillId="16" borderId="8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27" fillId="0" borderId="0" xfId="0" applyFont="1"/>
    <xf numFmtId="0" fontId="28" fillId="9" borderId="0" xfId="2" applyFont="1" applyFill="1"/>
    <xf numFmtId="0" fontId="27" fillId="0" borderId="0" xfId="0" applyFont="1" applyAlignment="1">
      <alignment horizontal="right"/>
    </xf>
    <xf numFmtId="0" fontId="29" fillId="2" borderId="0" xfId="0" applyFont="1" applyFill="1"/>
    <xf numFmtId="0" fontId="27" fillId="0" borderId="3" xfId="0" applyFont="1" applyBorder="1"/>
    <xf numFmtId="0" fontId="30" fillId="0" borderId="12" xfId="0" applyFont="1" applyBorder="1"/>
    <xf numFmtId="0" fontId="30" fillId="0" borderId="3" xfId="0" applyFont="1" applyBorder="1"/>
    <xf numFmtId="0" fontId="27" fillId="14" borderId="3" xfId="0" applyFont="1" applyFill="1" applyBorder="1" applyAlignment="1">
      <alignment horizontal="right"/>
    </xf>
    <xf numFmtId="0" fontId="27" fillId="14" borderId="3" xfId="0" applyFont="1" applyFill="1" applyBorder="1"/>
    <xf numFmtId="44" fontId="27" fillId="14" borderId="3" xfId="3" applyFont="1" applyFill="1" applyBorder="1"/>
    <xf numFmtId="43" fontId="27" fillId="14" borderId="3" xfId="1" applyFont="1" applyFill="1" applyBorder="1"/>
    <xf numFmtId="9" fontId="27" fillId="14" borderId="3" xfId="4" applyFont="1" applyFill="1" applyBorder="1"/>
    <xf numFmtId="0" fontId="13" fillId="0" borderId="3" xfId="0" applyFont="1" applyBorder="1"/>
    <xf numFmtId="0" fontId="13" fillId="3" borderId="3" xfId="0" applyFont="1" applyFill="1" applyBorder="1" applyAlignment="1">
      <alignment horizontal="right"/>
    </xf>
    <xf numFmtId="0" fontId="13" fillId="0" borderId="3" xfId="0" applyFont="1" applyBorder="1" applyAlignment="1">
      <alignment horizontal="right"/>
    </xf>
    <xf numFmtId="0" fontId="27" fillId="0" borderId="4" xfId="0" applyFont="1" applyBorder="1" applyAlignment="1">
      <alignment horizontal="right"/>
    </xf>
    <xf numFmtId="0" fontId="27" fillId="0" borderId="4" xfId="0" quotePrefix="1" applyFont="1" applyBorder="1" applyAlignment="1">
      <alignment horizontal="right"/>
    </xf>
    <xf numFmtId="0" fontId="27" fillId="0" borderId="15" xfId="0" applyFont="1" applyBorder="1" applyAlignment="1">
      <alignment horizontal="right"/>
    </xf>
    <xf numFmtId="0" fontId="27" fillId="14" borderId="0" xfId="0" applyFont="1" applyFill="1"/>
    <xf numFmtId="164" fontId="27" fillId="10" borderId="3" xfId="1" applyNumberFormat="1" applyFont="1" applyFill="1" applyBorder="1"/>
    <xf numFmtId="171" fontId="27" fillId="14" borderId="3" xfId="1" applyNumberFormat="1" applyFont="1" applyFill="1" applyBorder="1"/>
    <xf numFmtId="43" fontId="9" fillId="13" borderId="11" xfId="0" applyNumberFormat="1" applyFont="1" applyFill="1" applyBorder="1"/>
    <xf numFmtId="0" fontId="29" fillId="6" borderId="3" xfId="0" applyFont="1" applyFill="1" applyBorder="1"/>
    <xf numFmtId="14" fontId="13" fillId="0" borderId="3" xfId="0" applyNumberFormat="1" applyFont="1" applyBorder="1"/>
    <xf numFmtId="0" fontId="31" fillId="0" borderId="0" xfId="2" applyFont="1" applyBorder="1"/>
    <xf numFmtId="0" fontId="31" fillId="0" borderId="0" xfId="2" applyFont="1" applyFill="1" applyBorder="1"/>
    <xf numFmtId="0" fontId="27" fillId="13" borderId="3" xfId="4" applyNumberFormat="1" applyFont="1" applyFill="1" applyBorder="1" applyAlignment="1">
      <alignment horizontal="center"/>
    </xf>
    <xf numFmtId="0" fontId="5" fillId="0" borderId="14" xfId="0" applyFont="1" applyBorder="1"/>
    <xf numFmtId="0" fontId="27" fillId="0" borderId="12" xfId="0" applyFont="1" applyBorder="1"/>
    <xf numFmtId="0" fontId="27" fillId="0" borderId="13" xfId="0" applyFont="1" applyBorder="1"/>
    <xf numFmtId="0" fontId="7" fillId="0" borderId="14" xfId="0" applyFont="1" applyBorder="1"/>
    <xf numFmtId="0" fontId="7" fillId="0" borderId="0" xfId="0" applyFont="1" applyAlignment="1">
      <alignment wrapText="1"/>
    </xf>
    <xf numFmtId="44" fontId="27" fillId="0" borderId="13" xfId="3" applyFont="1" applyBorder="1"/>
    <xf numFmtId="0" fontId="27" fillId="0" borderId="8" xfId="0" applyFont="1" applyBorder="1"/>
    <xf numFmtId="0" fontId="27" fillId="0" borderId="10" xfId="0" applyFont="1" applyBorder="1"/>
    <xf numFmtId="0" fontId="27" fillId="0" borderId="2" xfId="0" applyFont="1" applyBorder="1"/>
    <xf numFmtId="0" fontId="27" fillId="0" borderId="12" xfId="0" applyFont="1" applyBorder="1" applyAlignment="1">
      <alignment horizontal="left"/>
    </xf>
    <xf numFmtId="0" fontId="27" fillId="0" borderId="13" xfId="0" applyFont="1" applyBorder="1" applyAlignment="1">
      <alignment horizontal="left"/>
    </xf>
    <xf numFmtId="0" fontId="5" fillId="0" borderId="14" xfId="0" applyFont="1" applyBorder="1" applyAlignment="1">
      <alignment horizontal="left"/>
    </xf>
    <xf numFmtId="44" fontId="27" fillId="0" borderId="13" xfId="0" applyNumberFormat="1" applyFont="1" applyBorder="1" applyAlignment="1">
      <alignment horizontal="left"/>
    </xf>
    <xf numFmtId="0" fontId="32" fillId="0" borderId="0" xfId="0" applyFont="1"/>
    <xf numFmtId="44" fontId="27" fillId="0" borderId="3" xfId="0" applyNumberFormat="1" applyFont="1" applyBorder="1"/>
    <xf numFmtId="9" fontId="27" fillId="0" borderId="3" xfId="4" applyFont="1" applyBorder="1"/>
    <xf numFmtId="0" fontId="27" fillId="0" borderId="3" xfId="0" applyFont="1" applyBorder="1" applyAlignment="1">
      <alignment horizontal="right"/>
    </xf>
    <xf numFmtId="164" fontId="27" fillId="0" borderId="3" xfId="1" applyNumberFormat="1" applyFont="1" applyBorder="1"/>
    <xf numFmtId="44" fontId="27" fillId="0" borderId="3" xfId="3" applyFont="1" applyBorder="1"/>
    <xf numFmtId="44" fontId="27" fillId="0" borderId="14" xfId="0" applyNumberFormat="1" applyFont="1" applyBorder="1"/>
    <xf numFmtId="44" fontId="27" fillId="0" borderId="14" xfId="3" applyFont="1" applyBorder="1"/>
    <xf numFmtId="0" fontId="27" fillId="4" borderId="12" xfId="0" applyFont="1" applyFill="1" applyBorder="1"/>
    <xf numFmtId="0" fontId="27" fillId="4" borderId="14" xfId="0" applyFont="1" applyFill="1" applyBorder="1"/>
    <xf numFmtId="0" fontId="27" fillId="13" borderId="3" xfId="0" applyFont="1" applyFill="1" applyBorder="1"/>
    <xf numFmtId="0" fontId="33" fillId="0" borderId="3" xfId="0" applyFont="1" applyBorder="1"/>
    <xf numFmtId="164" fontId="33" fillId="14" borderId="3" xfId="1" applyNumberFormat="1" applyFont="1" applyFill="1" applyBorder="1"/>
    <xf numFmtId="16" fontId="33" fillId="0" borderId="3" xfId="0" applyNumberFormat="1" applyFont="1" applyBorder="1"/>
    <xf numFmtId="0" fontId="0" fillId="0" borderId="32" xfId="0" applyBorder="1"/>
    <xf numFmtId="0" fontId="4" fillId="0" borderId="31" xfId="0" applyFont="1" applyBorder="1"/>
    <xf numFmtId="43" fontId="0" fillId="0" borderId="0" xfId="0" applyNumberFormat="1"/>
    <xf numFmtId="2" fontId="27" fillId="0" borderId="14" xfId="0" applyNumberFormat="1" applyFont="1" applyBorder="1"/>
    <xf numFmtId="0" fontId="15" fillId="9" borderId="0" xfId="2" applyFont="1" applyFill="1"/>
    <xf numFmtId="0" fontId="2" fillId="0" borderId="0" xfId="2"/>
    <xf numFmtId="0" fontId="3" fillId="2" borderId="12" xfId="0" applyFont="1" applyFill="1" applyBorder="1"/>
    <xf numFmtId="0" fontId="3" fillId="2" borderId="33" xfId="0" applyFont="1" applyFill="1" applyBorder="1" applyAlignment="1">
      <alignment wrapText="1"/>
    </xf>
    <xf numFmtId="0" fontId="3" fillId="2" borderId="14" xfId="0" applyFont="1" applyFill="1" applyBorder="1" applyAlignment="1">
      <alignment wrapText="1"/>
    </xf>
    <xf numFmtId="0" fontId="0" fillId="0" borderId="31" xfId="0" applyBorder="1"/>
    <xf numFmtId="0" fontId="0" fillId="17" borderId="28" xfId="0" applyFill="1" applyBorder="1"/>
    <xf numFmtId="171" fontId="0" fillId="17" borderId="28" xfId="0" applyNumberFormat="1" applyFill="1" applyBorder="1"/>
    <xf numFmtId="44" fontId="0" fillId="18" borderId="28" xfId="3" applyFont="1" applyFill="1" applyBorder="1"/>
    <xf numFmtId="171" fontId="0" fillId="18" borderId="28" xfId="0" applyNumberFormat="1" applyFill="1" applyBorder="1"/>
    <xf numFmtId="44" fontId="0" fillId="18" borderId="32" xfId="3" applyFont="1" applyFill="1" applyBorder="1"/>
    <xf numFmtId="0" fontId="0" fillId="17" borderId="0" xfId="0" applyFill="1"/>
    <xf numFmtId="171" fontId="0" fillId="17" borderId="0" xfId="0" applyNumberFormat="1" applyFill="1"/>
    <xf numFmtId="44" fontId="0" fillId="18" borderId="0" xfId="3" applyFont="1" applyFill="1" applyBorder="1"/>
    <xf numFmtId="171" fontId="0" fillId="18" borderId="0" xfId="0" applyNumberFormat="1" applyFill="1"/>
    <xf numFmtId="44" fontId="0" fillId="18" borderId="9" xfId="3" applyFont="1" applyFill="1" applyBorder="1"/>
    <xf numFmtId="0" fontId="0" fillId="17" borderId="30" xfId="0" applyFill="1" applyBorder="1"/>
    <xf numFmtId="171" fontId="0" fillId="17" borderId="30" xfId="0" applyNumberFormat="1" applyFill="1" applyBorder="1"/>
    <xf numFmtId="44" fontId="0" fillId="18" borderId="30" xfId="3" applyFont="1" applyFill="1" applyBorder="1"/>
    <xf numFmtId="171" fontId="0" fillId="18" borderId="30" xfId="0" applyNumberFormat="1" applyFill="1" applyBorder="1"/>
    <xf numFmtId="44" fontId="0" fillId="18" borderId="11" xfId="3" applyFont="1" applyFill="1" applyBorder="1"/>
    <xf numFmtId="0" fontId="0" fillId="5" borderId="33" xfId="0" applyFill="1" applyBorder="1"/>
    <xf numFmtId="171" fontId="0" fillId="5" borderId="33" xfId="0" applyNumberFormat="1" applyFill="1" applyBorder="1"/>
    <xf numFmtId="44" fontId="0" fillId="5" borderId="33" xfId="3" applyFont="1" applyFill="1" applyBorder="1"/>
    <xf numFmtId="44" fontId="0" fillId="5" borderId="14" xfId="3" applyFont="1" applyFill="1" applyBorder="1"/>
    <xf numFmtId="171" fontId="0" fillId="5" borderId="0" xfId="0" applyNumberFormat="1" applyFill="1"/>
    <xf numFmtId="44" fontId="0" fillId="5" borderId="0" xfId="3" applyFont="1" applyFill="1" applyBorder="1"/>
    <xf numFmtId="0" fontId="4" fillId="0" borderId="33" xfId="0" applyFont="1" applyBorder="1"/>
    <xf numFmtId="0" fontId="0" fillId="0" borderId="33" xfId="0" applyBorder="1"/>
    <xf numFmtId="0" fontId="4" fillId="5" borderId="33" xfId="0" applyFont="1" applyFill="1" applyBorder="1"/>
    <xf numFmtId="0" fontId="0" fillId="5" borderId="14" xfId="0" applyFill="1" applyBorder="1"/>
    <xf numFmtId="171" fontId="0" fillId="18" borderId="33" xfId="0" applyNumberFormat="1" applyFill="1" applyBorder="1"/>
    <xf numFmtId="44" fontId="4" fillId="18" borderId="33" xfId="3" applyFont="1" applyFill="1" applyBorder="1"/>
    <xf numFmtId="44" fontId="4" fillId="18" borderId="14" xfId="3" applyFont="1" applyFill="1" applyBorder="1"/>
    <xf numFmtId="0" fontId="3" fillId="2" borderId="33" xfId="0" applyFont="1" applyFill="1" applyBorder="1"/>
    <xf numFmtId="0" fontId="4" fillId="0" borderId="9" xfId="0" applyFont="1" applyBorder="1" applyAlignment="1">
      <alignment wrapText="1"/>
    </xf>
    <xf numFmtId="0" fontId="0" fillId="0" borderId="34" xfId="0" applyBorder="1"/>
    <xf numFmtId="171" fontId="4" fillId="5" borderId="33" xfId="0" applyNumberFormat="1" applyFont="1" applyFill="1" applyBorder="1"/>
    <xf numFmtId="44" fontId="4" fillId="5" borderId="33" xfId="3" applyFont="1" applyFill="1" applyBorder="1"/>
    <xf numFmtId="171" fontId="4" fillId="18" borderId="33" xfId="0" applyNumberFormat="1" applyFont="1" applyFill="1" applyBorder="1"/>
    <xf numFmtId="171" fontId="0" fillId="0" borderId="0" xfId="0" applyNumberFormat="1"/>
    <xf numFmtId="171" fontId="0" fillId="0" borderId="33" xfId="0" applyNumberFormat="1" applyBorder="1"/>
    <xf numFmtId="171" fontId="4" fillId="0" borderId="33" xfId="0" applyNumberFormat="1" applyFont="1" applyBorder="1"/>
    <xf numFmtId="44" fontId="4" fillId="0" borderId="33" xfId="3" applyFont="1" applyFill="1" applyBorder="1"/>
    <xf numFmtId="171" fontId="0" fillId="0" borderId="30" xfId="0" applyNumberFormat="1" applyBorder="1"/>
    <xf numFmtId="0" fontId="9" fillId="0" borderId="12" xfId="0" applyFont="1" applyBorder="1"/>
    <xf numFmtId="171" fontId="0" fillId="17" borderId="33" xfId="0" applyNumberFormat="1" applyFill="1" applyBorder="1"/>
    <xf numFmtId="44" fontId="0" fillId="18" borderId="33" xfId="3" applyFont="1" applyFill="1" applyBorder="1"/>
    <xf numFmtId="0" fontId="0" fillId="17" borderId="33" xfId="0" applyFill="1" applyBorder="1"/>
    <xf numFmtId="44" fontId="0" fillId="18" borderId="14" xfId="3" applyFont="1" applyFill="1" applyBorder="1"/>
    <xf numFmtId="44" fontId="0" fillId="0" borderId="33" xfId="3" applyFont="1" applyFill="1" applyBorder="1"/>
    <xf numFmtId="44" fontId="4" fillId="18" borderId="14" xfId="0" applyNumberFormat="1" applyFont="1" applyFill="1" applyBorder="1"/>
    <xf numFmtId="0" fontId="3" fillId="2" borderId="31" xfId="0" applyFont="1" applyFill="1" applyBorder="1"/>
    <xf numFmtId="0" fontId="3" fillId="2" borderId="28" xfId="0" applyFont="1" applyFill="1" applyBorder="1"/>
    <xf numFmtId="0" fontId="3" fillId="2" borderId="28" xfId="0" applyFont="1" applyFill="1" applyBorder="1" applyAlignment="1">
      <alignment wrapText="1"/>
    </xf>
    <xf numFmtId="0" fontId="3" fillId="2" borderId="32" xfId="0" applyFont="1" applyFill="1" applyBorder="1" applyAlignment="1">
      <alignment wrapText="1"/>
    </xf>
    <xf numFmtId="0" fontId="0" fillId="17" borderId="28" xfId="0" applyFill="1" applyBorder="1" applyAlignment="1">
      <alignment wrapText="1"/>
    </xf>
    <xf numFmtId="171" fontId="0" fillId="17" borderId="28" xfId="0" applyNumberFormat="1" applyFill="1" applyBorder="1" applyAlignment="1">
      <alignment wrapText="1"/>
    </xf>
    <xf numFmtId="44" fontId="0" fillId="18" borderId="28" xfId="3" applyFont="1" applyFill="1" applyBorder="1" applyAlignment="1">
      <alignment wrapText="1"/>
    </xf>
    <xf numFmtId="171" fontId="0" fillId="18" borderId="28" xfId="0" applyNumberFormat="1" applyFill="1" applyBorder="1" applyAlignment="1">
      <alignment wrapText="1"/>
    </xf>
    <xf numFmtId="44" fontId="0" fillId="18" borderId="32" xfId="3" applyFont="1" applyFill="1" applyBorder="1" applyAlignment="1">
      <alignment wrapText="1"/>
    </xf>
    <xf numFmtId="0" fontId="0" fillId="17" borderId="0" xfId="0" applyFill="1" applyAlignment="1">
      <alignment wrapText="1"/>
    </xf>
    <xf numFmtId="171" fontId="0" fillId="17" borderId="0" xfId="0" applyNumberFormat="1" applyFill="1" applyAlignment="1">
      <alignment wrapText="1"/>
    </xf>
    <xf numFmtId="44" fontId="0" fillId="18" borderId="0" xfId="3" applyFont="1" applyFill="1" applyBorder="1" applyAlignment="1">
      <alignment wrapText="1"/>
    </xf>
    <xf numFmtId="171" fontId="0" fillId="18" borderId="0" xfId="0" applyNumberFormat="1" applyFill="1" applyAlignment="1">
      <alignment wrapText="1"/>
    </xf>
    <xf numFmtId="44" fontId="0" fillId="18" borderId="9" xfId="3" applyFont="1" applyFill="1" applyBorder="1" applyAlignment="1">
      <alignment wrapText="1"/>
    </xf>
    <xf numFmtId="171" fontId="0" fillId="17" borderId="30" xfId="0" applyNumberFormat="1" applyFill="1" applyBorder="1" applyAlignment="1">
      <alignment wrapText="1"/>
    </xf>
    <xf numFmtId="44" fontId="0" fillId="18" borderId="30" xfId="3" applyFont="1" applyFill="1" applyBorder="1" applyAlignment="1">
      <alignment wrapText="1"/>
    </xf>
    <xf numFmtId="171" fontId="0" fillId="18" borderId="30" xfId="0" applyNumberFormat="1" applyFill="1" applyBorder="1" applyAlignment="1">
      <alignment wrapText="1"/>
    </xf>
    <xf numFmtId="44" fontId="0" fillId="18" borderId="11" xfId="3" applyFont="1" applyFill="1" applyBorder="1" applyAlignment="1">
      <alignment wrapText="1"/>
    </xf>
    <xf numFmtId="171" fontId="0" fillId="0" borderId="33" xfId="0" applyNumberFormat="1" applyBorder="1" applyAlignment="1">
      <alignment wrapText="1"/>
    </xf>
    <xf numFmtId="44" fontId="0" fillId="0" borderId="33" xfId="3" applyFont="1" applyBorder="1"/>
    <xf numFmtId="171" fontId="0" fillId="18" borderId="33" xfId="0" applyNumberFormat="1" applyFill="1" applyBorder="1" applyAlignment="1">
      <alignment wrapText="1"/>
    </xf>
    <xf numFmtId="171" fontId="0" fillId="0" borderId="0" xfId="0" applyNumberFormat="1" applyAlignment="1">
      <alignment wrapText="1"/>
    </xf>
    <xf numFmtId="171" fontId="0" fillId="5" borderId="33" xfId="0" applyNumberFormat="1" applyFill="1" applyBorder="1" applyAlignment="1">
      <alignment wrapText="1"/>
    </xf>
    <xf numFmtId="0" fontId="3" fillId="2" borderId="17" xfId="0" applyFont="1" applyFill="1" applyBorder="1"/>
    <xf numFmtId="0" fontId="3" fillId="2" borderId="35" xfId="0" applyFont="1" applyFill="1" applyBorder="1"/>
    <xf numFmtId="0" fontId="3" fillId="2" borderId="35" xfId="0" applyFont="1" applyFill="1" applyBorder="1" applyAlignment="1">
      <alignment wrapText="1"/>
    </xf>
    <xf numFmtId="0" fontId="3" fillId="2" borderId="36" xfId="0" applyFont="1" applyFill="1" applyBorder="1" applyAlignment="1">
      <alignment wrapText="1"/>
    </xf>
    <xf numFmtId="0" fontId="3" fillId="2" borderId="17" xfId="0" applyFont="1" applyFill="1" applyBorder="1" applyAlignment="1">
      <alignment wrapText="1"/>
    </xf>
    <xf numFmtId="0" fontId="3" fillId="2" borderId="37" xfId="0" applyFont="1" applyFill="1" applyBorder="1" applyAlignment="1">
      <alignment wrapText="1"/>
    </xf>
    <xf numFmtId="44" fontId="0" fillId="0" borderId="28" xfId="3" applyFont="1" applyBorder="1"/>
    <xf numFmtId="0" fontId="3" fillId="2" borderId="3" xfId="0" applyFont="1" applyFill="1" applyBorder="1"/>
    <xf numFmtId="0" fontId="3" fillId="2" borderId="0" xfId="0" applyFont="1" applyFill="1" applyAlignment="1">
      <alignment wrapText="1"/>
    </xf>
    <xf numFmtId="44" fontId="0" fillId="0" borderId="9" xfId="3" applyFont="1" applyBorder="1"/>
    <xf numFmtId="9" fontId="0" fillId="0" borderId="0" xfId="4" applyFont="1" applyBorder="1"/>
    <xf numFmtId="44" fontId="0" fillId="0" borderId="14" xfId="3" applyFont="1" applyBorder="1"/>
    <xf numFmtId="9" fontId="0" fillId="18" borderId="3" xfId="4" applyFont="1" applyFill="1" applyBorder="1"/>
    <xf numFmtId="44" fontId="0" fillId="0" borderId="0" xfId="3" applyFont="1" applyFill="1" applyBorder="1"/>
    <xf numFmtId="9" fontId="0" fillId="0" borderId="3" xfId="4" applyFont="1" applyBorder="1"/>
    <xf numFmtId="9" fontId="0" fillId="18" borderId="34" xfId="4" applyFont="1" applyFill="1" applyBorder="1"/>
    <xf numFmtId="9" fontId="0" fillId="18" borderId="4" xfId="4" applyFont="1" applyFill="1" applyBorder="1"/>
    <xf numFmtId="9" fontId="0" fillId="18" borderId="15" xfId="4" applyFont="1" applyFill="1" applyBorder="1"/>
    <xf numFmtId="2" fontId="0" fillId="0" borderId="33" xfId="0" applyNumberFormat="1" applyBorder="1"/>
    <xf numFmtId="0" fontId="4" fillId="17" borderId="33" xfId="0" applyFont="1" applyFill="1" applyBorder="1"/>
    <xf numFmtId="171" fontId="4" fillId="17" borderId="33" xfId="0" applyNumberFormat="1" applyFont="1" applyFill="1" applyBorder="1"/>
    <xf numFmtId="2" fontId="4" fillId="0" borderId="33" xfId="0" applyNumberFormat="1" applyFont="1" applyBorder="1"/>
    <xf numFmtId="2" fontId="4" fillId="0" borderId="14" xfId="0" applyNumberFormat="1" applyFont="1" applyBorder="1"/>
    <xf numFmtId="9" fontId="4" fillId="0" borderId="3" xfId="4" applyFont="1" applyBorder="1"/>
    <xf numFmtId="0" fontId="4" fillId="18" borderId="33" xfId="0" applyFont="1" applyFill="1" applyBorder="1"/>
    <xf numFmtId="0" fontId="4" fillId="0" borderId="28" xfId="0" applyFont="1" applyBorder="1"/>
    <xf numFmtId="0" fontId="4" fillId="18" borderId="28" xfId="0" applyFont="1" applyFill="1" applyBorder="1"/>
    <xf numFmtId="171" fontId="4" fillId="18" borderId="28" xfId="0" applyNumberFormat="1" applyFont="1" applyFill="1" applyBorder="1"/>
    <xf numFmtId="44" fontId="4" fillId="18" borderId="32" xfId="0" applyNumberFormat="1" applyFont="1" applyFill="1" applyBorder="1"/>
    <xf numFmtId="44" fontId="0" fillId="0" borderId="33" xfId="0" applyNumberFormat="1" applyBorder="1"/>
    <xf numFmtId="0" fontId="34" fillId="19" borderId="12" xfId="0" applyFont="1" applyFill="1" applyBorder="1"/>
    <xf numFmtId="0" fontId="34" fillId="19" borderId="33" xfId="0" applyFont="1" applyFill="1" applyBorder="1" applyAlignment="1">
      <alignment wrapText="1"/>
    </xf>
    <xf numFmtId="0" fontId="34" fillId="19" borderId="14" xfId="0" applyFont="1" applyFill="1" applyBorder="1" applyAlignment="1">
      <alignment wrapText="1"/>
    </xf>
    <xf numFmtId="0" fontId="17" fillId="0" borderId="0" xfId="0" applyFont="1" applyAlignment="1">
      <alignment wrapText="1"/>
    </xf>
    <xf numFmtId="0" fontId="18" fillId="0" borderId="31" xfId="0" applyFont="1" applyBorder="1"/>
    <xf numFmtId="0" fontId="18" fillId="20" borderId="28" xfId="0" applyFont="1" applyFill="1" applyBorder="1"/>
    <xf numFmtId="171" fontId="18" fillId="20" borderId="28" xfId="0" applyNumberFormat="1" applyFont="1" applyFill="1" applyBorder="1"/>
    <xf numFmtId="44" fontId="18" fillId="21" borderId="28" xfId="0" applyNumberFormat="1" applyFont="1" applyFill="1" applyBorder="1"/>
    <xf numFmtId="171" fontId="18" fillId="21" borderId="28" xfId="0" applyNumberFormat="1" applyFont="1" applyFill="1" applyBorder="1"/>
    <xf numFmtId="44" fontId="18" fillId="21" borderId="32" xfId="0" applyNumberFormat="1" applyFont="1" applyFill="1" applyBorder="1"/>
    <xf numFmtId="44" fontId="18" fillId="21" borderId="9" xfId="0" applyNumberFormat="1" applyFont="1" applyFill="1" applyBorder="1"/>
    <xf numFmtId="0" fontId="18" fillId="0" borderId="33" xfId="0" applyFont="1" applyBorder="1"/>
    <xf numFmtId="171" fontId="18" fillId="21" borderId="33" xfId="0" applyNumberFormat="1" applyFont="1" applyFill="1" applyBorder="1"/>
    <xf numFmtId="44" fontId="18" fillId="21" borderId="33" xfId="0" applyNumberFormat="1" applyFont="1" applyFill="1" applyBorder="1"/>
    <xf numFmtId="44" fontId="18" fillId="21" borderId="14" xfId="0" applyNumberFormat="1" applyFont="1" applyFill="1" applyBorder="1"/>
    <xf numFmtId="0" fontId="17" fillId="0" borderId="33" xfId="0" applyFont="1" applyBorder="1"/>
    <xf numFmtId="171" fontId="18" fillId="0" borderId="33" xfId="0" applyNumberFormat="1" applyFont="1" applyBorder="1"/>
    <xf numFmtId="0" fontId="26" fillId="0" borderId="31" xfId="0" applyFont="1" applyBorder="1"/>
    <xf numFmtId="0" fontId="26" fillId="20" borderId="28" xfId="0" applyFont="1" applyFill="1" applyBorder="1"/>
    <xf numFmtId="171" fontId="26" fillId="20" borderId="28" xfId="0" applyNumberFormat="1" applyFont="1" applyFill="1" applyBorder="1"/>
    <xf numFmtId="0" fontId="26" fillId="0" borderId="8" xfId="0" applyFont="1" applyBorder="1"/>
    <xf numFmtId="44" fontId="26" fillId="0" borderId="9" xfId="0" applyNumberFormat="1" applyFont="1" applyBorder="1"/>
    <xf numFmtId="171" fontId="26" fillId="21" borderId="33" xfId="0" applyNumberFormat="1" applyFont="1" applyFill="1" applyBorder="1"/>
    <xf numFmtId="44" fontId="26" fillId="21" borderId="33" xfId="0" applyNumberFormat="1" applyFont="1" applyFill="1" applyBorder="1"/>
    <xf numFmtId="171" fontId="26" fillId="0" borderId="33" xfId="0" applyNumberFormat="1" applyFont="1" applyBorder="1"/>
    <xf numFmtId="44" fontId="26" fillId="0" borderId="33" xfId="0" applyNumberFormat="1" applyFont="1" applyBorder="1"/>
    <xf numFmtId="44" fontId="26" fillId="21" borderId="14" xfId="0" applyNumberFormat="1" applyFont="1" applyFill="1" applyBorder="1"/>
    <xf numFmtId="0" fontId="35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5" fontId="0" fillId="0" borderId="0" xfId="0" applyNumberFormat="1" applyAlignment="1">
      <alignment horizontal="center"/>
    </xf>
    <xf numFmtId="0" fontId="36" fillId="0" borderId="0" xfId="2" applyFont="1"/>
    <xf numFmtId="0" fontId="18" fillId="21" borderId="28" xfId="0" applyFont="1" applyFill="1" applyBorder="1"/>
    <xf numFmtId="0" fontId="18" fillId="21" borderId="0" xfId="0" applyFont="1" applyFill="1"/>
    <xf numFmtId="44" fontId="18" fillId="21" borderId="0" xfId="0" applyNumberFormat="1" applyFont="1" applyFill="1"/>
    <xf numFmtId="44" fontId="18" fillId="0" borderId="33" xfId="0" applyNumberFormat="1" applyFont="1" applyBorder="1"/>
    <xf numFmtId="171" fontId="17" fillId="0" borderId="33" xfId="0" applyNumberFormat="1" applyFont="1" applyBorder="1"/>
    <xf numFmtId="44" fontId="17" fillId="0" borderId="33" xfId="0" applyNumberFormat="1" applyFont="1" applyBorder="1"/>
    <xf numFmtId="171" fontId="18" fillId="21" borderId="0" xfId="0" applyNumberFormat="1" applyFont="1" applyFill="1"/>
    <xf numFmtId="0" fontId="18" fillId="20" borderId="0" xfId="0" applyFont="1" applyFill="1"/>
    <xf numFmtId="171" fontId="18" fillId="20" borderId="0" xfId="0" applyNumberFormat="1" applyFont="1" applyFill="1"/>
    <xf numFmtId="0" fontId="26" fillId="20" borderId="0" xfId="0" applyFont="1" applyFill="1"/>
    <xf numFmtId="171" fontId="26" fillId="20" borderId="0" xfId="0" applyNumberFormat="1" applyFont="1" applyFill="1"/>
    <xf numFmtId="171" fontId="26" fillId="0" borderId="0" xfId="0" applyNumberFormat="1" applyFont="1"/>
    <xf numFmtId="44" fontId="26" fillId="0" borderId="0" xfId="0" applyNumberFormat="1" applyFont="1"/>
    <xf numFmtId="9" fontId="0" fillId="0" borderId="4" xfId="4" applyFont="1" applyBorder="1"/>
    <xf numFmtId="0" fontId="25" fillId="2" borderId="3" xfId="0" applyFont="1" applyFill="1" applyBorder="1"/>
    <xf numFmtId="0" fontId="37" fillId="2" borderId="3" xfId="0" applyFont="1" applyFill="1" applyBorder="1" applyAlignment="1">
      <alignment horizontal="right"/>
    </xf>
    <xf numFmtId="171" fontId="27" fillId="14" borderId="3" xfId="0" applyNumberFormat="1" applyFont="1" applyFill="1" applyBorder="1"/>
    <xf numFmtId="0" fontId="38" fillId="0" borderId="0" xfId="0" applyFont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8" fillId="0" borderId="31" xfId="0" applyFont="1" applyBorder="1"/>
    <xf numFmtId="0" fontId="38" fillId="0" borderId="28" xfId="0" applyFont="1" applyBorder="1"/>
    <xf numFmtId="0" fontId="38" fillId="0" borderId="8" xfId="0" applyFont="1" applyBorder="1"/>
    <xf numFmtId="0" fontId="38" fillId="0" borderId="10" xfId="0" applyFont="1" applyBorder="1"/>
    <xf numFmtId="0" fontId="38" fillId="0" borderId="30" xfId="0" applyFont="1" applyBorder="1"/>
    <xf numFmtId="0" fontId="38" fillId="0" borderId="12" xfId="0" applyFont="1" applyBorder="1"/>
    <xf numFmtId="0" fontId="38" fillId="0" borderId="33" xfId="0" applyFont="1" applyBorder="1"/>
    <xf numFmtId="0" fontId="41" fillId="0" borderId="31" xfId="0" applyFont="1" applyBorder="1"/>
    <xf numFmtId="0" fontId="41" fillId="0" borderId="28" xfId="0" applyFont="1" applyBorder="1"/>
    <xf numFmtId="0" fontId="41" fillId="0" borderId="8" xfId="0" applyFont="1" applyBorder="1"/>
    <xf numFmtId="0" fontId="41" fillId="0" borderId="12" xfId="0" applyFont="1" applyBorder="1"/>
    <xf numFmtId="0" fontId="41" fillId="0" borderId="33" xfId="0" applyFont="1" applyBorder="1"/>
    <xf numFmtId="0" fontId="30" fillId="0" borderId="0" xfId="0" applyFont="1"/>
    <xf numFmtId="0" fontId="43" fillId="0" borderId="31" xfId="0" applyFont="1" applyBorder="1"/>
    <xf numFmtId="0" fontId="43" fillId="0" borderId="28" xfId="0" applyFont="1" applyBorder="1"/>
    <xf numFmtId="0" fontId="43" fillId="0" borderId="34" xfId="0" applyFont="1" applyBorder="1"/>
    <xf numFmtId="0" fontId="43" fillId="0" borderId="3" xfId="0" applyFont="1" applyBorder="1"/>
    <xf numFmtId="0" fontId="43" fillId="0" borderId="12" xfId="0" applyFont="1" applyBorder="1"/>
    <xf numFmtId="0" fontId="43" fillId="0" borderId="33" xfId="0" applyFont="1" applyBorder="1"/>
    <xf numFmtId="0" fontId="43" fillId="0" borderId="14" xfId="0" applyFont="1" applyBorder="1"/>
    <xf numFmtId="0" fontId="44" fillId="0" borderId="12" xfId="0" applyFont="1" applyBorder="1"/>
    <xf numFmtId="44" fontId="38" fillId="0" borderId="3" xfId="3" applyFont="1" applyBorder="1"/>
    <xf numFmtId="44" fontId="41" fillId="0" borderId="3" xfId="3" applyFont="1" applyBorder="1"/>
    <xf numFmtId="171" fontId="38" fillId="0" borderId="3" xfId="0" applyNumberFormat="1" applyFont="1" applyBorder="1"/>
    <xf numFmtId="171" fontId="41" fillId="0" borderId="3" xfId="0" applyNumberFormat="1" applyFont="1" applyBorder="1"/>
    <xf numFmtId="0" fontId="24" fillId="0" borderId="33" xfId="0" applyFont="1" applyBorder="1"/>
    <xf numFmtId="0" fontId="24" fillId="14" borderId="33" xfId="0" applyFont="1" applyFill="1" applyBorder="1"/>
    <xf numFmtId="164" fontId="24" fillId="10" borderId="33" xfId="0" applyNumberFormat="1" applyFont="1" applyFill="1" applyBorder="1"/>
    <xf numFmtId="1" fontId="0" fillId="17" borderId="0" xfId="0" applyNumberFormat="1" applyFill="1"/>
    <xf numFmtId="1" fontId="0" fillId="17" borderId="28" xfId="0" applyNumberFormat="1" applyFill="1" applyBorder="1"/>
    <xf numFmtId="1" fontId="0" fillId="17" borderId="30" xfId="0" applyNumberFormat="1" applyFill="1" applyBorder="1"/>
    <xf numFmtId="1" fontId="0" fillId="17" borderId="28" xfId="0" applyNumberFormat="1" applyFill="1" applyBorder="1" applyAlignment="1">
      <alignment wrapText="1"/>
    </xf>
    <xf numFmtId="1" fontId="0" fillId="17" borderId="0" xfId="0" applyNumberFormat="1" applyFill="1" applyAlignment="1">
      <alignment wrapText="1"/>
    </xf>
    <xf numFmtId="171" fontId="38" fillId="18" borderId="4" xfId="0" applyNumberFormat="1" applyFont="1" applyFill="1" applyBorder="1"/>
    <xf numFmtId="44" fontId="38" fillId="18" borderId="4" xfId="3" applyFont="1" applyFill="1" applyBorder="1"/>
    <xf numFmtId="171" fontId="38" fillId="18" borderId="34" xfId="0" applyNumberFormat="1" applyFont="1" applyFill="1" applyBorder="1"/>
    <xf numFmtId="171" fontId="38" fillId="18" borderId="15" xfId="0" applyNumberFormat="1" applyFont="1" applyFill="1" applyBorder="1"/>
    <xf numFmtId="0" fontId="38" fillId="17" borderId="0" xfId="0" applyFont="1" applyFill="1"/>
    <xf numFmtId="0" fontId="38" fillId="17" borderId="28" xfId="0" applyFont="1" applyFill="1" applyBorder="1"/>
    <xf numFmtId="0" fontId="41" fillId="17" borderId="28" xfId="0" applyFont="1" applyFill="1" applyBorder="1"/>
    <xf numFmtId="0" fontId="41" fillId="17" borderId="0" xfId="0" applyFont="1" applyFill="1"/>
    <xf numFmtId="0" fontId="44" fillId="0" borderId="33" xfId="0" applyFont="1" applyBorder="1"/>
    <xf numFmtId="171" fontId="44" fillId="0" borderId="3" xfId="0" applyNumberFormat="1" applyFont="1" applyBorder="1"/>
    <xf numFmtId="171" fontId="44" fillId="0" borderId="14" xfId="0" applyNumberFormat="1" applyFont="1" applyBorder="1"/>
    <xf numFmtId="0" fontId="43" fillId="0" borderId="0" xfId="0" applyFont="1"/>
    <xf numFmtId="44" fontId="27" fillId="14" borderId="3" xfId="0" applyNumberFormat="1" applyFont="1" applyFill="1" applyBorder="1" applyAlignment="1">
      <alignment horizontal="right"/>
    </xf>
    <xf numFmtId="44" fontId="27" fillId="14" borderId="3" xfId="3" applyFont="1" applyFill="1" applyBorder="1" applyAlignment="1">
      <alignment horizontal="right"/>
    </xf>
    <xf numFmtId="0" fontId="27" fillId="0" borderId="12" xfId="0" applyFont="1" applyBorder="1"/>
    <xf numFmtId="0" fontId="5" fillId="0" borderId="13" xfId="0" applyFont="1" applyBorder="1"/>
    <xf numFmtId="44" fontId="32" fillId="0" borderId="0" xfId="0" applyNumberFormat="1" applyFont="1" applyAlignment="1">
      <alignment horizontal="center"/>
    </xf>
    <xf numFmtId="0" fontId="4" fillId="0" borderId="18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3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31" xfId="0" applyFont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32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12" xfId="0" applyFont="1" applyBorder="1" applyAlignment="1">
      <alignment horizontal="left"/>
    </xf>
    <xf numFmtId="0" fontId="4" fillId="0" borderId="13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2" xfId="0" applyFont="1" applyBorder="1" applyAlignment="1">
      <alignment horizontal="center"/>
    </xf>
  </cellXfs>
  <cellStyles count="5">
    <cellStyle name="Comma" xfId="1" builtinId="3"/>
    <cellStyle name="Currency" xfId="3" builtinId="4"/>
    <cellStyle name="Hyperlink" xfId="2" builtinId="8"/>
    <cellStyle name="Normal" xfId="0" builtinId="0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'Disease Projections'!$C$10</c:f>
              <c:strCache>
                <c:ptCount val="1"/>
                <c:pt idx="0">
                  <c:v>Prevalence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'Disease Projections'!$B$11:$B$19</c:f>
              <c:numCache>
                <c:formatCode>General</c:formatCode>
                <c:ptCount val="9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</c:numCache>
            </c:numRef>
          </c:cat>
          <c:val>
            <c:numRef>
              <c:f>'Disease Projections'!$C$11:$C$19</c:f>
              <c:numCache>
                <c:formatCode>0.0000</c:formatCode>
                <c:ptCount val="9"/>
                <c:pt idx="0">
                  <c:v>2.1319915699063476E-2</c:v>
                </c:pt>
                <c:pt idx="1">
                  <c:v>2.1024009962089203E-2</c:v>
                </c:pt>
                <c:pt idx="2">
                  <c:v>2.0695291107890659E-2</c:v>
                </c:pt>
                <c:pt idx="3">
                  <c:v>2.0331490474619646E-2</c:v>
                </c:pt>
                <c:pt idx="4">
                  <c:v>1.9930535097214791E-2</c:v>
                </c:pt>
                <c:pt idx="5">
                  <c:v>1.9490650919664756E-2</c:v>
                </c:pt>
                <c:pt idx="6">
                  <c:v>1.9010478077625997E-2</c:v>
                </c:pt>
                <c:pt idx="7">
                  <c:v>1.8489194067582228E-2</c:v>
                </c:pt>
                <c:pt idx="8">
                  <c:v>1.7926638536489674E-2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C1-D04F-912C-398970F3C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7487008"/>
        <c:axId val="712096576"/>
      </c:lineChart>
      <c:catAx>
        <c:axId val="70748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096576"/>
        <c:crosses val="autoZero"/>
        <c:auto val="1"/>
        <c:lblAlgn val="ctr"/>
        <c:lblOffset val="100"/>
        <c:noMultiLvlLbl val="0"/>
      </c:catAx>
      <c:valAx>
        <c:axId val="7120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8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Cost Effectiveness Acceptability</a:t>
            </a:r>
            <a:r>
              <a:rPr lang="en-US" b="1" baseline="0"/>
              <a:t>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'Uncertainty Analyses'!$A$7:$A$58</c:f>
              <c:numCache>
                <c:formatCode>_("$"* #,##0_);_("$"* \(#,##0\);_("$"* "-"??_);_(@_)</c:formatCode>
                <c:ptCount val="52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</c:numCache>
            </c:numRef>
          </c:cat>
          <c:val>
            <c:numRef>
              <c:f>'Uncertainty Analyses'!$E$7:$E$58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C-41F4-9B18-5202427C2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240800"/>
        <c:axId val="424930240"/>
      </c:lineChart>
      <c:catAx>
        <c:axId val="516240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Cost-effectiveness</a:t>
                </a:r>
                <a:r>
                  <a:rPr lang="en-US" sz="1200" b="1" baseline="0"/>
                  <a:t> threshold</a:t>
                </a:r>
                <a:endParaRPr lang="en-US" sz="1200" b="1"/>
              </a:p>
            </c:rich>
          </c:tx>
          <c:layout>
            <c:manualLayout>
              <c:xMode val="edge"/>
              <c:yMode val="edge"/>
              <c:x val="0.3893594980216904"/>
              <c:y val="0.918300470705624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930240"/>
        <c:crosses val="autoZero"/>
        <c:auto val="1"/>
        <c:lblAlgn val="ctr"/>
        <c:lblOffset val="100"/>
        <c:noMultiLvlLbl val="0"/>
      </c:catAx>
      <c:valAx>
        <c:axId val="42493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Probability</a:t>
                </a:r>
                <a:r>
                  <a:rPr lang="en-US" sz="1200" b="1" baseline="0"/>
                  <a:t> Cost-Effective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40800"/>
        <c:crosses val="autoZero"/>
        <c:crossBetween val="between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alpha val="98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5" fmlaLink="Parameters!$C$7" fmlaRange="Parameters!$B$8:$B$9" noThreeD="1" sel="1" val="0"/>
</file>

<file path=xl/ctrlProps/ctrlProp2.xml><?xml version="1.0" encoding="utf-8"?>
<formControlPr xmlns="http://schemas.microsoft.com/office/spreadsheetml/2009/9/main" objectType="Drop" dropStyle="combo" dx="15" fmlaLink="Parameters!$C$11" fmlaRange="Parameters!$B$12:$B$18" noThreeD="1" sel="1" val="0"/>
</file>

<file path=xl/ctrlProps/ctrlProp3.xml><?xml version="1.0" encoding="utf-8"?>
<formControlPr xmlns="http://schemas.microsoft.com/office/spreadsheetml/2009/9/main" objectType="Drop" dropStyle="combo" dx="15" fmlaLink="Parameters!$C$29" fmlaRange="Parameters!$B$30:$B$89" noThreeD="1" sel="1" val="0"/>
</file>

<file path=xl/ctrlProps/ctrlProp4.xml><?xml version="1.0" encoding="utf-8"?>
<formControlPr xmlns="http://schemas.microsoft.com/office/spreadsheetml/2009/9/main" objectType="Drop" dropStyle="combo" dx="15" fmlaLink="Parameters!$C$25" fmlaRange="Parameters!$B$26:$B$27" noThreeD="1" sel="2" val="0"/>
</file>

<file path=xl/ctrlProps/ctrlProp5.xml><?xml version="1.0" encoding="utf-8"?>
<formControlPr xmlns="http://schemas.microsoft.com/office/spreadsheetml/2009/9/main" objectType="Scroll" dx="15" fmlaLink="AA7" horiz="1" max="200" min="1" page="10" val="127"/>
</file>

<file path=xl/ctrlProps/ctrlProp6.xml><?xml version="1.0" encoding="utf-8"?>
<formControlPr xmlns="http://schemas.microsoft.com/office/spreadsheetml/2009/9/main" objectType="Scroll" dx="15" fmlaLink="$AC$13" horiz="1" max="100" page="0" val="3"/>
</file>

<file path=xl/ctrlProps/ctrlProp7.xml><?xml version="1.0" encoding="utf-8"?>
<formControlPr xmlns="http://schemas.microsoft.com/office/spreadsheetml/2009/9/main" objectType="Scroll" dx="15" fmlaLink="$AC$14" horiz="1" max="100" page="0" val="0"/>
</file>

<file path=xl/ctrlProps/ctrlProp8.xml><?xml version="1.0" encoding="utf-8"?>
<formControlPr xmlns="http://schemas.microsoft.com/office/spreadsheetml/2009/9/main" objectType="Scroll" dx="15" fmlaLink="$AC$15" horiz="1" max="2100" min="2020" page="0" val="2022"/>
</file>

<file path=xl/ctrlProps/ctrlProp9.xml><?xml version="1.0" encoding="utf-8"?>
<formControlPr xmlns="http://schemas.microsoft.com/office/spreadsheetml/2009/9/main" objectType="Scroll" dx="15" fmlaLink="$AC$16" horiz="1" max="2100" min="2026" page="0" val="2049"/>
</file>

<file path=xl/ctrlProps/ctrlProp10.xml><?xml version="1.0" encoding="utf-8"?>
<formControlPr xmlns="http://schemas.microsoft.com/office/spreadsheetml/2009/9/main" objectType="Scroll" dx="15" fmlaLink="$AC$17" horiz="1" max="2100" min="2020" page="0" val="2035"/>
</file>

<file path=xl/ctrlProps/ctrlProp11.xml><?xml version="1.0" encoding="utf-8"?>
<formControlPr xmlns="http://schemas.microsoft.com/office/spreadsheetml/2009/9/main" objectType="Drop" dropStyle="combo" dx="15" fmlaLink="Parameters!$C$93" fmlaRange="Parameters!$B$94:$B$98" noThreeD="1" sel="1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800100</xdr:colOff>
      <xdr:row>1</xdr:row>
      <xdr:rowOff>165100</xdr:rowOff>
    </xdr:from>
    <xdr:to>
      <xdr:col>28</xdr:col>
      <xdr:colOff>660400</xdr:colOff>
      <xdr:row>9</xdr:row>
      <xdr:rowOff>50800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2446000" y="342900"/>
          <a:ext cx="2514600" cy="1435100"/>
        </a:xfrm>
        <a:prstGeom prst="round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749300</xdr:colOff>
      <xdr:row>2</xdr:row>
      <xdr:rowOff>12700</xdr:rowOff>
    </xdr:from>
    <xdr:to>
      <xdr:col>23</xdr:col>
      <xdr:colOff>12700</xdr:colOff>
      <xdr:row>9</xdr:row>
      <xdr:rowOff>76200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019300" y="368300"/>
          <a:ext cx="10134600" cy="1409700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914400</xdr:colOff>
      <xdr:row>2</xdr:row>
      <xdr:rowOff>165100</xdr:rowOff>
    </xdr:from>
    <xdr:to>
      <xdr:col>10</xdr:col>
      <xdr:colOff>1270000</xdr:colOff>
      <xdr:row>5</xdr:row>
      <xdr:rowOff>76200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43400" y="520700"/>
          <a:ext cx="1485900" cy="495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Model 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876300</xdr:colOff>
          <xdr:row>5</xdr:row>
          <xdr:rowOff>165100</xdr:rowOff>
        </xdr:from>
        <xdr:to>
          <xdr:col>10</xdr:col>
          <xdr:colOff>1231900</xdr:colOff>
          <xdr:row>7</xdr:row>
          <xdr:rowOff>76200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12700</xdr:rowOff>
        </xdr:from>
        <xdr:to>
          <xdr:col>14</xdr:col>
          <xdr:colOff>342900</xdr:colOff>
          <xdr:row>7</xdr:row>
          <xdr:rowOff>114300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266700</xdr:colOff>
          <xdr:row>5</xdr:row>
          <xdr:rowOff>152400</xdr:rowOff>
        </xdr:from>
        <xdr:to>
          <xdr:col>18</xdr:col>
          <xdr:colOff>241300</xdr:colOff>
          <xdr:row>7</xdr:row>
          <xdr:rowOff>76200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</xdr:row>
          <xdr:rowOff>0</xdr:rowOff>
        </xdr:from>
        <xdr:to>
          <xdr:col>22</xdr:col>
          <xdr:colOff>596900</xdr:colOff>
          <xdr:row>7</xdr:row>
          <xdr:rowOff>139700</xdr:rowOff>
        </xdr:to>
        <xdr:sp macro="" textlink="">
          <xdr:nvSpPr>
            <xdr:cNvPr id="7172" name="Drop Dow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25400</xdr:colOff>
      <xdr:row>2</xdr:row>
      <xdr:rowOff>165100</xdr:rowOff>
    </xdr:from>
    <xdr:to>
      <xdr:col>14</xdr:col>
      <xdr:colOff>342900</xdr:colOff>
      <xdr:row>5</xdr:row>
      <xdr:rowOff>76200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261100" y="520700"/>
          <a:ext cx="1371600" cy="495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Start</a:t>
          </a:r>
          <a:r>
            <a:rPr lang="en-US" sz="1400" b="1" baseline="0">
              <a:solidFill>
                <a:schemeClr val="tx1"/>
              </a:solidFill>
            </a:rPr>
            <a:t> Ag</a:t>
          </a:r>
          <a:r>
            <a:rPr lang="en-US" sz="1400" b="1">
              <a:solidFill>
                <a:schemeClr val="tx1"/>
              </a:solidFill>
            </a:rPr>
            <a:t>e</a:t>
          </a:r>
        </a:p>
      </xdr:txBody>
    </xdr:sp>
    <xdr:clientData/>
  </xdr:twoCellAnchor>
  <xdr:twoCellAnchor>
    <xdr:from>
      <xdr:col>15</xdr:col>
      <xdr:colOff>279400</xdr:colOff>
      <xdr:row>2</xdr:row>
      <xdr:rowOff>165100</xdr:rowOff>
    </xdr:from>
    <xdr:to>
      <xdr:col>18</xdr:col>
      <xdr:colOff>241300</xdr:colOff>
      <xdr:row>5</xdr:row>
      <xdr:rowOff>76200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8267700" y="520700"/>
          <a:ext cx="1282700" cy="495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Horizon</a:t>
          </a:r>
        </a:p>
      </xdr:txBody>
    </xdr:sp>
    <xdr:clientData/>
  </xdr:twoCellAnchor>
  <xdr:twoCellAnchor>
    <xdr:from>
      <xdr:col>18</xdr:col>
      <xdr:colOff>812800</xdr:colOff>
      <xdr:row>2</xdr:row>
      <xdr:rowOff>152400</xdr:rowOff>
    </xdr:from>
    <xdr:to>
      <xdr:col>22</xdr:col>
      <xdr:colOff>571500</xdr:colOff>
      <xdr:row>5</xdr:row>
      <xdr:rowOff>63500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9842500" y="508000"/>
          <a:ext cx="1765300" cy="4445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Perspective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5</xdr:row>
          <xdr:rowOff>152400</xdr:rowOff>
        </xdr:from>
        <xdr:to>
          <xdr:col>28</xdr:col>
          <xdr:colOff>165100</xdr:colOff>
          <xdr:row>7</xdr:row>
          <xdr:rowOff>12700</xdr:rowOff>
        </xdr:to>
        <xdr:sp macro="" textlink="">
          <xdr:nvSpPr>
            <xdr:cNvPr id="7173" name="Scroll Bar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26</xdr:col>
      <xdr:colOff>0</xdr:colOff>
      <xdr:row>2</xdr:row>
      <xdr:rowOff>63500</xdr:rowOff>
    </xdr:from>
    <xdr:to>
      <xdr:col>28</xdr:col>
      <xdr:colOff>393700</xdr:colOff>
      <xdr:row>4</xdr:row>
      <xdr:rowOff>152400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2649200" y="419100"/>
          <a:ext cx="2044700" cy="508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Funding</a:t>
          </a:r>
          <a:r>
            <a:rPr lang="en-US" sz="1400" b="1" baseline="0">
              <a:solidFill>
                <a:schemeClr val="tx1"/>
              </a:solidFill>
            </a:rPr>
            <a:t> Change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393700</xdr:colOff>
          <xdr:row>11</xdr:row>
          <xdr:rowOff>165100</xdr:rowOff>
        </xdr:from>
        <xdr:to>
          <xdr:col>30</xdr:col>
          <xdr:colOff>914400</xdr:colOff>
          <xdr:row>12</xdr:row>
          <xdr:rowOff>177800</xdr:rowOff>
        </xdr:to>
        <xdr:sp macro="" textlink="">
          <xdr:nvSpPr>
            <xdr:cNvPr id="7174" name="Scroll Bar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393700</xdr:colOff>
          <xdr:row>13</xdr:row>
          <xdr:rowOff>38100</xdr:rowOff>
        </xdr:from>
        <xdr:to>
          <xdr:col>30</xdr:col>
          <xdr:colOff>914400</xdr:colOff>
          <xdr:row>14</xdr:row>
          <xdr:rowOff>0</xdr:rowOff>
        </xdr:to>
        <xdr:sp macro="" textlink="">
          <xdr:nvSpPr>
            <xdr:cNvPr id="7175" name="Scroll Bar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393700</xdr:colOff>
          <xdr:row>14</xdr:row>
          <xdr:rowOff>76200</xdr:rowOff>
        </xdr:from>
        <xdr:to>
          <xdr:col>30</xdr:col>
          <xdr:colOff>914400</xdr:colOff>
          <xdr:row>15</xdr:row>
          <xdr:rowOff>38100</xdr:rowOff>
        </xdr:to>
        <xdr:sp macro="" textlink="">
          <xdr:nvSpPr>
            <xdr:cNvPr id="7176" name="Scroll Bar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393700</xdr:colOff>
          <xdr:row>15</xdr:row>
          <xdr:rowOff>25400</xdr:rowOff>
        </xdr:from>
        <xdr:to>
          <xdr:col>30</xdr:col>
          <xdr:colOff>914400</xdr:colOff>
          <xdr:row>15</xdr:row>
          <xdr:rowOff>215900</xdr:rowOff>
        </xdr:to>
        <xdr:sp macro="" textlink="">
          <xdr:nvSpPr>
            <xdr:cNvPr id="7177" name="Scroll Bar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2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368300</xdr:colOff>
          <xdr:row>16</xdr:row>
          <xdr:rowOff>0</xdr:rowOff>
        </xdr:from>
        <xdr:to>
          <xdr:col>30</xdr:col>
          <xdr:colOff>889000</xdr:colOff>
          <xdr:row>16</xdr:row>
          <xdr:rowOff>190500</xdr:rowOff>
        </xdr:to>
        <xdr:sp macro="" textlink="">
          <xdr:nvSpPr>
            <xdr:cNvPr id="7183" name="Scroll Bar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2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139700</xdr:colOff>
      <xdr:row>3</xdr:row>
      <xdr:rowOff>12700</xdr:rowOff>
    </xdr:from>
    <xdr:to>
      <xdr:col>8</xdr:col>
      <xdr:colOff>469900</xdr:colOff>
      <xdr:row>5</xdr:row>
      <xdr:rowOff>101600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413000" y="546100"/>
          <a:ext cx="1485900" cy="495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Disease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25400</xdr:rowOff>
        </xdr:from>
        <xdr:to>
          <xdr:col>8</xdr:col>
          <xdr:colOff>508000</xdr:colOff>
          <xdr:row>7</xdr:row>
          <xdr:rowOff>114300</xdr:rowOff>
        </xdr:to>
        <xdr:sp macro="" textlink="">
          <xdr:nvSpPr>
            <xdr:cNvPr id="7185" name="Drop Dow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2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</xdr:rowOff>
    </xdr:from>
    <xdr:to>
      <xdr:col>2</xdr:col>
      <xdr:colOff>2425700</xdr:colOff>
      <xdr:row>2</xdr:row>
      <xdr:rowOff>342900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25500" y="355601"/>
          <a:ext cx="2425700" cy="342899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100" b="1">
              <a:solidFill>
                <a:sysClr val="windowText" lastClr="000000"/>
              </a:solidFill>
            </a:rPr>
            <a:t>variable</a:t>
          </a:r>
        </a:p>
      </xdr:txBody>
    </xdr:sp>
    <xdr:clientData/>
  </xdr:twoCellAnchor>
  <xdr:twoCellAnchor>
    <xdr:from>
      <xdr:col>4</xdr:col>
      <xdr:colOff>12700</xdr:colOff>
      <xdr:row>2</xdr:row>
      <xdr:rowOff>12701</xdr:rowOff>
    </xdr:from>
    <xdr:to>
      <xdr:col>4</xdr:col>
      <xdr:colOff>1079500</xdr:colOff>
      <xdr:row>2</xdr:row>
      <xdr:rowOff>342900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467100" y="368301"/>
          <a:ext cx="1066800" cy="330199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100" b="1">
              <a:solidFill>
                <a:sysClr val="windowText" lastClr="000000"/>
              </a:solidFill>
            </a:rPr>
            <a:t>model</a:t>
          </a:r>
          <a:r>
            <a:rPr lang="sv-SE" sz="1100" b="1" baseline="0">
              <a:solidFill>
                <a:sysClr val="windowText" lastClr="000000"/>
              </a:solidFill>
            </a:rPr>
            <a:t> value</a:t>
          </a:r>
          <a:endParaRPr lang="sv-S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0</xdr:colOff>
      <xdr:row>2</xdr:row>
      <xdr:rowOff>1</xdr:rowOff>
    </xdr:from>
    <xdr:to>
      <xdr:col>6</xdr:col>
      <xdr:colOff>977900</xdr:colOff>
      <xdr:row>2</xdr:row>
      <xdr:rowOff>342900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737100" y="355601"/>
          <a:ext cx="977900" cy="342899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100" b="1">
              <a:solidFill>
                <a:sysClr val="windowText" lastClr="000000"/>
              </a:solidFill>
            </a:rPr>
            <a:t>mean</a:t>
          </a:r>
        </a:p>
      </xdr:txBody>
    </xdr:sp>
    <xdr:clientData/>
  </xdr:twoCellAnchor>
  <xdr:twoCellAnchor>
    <xdr:from>
      <xdr:col>8</xdr:col>
      <xdr:colOff>0</xdr:colOff>
      <xdr:row>2</xdr:row>
      <xdr:rowOff>1</xdr:rowOff>
    </xdr:from>
    <xdr:to>
      <xdr:col>9</xdr:col>
      <xdr:colOff>0</xdr:colOff>
      <xdr:row>2</xdr:row>
      <xdr:rowOff>346363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6167197" y="346365"/>
          <a:ext cx="904394" cy="346362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100" b="1">
              <a:solidFill>
                <a:sysClr val="windowText" lastClr="000000"/>
              </a:solidFill>
            </a:rPr>
            <a:t>se</a:t>
          </a:r>
        </a:p>
      </xdr:txBody>
    </xdr:sp>
    <xdr:clientData/>
  </xdr:twoCellAnchor>
  <xdr:twoCellAnchor>
    <xdr:from>
      <xdr:col>10</xdr:col>
      <xdr:colOff>0</xdr:colOff>
      <xdr:row>2</xdr:row>
      <xdr:rowOff>1</xdr:rowOff>
    </xdr:from>
    <xdr:to>
      <xdr:col>10</xdr:col>
      <xdr:colOff>740833</xdr:colOff>
      <xdr:row>2</xdr:row>
      <xdr:rowOff>336742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7061970" y="346365"/>
          <a:ext cx="740833" cy="336741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100" b="1">
              <a:solidFill>
                <a:sysClr val="windowText" lastClr="000000"/>
              </a:solidFill>
            </a:rPr>
            <a:t>alpha</a:t>
          </a:r>
        </a:p>
      </xdr:txBody>
    </xdr:sp>
    <xdr:clientData/>
  </xdr:twoCellAnchor>
  <xdr:twoCellAnchor>
    <xdr:from>
      <xdr:col>12</xdr:col>
      <xdr:colOff>0</xdr:colOff>
      <xdr:row>2</xdr:row>
      <xdr:rowOff>1</xdr:rowOff>
    </xdr:from>
    <xdr:to>
      <xdr:col>12</xdr:col>
      <xdr:colOff>692727</xdr:colOff>
      <xdr:row>2</xdr:row>
      <xdr:rowOff>336742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8062576" y="346365"/>
          <a:ext cx="692727" cy="336741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100" b="1">
              <a:solidFill>
                <a:sysClr val="windowText" lastClr="000000"/>
              </a:solidFill>
            </a:rPr>
            <a:t>beta</a:t>
          </a:r>
        </a:p>
      </xdr:txBody>
    </xdr:sp>
    <xdr:clientData/>
  </xdr:twoCellAnchor>
  <xdr:twoCellAnchor>
    <xdr:from>
      <xdr:col>14</xdr:col>
      <xdr:colOff>0</xdr:colOff>
      <xdr:row>2</xdr:row>
      <xdr:rowOff>1</xdr:rowOff>
    </xdr:from>
    <xdr:to>
      <xdr:col>14</xdr:col>
      <xdr:colOff>1058333</xdr:colOff>
      <xdr:row>2</xdr:row>
      <xdr:rowOff>346363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9063182" y="346365"/>
          <a:ext cx="1058333" cy="346362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100" b="1">
              <a:solidFill>
                <a:sysClr val="windowText" lastClr="000000"/>
              </a:solidFill>
            </a:rPr>
            <a:t>distribution</a:t>
          </a:r>
        </a:p>
      </xdr:txBody>
    </xdr:sp>
    <xdr:clientData/>
  </xdr:twoCellAnchor>
  <xdr:twoCellAnchor>
    <xdr:from>
      <xdr:col>16</xdr:col>
      <xdr:colOff>12700</xdr:colOff>
      <xdr:row>2</xdr:row>
      <xdr:rowOff>1</xdr:rowOff>
    </xdr:from>
    <xdr:to>
      <xdr:col>16</xdr:col>
      <xdr:colOff>1077576</xdr:colOff>
      <xdr:row>2</xdr:row>
      <xdr:rowOff>317500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10345882" y="346365"/>
          <a:ext cx="1064876" cy="317499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100" b="1">
              <a:solidFill>
                <a:sysClr val="windowText" lastClr="000000"/>
              </a:solidFill>
            </a:rPr>
            <a:t>probabilistic</a:t>
          </a:r>
        </a:p>
      </xdr:txBody>
    </xdr:sp>
    <xdr:clientData/>
  </xdr:twoCellAnchor>
  <xdr:twoCellAnchor>
    <xdr:from>
      <xdr:col>0</xdr:col>
      <xdr:colOff>827423</xdr:colOff>
      <xdr:row>1</xdr:row>
      <xdr:rowOff>19242</xdr:rowOff>
    </xdr:from>
    <xdr:to>
      <xdr:col>17</xdr:col>
      <xdr:colOff>173181</xdr:colOff>
      <xdr:row>2</xdr:row>
      <xdr:rowOff>38487</xdr:rowOff>
    </xdr:to>
    <xdr:sp macro="" textlink="">
      <xdr:nvSpPr>
        <xdr:cNvPr id="15" name="Left Bracket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 rot="5400000">
          <a:off x="5969960" y="-4950113"/>
          <a:ext cx="538790" cy="10823864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827423</xdr:colOff>
      <xdr:row>61</xdr:row>
      <xdr:rowOff>0</xdr:rowOff>
    </xdr:from>
    <xdr:to>
      <xdr:col>17</xdr:col>
      <xdr:colOff>173181</xdr:colOff>
      <xdr:row>62</xdr:row>
      <xdr:rowOff>19244</xdr:rowOff>
    </xdr:to>
    <xdr:sp macro="" textlink="">
      <xdr:nvSpPr>
        <xdr:cNvPr id="16" name="Left Bracket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 rot="16200000">
          <a:off x="6056551" y="1630796"/>
          <a:ext cx="365608" cy="10823864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163561</xdr:colOff>
      <xdr:row>54</xdr:row>
      <xdr:rowOff>9621</xdr:rowOff>
    </xdr:from>
    <xdr:to>
      <xdr:col>17</xdr:col>
      <xdr:colOff>173181</xdr:colOff>
      <xdr:row>57</xdr:row>
      <xdr:rowOff>48106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>
          <a:endCxn id="16" idx="2"/>
        </xdr:cNvCxnSpPr>
      </xdr:nvCxnSpPr>
      <xdr:spPr>
        <a:xfrm>
          <a:off x="11641667" y="6301894"/>
          <a:ext cx="9620" cy="432954"/>
        </a:xfrm>
        <a:prstGeom prst="line">
          <a:avLst/>
        </a:prstGeom>
        <a:ln>
          <a:solidFill>
            <a:srgbClr val="00206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25400</xdr:colOff>
      <xdr:row>9</xdr:row>
      <xdr:rowOff>12700</xdr:rowOff>
    </xdr:from>
    <xdr:to>
      <xdr:col>20</xdr:col>
      <xdr:colOff>469900</xdr:colOff>
      <xdr:row>24</xdr:row>
      <xdr:rowOff>88900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595311</xdr:colOff>
      <xdr:row>7</xdr:row>
      <xdr:rowOff>19050</xdr:rowOff>
    </xdr:from>
    <xdr:to>
      <xdr:col>16</xdr:col>
      <xdr:colOff>95250</xdr:colOff>
      <xdr:row>31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190500</xdr:rowOff>
    </xdr:from>
    <xdr:to>
      <xdr:col>2</xdr:col>
      <xdr:colOff>38100</xdr:colOff>
      <xdr:row>8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825500" y="1435100"/>
          <a:ext cx="5715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age</a:t>
          </a:r>
        </a:p>
      </xdr:txBody>
    </xdr:sp>
    <xdr:clientData/>
  </xdr:twoCellAnchor>
  <xdr:twoCellAnchor>
    <xdr:from>
      <xdr:col>2</xdr:col>
      <xdr:colOff>203200</xdr:colOff>
      <xdr:row>7</xdr:row>
      <xdr:rowOff>165100</xdr:rowOff>
    </xdr:from>
    <xdr:to>
      <xdr:col>4</xdr:col>
      <xdr:colOff>12700</xdr:colOff>
      <xdr:row>8</xdr:row>
      <xdr:rowOff>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562100" y="1409700"/>
          <a:ext cx="698500" cy="3175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cycle</a:t>
          </a:r>
        </a:p>
      </xdr:txBody>
    </xdr:sp>
    <xdr:clientData/>
  </xdr:twoCellAnchor>
  <xdr:twoCellAnchor>
    <xdr:from>
      <xdr:col>5</xdr:col>
      <xdr:colOff>0</xdr:colOff>
      <xdr:row>7</xdr:row>
      <xdr:rowOff>152400</xdr:rowOff>
    </xdr:from>
    <xdr:to>
      <xdr:col>6</xdr:col>
      <xdr:colOff>76200</xdr:colOff>
      <xdr:row>7</xdr:row>
      <xdr:rowOff>558800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2298700" y="1397000"/>
          <a:ext cx="1193800" cy="4064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 die healthy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152400</xdr:rowOff>
    </xdr:from>
    <xdr:to>
      <xdr:col>8</xdr:col>
      <xdr:colOff>38100</xdr:colOff>
      <xdr:row>7</xdr:row>
      <xdr:rowOff>558800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3632200" y="1397000"/>
          <a:ext cx="863600" cy="4064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 die lf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139700</xdr:rowOff>
    </xdr:from>
    <xdr:to>
      <xdr:col>10</xdr:col>
      <xdr:colOff>0</xdr:colOff>
      <xdr:row>7</xdr:row>
      <xdr:rowOff>546100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4673600" y="1384300"/>
          <a:ext cx="495300" cy="4064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 lf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7</xdr:row>
      <xdr:rowOff>139700</xdr:rowOff>
    </xdr:from>
    <xdr:to>
      <xdr:col>12</xdr:col>
      <xdr:colOff>25400</xdr:colOff>
      <xdr:row>7</xdr:row>
      <xdr:rowOff>546100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5321300" y="1384300"/>
          <a:ext cx="838200" cy="4064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_lf_adl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</xdr:row>
      <xdr:rowOff>152400</xdr:rowOff>
    </xdr:from>
    <xdr:to>
      <xdr:col>14</xdr:col>
      <xdr:colOff>114300</xdr:colOff>
      <xdr:row>8</xdr:row>
      <xdr:rowOff>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6350000" y="1397000"/>
          <a:ext cx="749300" cy="4191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_lf_lymphedema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12700</xdr:colOff>
      <xdr:row>7</xdr:row>
      <xdr:rowOff>139700</xdr:rowOff>
    </xdr:from>
    <xdr:to>
      <xdr:col>16</xdr:col>
      <xdr:colOff>76200</xdr:colOff>
      <xdr:row>8</xdr:row>
      <xdr:rowOff>25400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7213600" y="1384300"/>
          <a:ext cx="8001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_lf_hydrocele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25400</xdr:colOff>
      <xdr:row>7</xdr:row>
      <xdr:rowOff>101600</xdr:rowOff>
    </xdr:from>
    <xdr:to>
      <xdr:col>18</xdr:col>
      <xdr:colOff>0</xdr:colOff>
      <xdr:row>8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8178800" y="1346200"/>
          <a:ext cx="901700" cy="4064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p_lf_seq_death</a:t>
          </a:r>
        </a:p>
      </xdr:txBody>
    </xdr:sp>
    <xdr:clientData/>
  </xdr:twoCellAnchor>
  <xdr:twoCellAnchor>
    <xdr:from>
      <xdr:col>19</xdr:col>
      <xdr:colOff>0</xdr:colOff>
      <xdr:row>7</xdr:row>
      <xdr:rowOff>101600</xdr:rowOff>
    </xdr:from>
    <xdr:to>
      <xdr:col>20</xdr:col>
      <xdr:colOff>0</xdr:colOff>
      <xdr:row>7</xdr:row>
      <xdr:rowOff>469900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9194800" y="1346200"/>
          <a:ext cx="8255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baseline="0">
              <a:solidFill>
                <a:schemeClr val="tx1"/>
              </a:solidFill>
            </a:rPr>
            <a:t>healthy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0</xdr:colOff>
      <xdr:row>7</xdr:row>
      <xdr:rowOff>76200</xdr:rowOff>
    </xdr:from>
    <xdr:to>
      <xdr:col>21</xdr:col>
      <xdr:colOff>787400</xdr:colOff>
      <xdr:row>7</xdr:row>
      <xdr:rowOff>457200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10236200" y="1320800"/>
          <a:ext cx="7874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lf</a:t>
          </a:r>
        </a:p>
      </xdr:txBody>
    </xdr:sp>
    <xdr:clientData/>
  </xdr:twoCellAnchor>
  <xdr:twoCellAnchor>
    <xdr:from>
      <xdr:col>23</xdr:col>
      <xdr:colOff>0</xdr:colOff>
      <xdr:row>7</xdr:row>
      <xdr:rowOff>114300</xdr:rowOff>
    </xdr:from>
    <xdr:to>
      <xdr:col>24</xdr:col>
      <xdr:colOff>0</xdr:colOff>
      <xdr:row>7</xdr:row>
      <xdr:rowOff>469900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11277600" y="1358900"/>
          <a:ext cx="825500" cy="3556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lf_adl</a:t>
          </a:r>
        </a:p>
      </xdr:txBody>
    </xdr:sp>
    <xdr:clientData/>
  </xdr:twoCellAnchor>
  <xdr:twoCellAnchor>
    <xdr:from>
      <xdr:col>25</xdr:col>
      <xdr:colOff>0</xdr:colOff>
      <xdr:row>7</xdr:row>
      <xdr:rowOff>101600</xdr:rowOff>
    </xdr:from>
    <xdr:to>
      <xdr:col>26</xdr:col>
      <xdr:colOff>127000</xdr:colOff>
      <xdr:row>8</xdr:row>
      <xdr:rowOff>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12319000" y="1346200"/>
          <a:ext cx="9525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baseline="0">
              <a:solidFill>
                <a:schemeClr val="tx1"/>
              </a:solidFill>
            </a:rPr>
            <a:t>hydrocele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</xdr:row>
      <xdr:rowOff>101600</xdr:rowOff>
    </xdr:from>
    <xdr:to>
      <xdr:col>28</xdr:col>
      <xdr:colOff>114300</xdr:colOff>
      <xdr:row>7</xdr:row>
      <xdr:rowOff>469900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13360400" y="1346200"/>
          <a:ext cx="11938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lymphedema</a:t>
          </a:r>
        </a:p>
      </xdr:txBody>
    </xdr:sp>
    <xdr:clientData/>
  </xdr:twoCellAnchor>
  <xdr:twoCellAnchor>
    <xdr:from>
      <xdr:col>29</xdr:col>
      <xdr:colOff>0</xdr:colOff>
      <xdr:row>7</xdr:row>
      <xdr:rowOff>88900</xdr:rowOff>
    </xdr:from>
    <xdr:to>
      <xdr:col>30</xdr:col>
      <xdr:colOff>12700</xdr:colOff>
      <xdr:row>7</xdr:row>
      <xdr:rowOff>457200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14655800" y="1333500"/>
          <a:ext cx="8382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dead</a:t>
          </a:r>
        </a:p>
      </xdr:txBody>
    </xdr:sp>
    <xdr:clientData/>
  </xdr:twoCellAnchor>
  <xdr:twoCellAnchor>
    <xdr:from>
      <xdr:col>31</xdr:col>
      <xdr:colOff>0</xdr:colOff>
      <xdr:row>7</xdr:row>
      <xdr:rowOff>114300</xdr:rowOff>
    </xdr:from>
    <xdr:to>
      <xdr:col>32</xdr:col>
      <xdr:colOff>12700</xdr:colOff>
      <xdr:row>8</xdr:row>
      <xdr:rowOff>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15697200" y="13589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bg1"/>
              </a:solidFill>
            </a:rPr>
            <a:t>check</a:t>
          </a:r>
        </a:p>
      </xdr:txBody>
    </xdr:sp>
    <xdr:clientData/>
  </xdr:twoCellAnchor>
  <xdr:twoCellAnchor>
    <xdr:from>
      <xdr:col>33</xdr:col>
      <xdr:colOff>0</xdr:colOff>
      <xdr:row>7</xdr:row>
      <xdr:rowOff>101600</xdr:rowOff>
    </xdr:from>
    <xdr:to>
      <xdr:col>34</xdr:col>
      <xdr:colOff>38100</xdr:colOff>
      <xdr:row>7</xdr:row>
      <xdr:rowOff>444500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16738600" y="1346200"/>
          <a:ext cx="863600" cy="3429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program</a:t>
          </a:r>
        </a:p>
      </xdr:txBody>
    </xdr:sp>
    <xdr:clientData/>
  </xdr:twoCellAnchor>
  <xdr:twoCellAnchor>
    <xdr:from>
      <xdr:col>35</xdr:col>
      <xdr:colOff>0</xdr:colOff>
      <xdr:row>7</xdr:row>
      <xdr:rowOff>127000</xdr:rowOff>
    </xdr:from>
    <xdr:to>
      <xdr:col>36</xdr:col>
      <xdr:colOff>63500</xdr:colOff>
      <xdr:row>8</xdr:row>
      <xdr:rowOff>0</xdr:rowOff>
    </xdr:to>
    <xdr:sp macro="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17780000" y="1371600"/>
          <a:ext cx="889000" cy="3556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rx_costs</a:t>
          </a:r>
        </a:p>
      </xdr:txBody>
    </xdr:sp>
    <xdr:clientData/>
  </xdr:twoCellAnchor>
  <xdr:twoCellAnchor>
    <xdr:from>
      <xdr:col>37</xdr:col>
      <xdr:colOff>0</xdr:colOff>
      <xdr:row>7</xdr:row>
      <xdr:rowOff>127000</xdr:rowOff>
    </xdr:from>
    <xdr:to>
      <xdr:col>37</xdr:col>
      <xdr:colOff>800100</xdr:colOff>
      <xdr:row>7</xdr:row>
      <xdr:rowOff>457200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18821400" y="13716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prod</a:t>
          </a:r>
        </a:p>
      </xdr:txBody>
    </xdr:sp>
    <xdr:clientData/>
  </xdr:twoCellAnchor>
  <xdr:twoCellAnchor>
    <xdr:from>
      <xdr:col>40</xdr:col>
      <xdr:colOff>0</xdr:colOff>
      <xdr:row>7</xdr:row>
      <xdr:rowOff>88900</xdr:rowOff>
    </xdr:from>
    <xdr:to>
      <xdr:col>41</xdr:col>
      <xdr:colOff>12700</xdr:colOff>
      <xdr:row>7</xdr:row>
      <xdr:rowOff>457200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20078700" y="13335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42</xdr:col>
      <xdr:colOff>12700</xdr:colOff>
      <xdr:row>7</xdr:row>
      <xdr:rowOff>152400</xdr:rowOff>
    </xdr:from>
    <xdr:to>
      <xdr:col>42</xdr:col>
      <xdr:colOff>812800</xdr:colOff>
      <xdr:row>8</xdr:row>
      <xdr:rowOff>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21132800" y="13970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healthy</a:t>
          </a:r>
        </a:p>
      </xdr:txBody>
    </xdr:sp>
    <xdr:clientData/>
  </xdr:twoCellAnchor>
  <xdr:twoCellAnchor>
    <xdr:from>
      <xdr:col>44</xdr:col>
      <xdr:colOff>0</xdr:colOff>
      <xdr:row>7</xdr:row>
      <xdr:rowOff>139700</xdr:rowOff>
    </xdr:from>
    <xdr:to>
      <xdr:col>44</xdr:col>
      <xdr:colOff>800100</xdr:colOff>
      <xdr:row>7</xdr:row>
      <xdr:rowOff>469900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22161500" y="13843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lf</a:t>
          </a:r>
        </a:p>
      </xdr:txBody>
    </xdr:sp>
    <xdr:clientData/>
  </xdr:twoCellAnchor>
  <xdr:twoCellAnchor>
    <xdr:from>
      <xdr:col>46</xdr:col>
      <xdr:colOff>0</xdr:colOff>
      <xdr:row>7</xdr:row>
      <xdr:rowOff>127000</xdr:rowOff>
    </xdr:from>
    <xdr:to>
      <xdr:col>46</xdr:col>
      <xdr:colOff>800100</xdr:colOff>
      <xdr:row>7</xdr:row>
      <xdr:rowOff>457200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23202900" y="13716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adl</a:t>
          </a:r>
        </a:p>
      </xdr:txBody>
    </xdr:sp>
    <xdr:clientData/>
  </xdr:twoCellAnchor>
  <xdr:twoCellAnchor>
    <xdr:from>
      <xdr:col>47</xdr:col>
      <xdr:colOff>203200</xdr:colOff>
      <xdr:row>7</xdr:row>
      <xdr:rowOff>139700</xdr:rowOff>
    </xdr:from>
    <xdr:to>
      <xdr:col>48</xdr:col>
      <xdr:colOff>1219200</xdr:colOff>
      <xdr:row>7</xdr:row>
      <xdr:rowOff>469900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24231600" y="1384300"/>
          <a:ext cx="12319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lymphedema</a:t>
          </a:r>
        </a:p>
      </xdr:txBody>
    </xdr:sp>
    <xdr:clientData/>
  </xdr:twoCellAnchor>
  <xdr:twoCellAnchor>
    <xdr:from>
      <xdr:col>50</xdr:col>
      <xdr:colOff>0</xdr:colOff>
      <xdr:row>7</xdr:row>
      <xdr:rowOff>101600</xdr:rowOff>
    </xdr:from>
    <xdr:to>
      <xdr:col>51</xdr:col>
      <xdr:colOff>127000</xdr:colOff>
      <xdr:row>8</xdr:row>
      <xdr:rowOff>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25704800" y="1346200"/>
          <a:ext cx="9525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baseline="0">
              <a:solidFill>
                <a:schemeClr val="tx1"/>
              </a:solidFill>
            </a:rPr>
            <a:t>hydrocele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12700</xdr:colOff>
      <xdr:row>7</xdr:row>
      <xdr:rowOff>101600</xdr:rowOff>
    </xdr:from>
    <xdr:to>
      <xdr:col>53</xdr:col>
      <xdr:colOff>25400</xdr:colOff>
      <xdr:row>7</xdr:row>
      <xdr:rowOff>469900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26758900" y="13462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33</xdr:col>
      <xdr:colOff>25400</xdr:colOff>
      <xdr:row>0</xdr:row>
      <xdr:rowOff>165100</xdr:rowOff>
    </xdr:from>
    <xdr:to>
      <xdr:col>35</xdr:col>
      <xdr:colOff>685800</xdr:colOff>
      <xdr:row>3</xdr:row>
      <xdr:rowOff>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17081500" y="165100"/>
          <a:ext cx="17018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program</a:t>
          </a:r>
          <a:r>
            <a:rPr lang="en-US" sz="1400" b="1" baseline="0">
              <a:solidFill>
                <a:schemeClr val="bg1"/>
              </a:solidFill>
            </a:rPr>
            <a:t> costs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42</xdr:col>
      <xdr:colOff>25400</xdr:colOff>
      <xdr:row>1</xdr:row>
      <xdr:rowOff>12700</xdr:rowOff>
    </xdr:from>
    <xdr:to>
      <xdr:col>43</xdr:col>
      <xdr:colOff>38100</xdr:colOff>
      <xdr:row>3</xdr:row>
      <xdr:rowOff>25400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21463000" y="1905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qalys</a:t>
          </a:r>
        </a:p>
      </xdr:txBody>
    </xdr:sp>
    <xdr:clientData/>
  </xdr:twoCellAnchor>
  <xdr:twoCellAnchor>
    <xdr:from>
      <xdr:col>19</xdr:col>
      <xdr:colOff>25400</xdr:colOff>
      <xdr:row>1</xdr:row>
      <xdr:rowOff>25400</xdr:rowOff>
    </xdr:from>
    <xdr:to>
      <xdr:col>23</xdr:col>
      <xdr:colOff>787400</xdr:colOff>
      <xdr:row>3</xdr:row>
      <xdr:rowOff>38100</xdr:rowOff>
    </xdr:to>
    <xdr:sp macro="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9537700" y="203200"/>
          <a:ext cx="28448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health</a:t>
          </a:r>
          <a:r>
            <a:rPr lang="en-US" sz="1400" b="1" baseline="0">
              <a:solidFill>
                <a:schemeClr val="bg1"/>
              </a:solidFill>
            </a:rPr>
            <a:t> state distributions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12700</xdr:colOff>
      <xdr:row>1</xdr:row>
      <xdr:rowOff>12700</xdr:rowOff>
    </xdr:from>
    <xdr:to>
      <xdr:col>9</xdr:col>
      <xdr:colOff>241300</xdr:colOff>
      <xdr:row>3</xdr:row>
      <xdr:rowOff>25400</xdr:rowOff>
    </xdr:to>
    <xdr:sp macro="" textlink="">
      <xdr:nvSpPr>
        <xdr:cNvPr id="35" name="Rounded Rectangle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SpPr/>
      </xdr:nvSpPr>
      <xdr:spPr>
        <a:xfrm>
          <a:off x="2527300" y="190500"/>
          <a:ext cx="26035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time</a:t>
          </a:r>
          <a:r>
            <a:rPr lang="en-US" sz="1400" b="1" baseline="0">
              <a:solidFill>
                <a:schemeClr val="bg1"/>
              </a:solidFill>
            </a:rPr>
            <a:t> dependent variables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25400</xdr:colOff>
      <xdr:row>3</xdr:row>
      <xdr:rowOff>127000</xdr:rowOff>
    </xdr:from>
    <xdr:to>
      <xdr:col>6</xdr:col>
      <xdr:colOff>88900</xdr:colOff>
      <xdr:row>5</xdr:row>
      <xdr:rowOff>139700</xdr:rowOff>
    </xdr:to>
    <xdr:sp macro="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SpPr/>
      </xdr:nvSpPr>
      <xdr:spPr>
        <a:xfrm>
          <a:off x="2540000" y="660400"/>
          <a:ext cx="1181100" cy="368300"/>
        </a:xfrm>
        <a:prstGeom prst="roundRect">
          <a:avLst/>
        </a:prstGeom>
        <a:solidFill>
          <a:schemeClr val="bg2">
            <a:lumMod val="90000"/>
          </a:schemeClr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probabilities</a:t>
          </a:r>
        </a:p>
      </xdr:txBody>
    </xdr:sp>
    <xdr:clientData/>
  </xdr:twoCellAnchor>
  <xdr:twoCellAnchor>
    <xdr:from>
      <xdr:col>19</xdr:col>
      <xdr:colOff>25400</xdr:colOff>
      <xdr:row>3</xdr:row>
      <xdr:rowOff>114300</xdr:rowOff>
    </xdr:from>
    <xdr:to>
      <xdr:col>21</xdr:col>
      <xdr:colOff>165100</xdr:colOff>
      <xdr:row>5</xdr:row>
      <xdr:rowOff>127000</xdr:rowOff>
    </xdr:to>
    <xdr:sp macro="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SpPr/>
      </xdr:nvSpPr>
      <xdr:spPr>
        <a:xfrm>
          <a:off x="9537700" y="647700"/>
          <a:ext cx="1181100" cy="368300"/>
        </a:xfrm>
        <a:prstGeom prst="roundRect">
          <a:avLst/>
        </a:prstGeom>
        <a:solidFill>
          <a:schemeClr val="bg2">
            <a:lumMod val="90000"/>
          </a:schemeClr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population</a:t>
          </a:r>
        </a:p>
      </xdr:txBody>
    </xdr:sp>
    <xdr:clientData/>
  </xdr:twoCellAnchor>
  <xdr:twoCellAnchor>
    <xdr:from>
      <xdr:col>0</xdr:col>
      <xdr:colOff>812800</xdr:colOff>
      <xdr:row>6</xdr:row>
      <xdr:rowOff>25405</xdr:rowOff>
    </xdr:from>
    <xdr:to>
      <xdr:col>4</xdr:col>
      <xdr:colOff>12700</xdr:colOff>
      <xdr:row>7</xdr:row>
      <xdr:rowOff>215900</xdr:rowOff>
    </xdr:to>
    <xdr:sp macro="" textlink="">
      <xdr:nvSpPr>
        <xdr:cNvPr id="38" name="Left Bracket 37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SpPr/>
      </xdr:nvSpPr>
      <xdr:spPr>
        <a:xfrm rot="5400000">
          <a:off x="1352552" y="552453"/>
          <a:ext cx="368295" cy="1447800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</xdr:colOff>
      <xdr:row>102</xdr:row>
      <xdr:rowOff>177799</xdr:rowOff>
    </xdr:from>
    <xdr:to>
      <xdr:col>4</xdr:col>
      <xdr:colOff>3</xdr:colOff>
      <xdr:row>103</xdr:row>
      <xdr:rowOff>165100</xdr:rowOff>
    </xdr:to>
    <xdr:sp macro="" textlink="">
      <xdr:nvSpPr>
        <xdr:cNvPr id="39" name="Left Bracket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SpPr/>
      </xdr:nvSpPr>
      <xdr:spPr>
        <a:xfrm rot="16200000">
          <a:off x="1454151" y="17989549"/>
          <a:ext cx="165101" cy="1422402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203199</xdr:colOff>
      <xdr:row>6</xdr:row>
      <xdr:rowOff>12703</xdr:rowOff>
    </xdr:from>
    <xdr:to>
      <xdr:col>41</xdr:col>
      <xdr:colOff>25402</xdr:colOff>
      <xdr:row>7</xdr:row>
      <xdr:rowOff>127000</xdr:rowOff>
    </xdr:to>
    <xdr:sp macro="" textlink="">
      <xdr:nvSpPr>
        <xdr:cNvPr id="40" name="Left Bracket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SpPr/>
      </xdr:nvSpPr>
      <xdr:spPr>
        <a:xfrm rot="5400000">
          <a:off x="18999202" y="-876300"/>
          <a:ext cx="292097" cy="4203703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0</xdr:colOff>
      <xdr:row>6</xdr:row>
      <xdr:rowOff>25400</xdr:rowOff>
    </xdr:from>
    <xdr:to>
      <xdr:col>53</xdr:col>
      <xdr:colOff>25400</xdr:colOff>
      <xdr:row>7</xdr:row>
      <xdr:rowOff>63497</xdr:rowOff>
    </xdr:to>
    <xdr:sp macro="" textlink="">
      <xdr:nvSpPr>
        <xdr:cNvPr id="41" name="Left Bracket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SpPr/>
      </xdr:nvSpPr>
      <xdr:spPr>
        <a:xfrm rot="5400000">
          <a:off x="24568151" y="-2038351"/>
          <a:ext cx="215897" cy="6477000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266699</xdr:colOff>
      <xdr:row>6</xdr:row>
      <xdr:rowOff>1</xdr:rowOff>
    </xdr:from>
    <xdr:to>
      <xdr:col>18</xdr:col>
      <xdr:colOff>2</xdr:colOff>
      <xdr:row>7</xdr:row>
      <xdr:rowOff>63503</xdr:rowOff>
    </xdr:to>
    <xdr:sp macro="" textlink="">
      <xdr:nvSpPr>
        <xdr:cNvPr id="42" name="Left Bracket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SpPr/>
      </xdr:nvSpPr>
      <xdr:spPr>
        <a:xfrm rot="5400000">
          <a:off x="5784850" y="-2203450"/>
          <a:ext cx="241302" cy="6781803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215898</xdr:colOff>
      <xdr:row>6</xdr:row>
      <xdr:rowOff>12700</xdr:rowOff>
    </xdr:from>
    <xdr:to>
      <xdr:col>30</xdr:col>
      <xdr:colOff>12699</xdr:colOff>
      <xdr:row>7</xdr:row>
      <xdr:rowOff>114297</xdr:rowOff>
    </xdr:to>
    <xdr:sp macro="" textlink="">
      <xdr:nvSpPr>
        <xdr:cNvPr id="43" name="Left Bracket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SpPr/>
      </xdr:nvSpPr>
      <xdr:spPr>
        <a:xfrm rot="5400000">
          <a:off x="12522200" y="-1930402"/>
          <a:ext cx="279397" cy="6299201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6</xdr:row>
      <xdr:rowOff>25402</xdr:rowOff>
    </xdr:from>
    <xdr:to>
      <xdr:col>31</xdr:col>
      <xdr:colOff>812800</xdr:colOff>
      <xdr:row>7</xdr:row>
      <xdr:rowOff>152399</xdr:rowOff>
    </xdr:to>
    <xdr:sp macro="" textlink="">
      <xdr:nvSpPr>
        <xdr:cNvPr id="44" name="Left Bracket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SpPr/>
      </xdr:nvSpPr>
      <xdr:spPr>
        <a:xfrm rot="5400000">
          <a:off x="16268701" y="838201"/>
          <a:ext cx="304797" cy="812800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266699</xdr:colOff>
      <xdr:row>103</xdr:row>
      <xdr:rowOff>0</xdr:rowOff>
    </xdr:from>
    <xdr:to>
      <xdr:col>17</xdr:col>
      <xdr:colOff>914402</xdr:colOff>
      <xdr:row>104</xdr:row>
      <xdr:rowOff>12699</xdr:rowOff>
    </xdr:to>
    <xdr:sp macro="" textlink="">
      <xdr:nvSpPr>
        <xdr:cNvPr id="45" name="Left Bracket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SpPr/>
      </xdr:nvSpPr>
      <xdr:spPr>
        <a:xfrm rot="16200000">
          <a:off x="5803901" y="15328898"/>
          <a:ext cx="190499" cy="6769103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</xdr:colOff>
      <xdr:row>103</xdr:row>
      <xdr:rowOff>25403</xdr:rowOff>
    </xdr:from>
    <xdr:to>
      <xdr:col>30</xdr:col>
      <xdr:colOff>4</xdr:colOff>
      <xdr:row>103</xdr:row>
      <xdr:rowOff>165101</xdr:rowOff>
    </xdr:to>
    <xdr:sp macro="" textlink="">
      <xdr:nvSpPr>
        <xdr:cNvPr id="46" name="Left Bracket 45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SpPr/>
      </xdr:nvSpPr>
      <xdr:spPr>
        <a:xfrm rot="16200000">
          <a:off x="12585706" y="15570202"/>
          <a:ext cx="139698" cy="6286499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2</xdr:colOff>
      <xdr:row>103</xdr:row>
      <xdr:rowOff>25400</xdr:rowOff>
    </xdr:from>
    <xdr:to>
      <xdr:col>31</xdr:col>
      <xdr:colOff>800104</xdr:colOff>
      <xdr:row>103</xdr:row>
      <xdr:rowOff>165101</xdr:rowOff>
    </xdr:to>
    <xdr:sp macro="" textlink="">
      <xdr:nvSpPr>
        <xdr:cNvPr id="47" name="Left Bracket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SpPr/>
      </xdr:nvSpPr>
      <xdr:spPr>
        <a:xfrm rot="16200000">
          <a:off x="16344902" y="18313400"/>
          <a:ext cx="139701" cy="800102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4</xdr:colOff>
      <xdr:row>103</xdr:row>
      <xdr:rowOff>0</xdr:rowOff>
    </xdr:from>
    <xdr:to>
      <xdr:col>40</xdr:col>
      <xdr:colOff>800103</xdr:colOff>
      <xdr:row>103</xdr:row>
      <xdr:rowOff>165102</xdr:rowOff>
    </xdr:to>
    <xdr:sp macro="" textlink="">
      <xdr:nvSpPr>
        <xdr:cNvPr id="48" name="Left Bracket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SpPr/>
      </xdr:nvSpPr>
      <xdr:spPr>
        <a:xfrm rot="16200000">
          <a:off x="19316703" y="16649701"/>
          <a:ext cx="165102" cy="4381499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12704</xdr:colOff>
      <xdr:row>103</xdr:row>
      <xdr:rowOff>0</xdr:rowOff>
    </xdr:from>
    <xdr:to>
      <xdr:col>53</xdr:col>
      <xdr:colOff>3</xdr:colOff>
      <xdr:row>103</xdr:row>
      <xdr:rowOff>152401</xdr:rowOff>
    </xdr:to>
    <xdr:sp macro="" textlink="">
      <xdr:nvSpPr>
        <xdr:cNvPr id="49" name="Left Bracket 48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SpPr/>
      </xdr:nvSpPr>
      <xdr:spPr>
        <a:xfrm rot="16200000">
          <a:off x="24593553" y="15474951"/>
          <a:ext cx="152401" cy="6438899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190500</xdr:rowOff>
    </xdr:from>
    <xdr:to>
      <xdr:col>2</xdr:col>
      <xdr:colOff>38100</xdr:colOff>
      <xdr:row>8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825500" y="1447800"/>
          <a:ext cx="571500" cy="2921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age</a:t>
          </a:r>
        </a:p>
      </xdr:txBody>
    </xdr:sp>
    <xdr:clientData/>
  </xdr:twoCellAnchor>
  <xdr:twoCellAnchor>
    <xdr:from>
      <xdr:col>2</xdr:col>
      <xdr:colOff>203200</xdr:colOff>
      <xdr:row>7</xdr:row>
      <xdr:rowOff>165100</xdr:rowOff>
    </xdr:from>
    <xdr:to>
      <xdr:col>4</xdr:col>
      <xdr:colOff>12700</xdr:colOff>
      <xdr:row>8</xdr:row>
      <xdr:rowOff>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562100" y="1422400"/>
          <a:ext cx="698500" cy="3175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cycle</a:t>
          </a:r>
        </a:p>
      </xdr:txBody>
    </xdr:sp>
    <xdr:clientData/>
  </xdr:twoCellAnchor>
  <xdr:twoCellAnchor>
    <xdr:from>
      <xdr:col>5</xdr:col>
      <xdr:colOff>0</xdr:colOff>
      <xdr:row>7</xdr:row>
      <xdr:rowOff>152400</xdr:rowOff>
    </xdr:from>
    <xdr:to>
      <xdr:col>6</xdr:col>
      <xdr:colOff>76200</xdr:colOff>
      <xdr:row>7</xdr:row>
      <xdr:rowOff>558800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2514600" y="1409700"/>
          <a:ext cx="11938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 die healthy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152400</xdr:rowOff>
    </xdr:from>
    <xdr:to>
      <xdr:col>8</xdr:col>
      <xdr:colOff>38100</xdr:colOff>
      <xdr:row>7</xdr:row>
      <xdr:rowOff>558800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848100" y="1409700"/>
          <a:ext cx="8636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 die lf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139700</xdr:rowOff>
    </xdr:from>
    <xdr:to>
      <xdr:col>10</xdr:col>
      <xdr:colOff>0</xdr:colOff>
      <xdr:row>7</xdr:row>
      <xdr:rowOff>546100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4889500" y="1397000"/>
          <a:ext cx="495300" cy="3429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 lf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7</xdr:row>
      <xdr:rowOff>139700</xdr:rowOff>
    </xdr:from>
    <xdr:to>
      <xdr:col>12</xdr:col>
      <xdr:colOff>25400</xdr:colOff>
      <xdr:row>7</xdr:row>
      <xdr:rowOff>546100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5537200" y="1397000"/>
          <a:ext cx="838200" cy="3429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_lf_adl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</xdr:row>
      <xdr:rowOff>152400</xdr:rowOff>
    </xdr:from>
    <xdr:to>
      <xdr:col>14</xdr:col>
      <xdr:colOff>114300</xdr:colOff>
      <xdr:row>8</xdr:row>
      <xdr:rowOff>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6565900" y="1409700"/>
          <a:ext cx="7493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_lf_lymphedema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12700</xdr:colOff>
      <xdr:row>7</xdr:row>
      <xdr:rowOff>139700</xdr:rowOff>
    </xdr:from>
    <xdr:to>
      <xdr:col>16</xdr:col>
      <xdr:colOff>76200</xdr:colOff>
      <xdr:row>8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7429500" y="1397000"/>
          <a:ext cx="8001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_lf_hydrocele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25400</xdr:colOff>
      <xdr:row>7</xdr:row>
      <xdr:rowOff>101600</xdr:rowOff>
    </xdr:from>
    <xdr:to>
      <xdr:col>18</xdr:col>
      <xdr:colOff>0</xdr:colOff>
      <xdr:row>8</xdr:row>
      <xdr:rowOff>25400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8394700" y="1358900"/>
          <a:ext cx="901700" cy="4064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p_lf_seq_death</a:t>
          </a:r>
        </a:p>
      </xdr:txBody>
    </xdr:sp>
    <xdr:clientData/>
  </xdr:twoCellAnchor>
  <xdr:twoCellAnchor>
    <xdr:from>
      <xdr:col>19</xdr:col>
      <xdr:colOff>0</xdr:colOff>
      <xdr:row>7</xdr:row>
      <xdr:rowOff>101600</xdr:rowOff>
    </xdr:from>
    <xdr:to>
      <xdr:col>20</xdr:col>
      <xdr:colOff>0</xdr:colOff>
      <xdr:row>7</xdr:row>
      <xdr:rowOff>469900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9512300" y="1358900"/>
          <a:ext cx="8255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baseline="0">
              <a:solidFill>
                <a:schemeClr val="tx1"/>
              </a:solidFill>
            </a:rPr>
            <a:t>healthy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0</xdr:colOff>
      <xdr:row>7</xdr:row>
      <xdr:rowOff>76200</xdr:rowOff>
    </xdr:from>
    <xdr:to>
      <xdr:col>21</xdr:col>
      <xdr:colOff>787400</xdr:colOff>
      <xdr:row>7</xdr:row>
      <xdr:rowOff>457200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10553700" y="1333500"/>
          <a:ext cx="7874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lf</a:t>
          </a:r>
        </a:p>
      </xdr:txBody>
    </xdr:sp>
    <xdr:clientData/>
  </xdr:twoCellAnchor>
  <xdr:twoCellAnchor>
    <xdr:from>
      <xdr:col>23</xdr:col>
      <xdr:colOff>0</xdr:colOff>
      <xdr:row>7</xdr:row>
      <xdr:rowOff>114300</xdr:rowOff>
    </xdr:from>
    <xdr:to>
      <xdr:col>24</xdr:col>
      <xdr:colOff>0</xdr:colOff>
      <xdr:row>7</xdr:row>
      <xdr:rowOff>469900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11595100" y="1371600"/>
          <a:ext cx="825500" cy="3556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lf_adl</a:t>
          </a:r>
        </a:p>
      </xdr:txBody>
    </xdr:sp>
    <xdr:clientData/>
  </xdr:twoCellAnchor>
  <xdr:twoCellAnchor>
    <xdr:from>
      <xdr:col>25</xdr:col>
      <xdr:colOff>0</xdr:colOff>
      <xdr:row>7</xdr:row>
      <xdr:rowOff>101600</xdr:rowOff>
    </xdr:from>
    <xdr:to>
      <xdr:col>26</xdr:col>
      <xdr:colOff>127000</xdr:colOff>
      <xdr:row>8</xdr:row>
      <xdr:rowOff>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12636500" y="1358900"/>
          <a:ext cx="9525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baseline="0">
              <a:solidFill>
                <a:schemeClr val="tx1"/>
              </a:solidFill>
            </a:rPr>
            <a:t>hydrocele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</xdr:row>
      <xdr:rowOff>101600</xdr:rowOff>
    </xdr:from>
    <xdr:to>
      <xdr:col>28</xdr:col>
      <xdr:colOff>114300</xdr:colOff>
      <xdr:row>7</xdr:row>
      <xdr:rowOff>469900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13677900" y="1358900"/>
          <a:ext cx="11938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lymphedema</a:t>
          </a:r>
        </a:p>
      </xdr:txBody>
    </xdr:sp>
    <xdr:clientData/>
  </xdr:twoCellAnchor>
  <xdr:twoCellAnchor>
    <xdr:from>
      <xdr:col>29</xdr:col>
      <xdr:colOff>0</xdr:colOff>
      <xdr:row>7</xdr:row>
      <xdr:rowOff>88900</xdr:rowOff>
    </xdr:from>
    <xdr:to>
      <xdr:col>30</xdr:col>
      <xdr:colOff>12700</xdr:colOff>
      <xdr:row>7</xdr:row>
      <xdr:rowOff>457200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SpPr/>
      </xdr:nvSpPr>
      <xdr:spPr>
        <a:xfrm>
          <a:off x="14973300" y="1346200"/>
          <a:ext cx="8382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dead</a:t>
          </a:r>
        </a:p>
      </xdr:txBody>
    </xdr:sp>
    <xdr:clientData/>
  </xdr:twoCellAnchor>
  <xdr:twoCellAnchor>
    <xdr:from>
      <xdr:col>31</xdr:col>
      <xdr:colOff>0</xdr:colOff>
      <xdr:row>7</xdr:row>
      <xdr:rowOff>114300</xdr:rowOff>
    </xdr:from>
    <xdr:to>
      <xdr:col>32</xdr:col>
      <xdr:colOff>12700</xdr:colOff>
      <xdr:row>8</xdr:row>
      <xdr:rowOff>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16014700" y="13716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bg1"/>
              </a:solidFill>
            </a:rPr>
            <a:t>check</a:t>
          </a:r>
        </a:p>
      </xdr:txBody>
    </xdr:sp>
    <xdr:clientData/>
  </xdr:twoCellAnchor>
  <xdr:twoCellAnchor>
    <xdr:from>
      <xdr:col>33</xdr:col>
      <xdr:colOff>0</xdr:colOff>
      <xdr:row>7</xdr:row>
      <xdr:rowOff>101600</xdr:rowOff>
    </xdr:from>
    <xdr:to>
      <xdr:col>34</xdr:col>
      <xdr:colOff>38100</xdr:colOff>
      <xdr:row>7</xdr:row>
      <xdr:rowOff>444500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SpPr/>
      </xdr:nvSpPr>
      <xdr:spPr>
        <a:xfrm>
          <a:off x="17056100" y="1358900"/>
          <a:ext cx="863600" cy="3429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program</a:t>
          </a:r>
        </a:p>
      </xdr:txBody>
    </xdr:sp>
    <xdr:clientData/>
  </xdr:twoCellAnchor>
  <xdr:twoCellAnchor>
    <xdr:from>
      <xdr:col>35</xdr:col>
      <xdr:colOff>0</xdr:colOff>
      <xdr:row>7</xdr:row>
      <xdr:rowOff>127000</xdr:rowOff>
    </xdr:from>
    <xdr:to>
      <xdr:col>36</xdr:col>
      <xdr:colOff>63500</xdr:colOff>
      <xdr:row>8</xdr:row>
      <xdr:rowOff>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/>
      </xdr:nvSpPr>
      <xdr:spPr>
        <a:xfrm>
          <a:off x="18097500" y="1384300"/>
          <a:ext cx="889000" cy="3556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rx_costs</a:t>
          </a:r>
        </a:p>
      </xdr:txBody>
    </xdr:sp>
    <xdr:clientData/>
  </xdr:twoCellAnchor>
  <xdr:twoCellAnchor>
    <xdr:from>
      <xdr:col>37</xdr:col>
      <xdr:colOff>0</xdr:colOff>
      <xdr:row>7</xdr:row>
      <xdr:rowOff>127000</xdr:rowOff>
    </xdr:from>
    <xdr:to>
      <xdr:col>37</xdr:col>
      <xdr:colOff>800100</xdr:colOff>
      <xdr:row>7</xdr:row>
      <xdr:rowOff>457200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/>
      </xdr:nvSpPr>
      <xdr:spPr>
        <a:xfrm>
          <a:off x="19138900" y="13843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prod</a:t>
          </a:r>
        </a:p>
      </xdr:txBody>
    </xdr:sp>
    <xdr:clientData/>
  </xdr:twoCellAnchor>
  <xdr:twoCellAnchor>
    <xdr:from>
      <xdr:col>40</xdr:col>
      <xdr:colOff>0</xdr:colOff>
      <xdr:row>7</xdr:row>
      <xdr:rowOff>88900</xdr:rowOff>
    </xdr:from>
    <xdr:to>
      <xdr:col>41</xdr:col>
      <xdr:colOff>12700</xdr:colOff>
      <xdr:row>7</xdr:row>
      <xdr:rowOff>457200</xdr:rowOff>
    </xdr:to>
    <xdr:sp macro="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20396200" y="13462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42</xdr:col>
      <xdr:colOff>12700</xdr:colOff>
      <xdr:row>7</xdr:row>
      <xdr:rowOff>152400</xdr:rowOff>
    </xdr:from>
    <xdr:to>
      <xdr:col>42</xdr:col>
      <xdr:colOff>812800</xdr:colOff>
      <xdr:row>8</xdr:row>
      <xdr:rowOff>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SpPr/>
      </xdr:nvSpPr>
      <xdr:spPr>
        <a:xfrm>
          <a:off x="21450300" y="14097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healthy</a:t>
          </a:r>
        </a:p>
      </xdr:txBody>
    </xdr:sp>
    <xdr:clientData/>
  </xdr:twoCellAnchor>
  <xdr:twoCellAnchor>
    <xdr:from>
      <xdr:col>44</xdr:col>
      <xdr:colOff>0</xdr:colOff>
      <xdr:row>7</xdr:row>
      <xdr:rowOff>139700</xdr:rowOff>
    </xdr:from>
    <xdr:to>
      <xdr:col>44</xdr:col>
      <xdr:colOff>800100</xdr:colOff>
      <xdr:row>7</xdr:row>
      <xdr:rowOff>469900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SpPr/>
      </xdr:nvSpPr>
      <xdr:spPr>
        <a:xfrm>
          <a:off x="22479000" y="13970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lf</a:t>
          </a:r>
        </a:p>
      </xdr:txBody>
    </xdr:sp>
    <xdr:clientData/>
  </xdr:twoCellAnchor>
  <xdr:twoCellAnchor>
    <xdr:from>
      <xdr:col>46</xdr:col>
      <xdr:colOff>0</xdr:colOff>
      <xdr:row>7</xdr:row>
      <xdr:rowOff>127000</xdr:rowOff>
    </xdr:from>
    <xdr:to>
      <xdr:col>46</xdr:col>
      <xdr:colOff>800100</xdr:colOff>
      <xdr:row>7</xdr:row>
      <xdr:rowOff>457200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SpPr/>
      </xdr:nvSpPr>
      <xdr:spPr>
        <a:xfrm>
          <a:off x="23520400" y="13843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adl</a:t>
          </a:r>
        </a:p>
      </xdr:txBody>
    </xdr:sp>
    <xdr:clientData/>
  </xdr:twoCellAnchor>
  <xdr:twoCellAnchor>
    <xdr:from>
      <xdr:col>47</xdr:col>
      <xdr:colOff>203200</xdr:colOff>
      <xdr:row>7</xdr:row>
      <xdr:rowOff>139700</xdr:rowOff>
    </xdr:from>
    <xdr:to>
      <xdr:col>48</xdr:col>
      <xdr:colOff>1219200</xdr:colOff>
      <xdr:row>7</xdr:row>
      <xdr:rowOff>469900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/>
      </xdr:nvSpPr>
      <xdr:spPr>
        <a:xfrm>
          <a:off x="24549100" y="1397000"/>
          <a:ext cx="12319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lymphedema</a:t>
          </a:r>
        </a:p>
      </xdr:txBody>
    </xdr:sp>
    <xdr:clientData/>
  </xdr:twoCellAnchor>
  <xdr:twoCellAnchor>
    <xdr:from>
      <xdr:col>50</xdr:col>
      <xdr:colOff>0</xdr:colOff>
      <xdr:row>7</xdr:row>
      <xdr:rowOff>101600</xdr:rowOff>
    </xdr:from>
    <xdr:to>
      <xdr:col>51</xdr:col>
      <xdr:colOff>127000</xdr:colOff>
      <xdr:row>8</xdr:row>
      <xdr:rowOff>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/>
      </xdr:nvSpPr>
      <xdr:spPr>
        <a:xfrm>
          <a:off x="26022300" y="1358900"/>
          <a:ext cx="9525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baseline="0">
              <a:solidFill>
                <a:schemeClr val="tx1"/>
              </a:solidFill>
            </a:rPr>
            <a:t>hydrocele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12700</xdr:colOff>
      <xdr:row>7</xdr:row>
      <xdr:rowOff>101600</xdr:rowOff>
    </xdr:from>
    <xdr:to>
      <xdr:col>53</xdr:col>
      <xdr:colOff>25400</xdr:colOff>
      <xdr:row>7</xdr:row>
      <xdr:rowOff>469900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/>
      </xdr:nvSpPr>
      <xdr:spPr>
        <a:xfrm>
          <a:off x="27076400" y="13589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33</xdr:col>
      <xdr:colOff>25400</xdr:colOff>
      <xdr:row>0</xdr:row>
      <xdr:rowOff>165100</xdr:rowOff>
    </xdr:from>
    <xdr:to>
      <xdr:col>35</xdr:col>
      <xdr:colOff>685800</xdr:colOff>
      <xdr:row>3</xdr:row>
      <xdr:rowOff>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/>
      </xdr:nvSpPr>
      <xdr:spPr>
        <a:xfrm>
          <a:off x="17081500" y="165100"/>
          <a:ext cx="17018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program</a:t>
          </a:r>
          <a:r>
            <a:rPr lang="en-US" sz="1400" b="1" baseline="0">
              <a:solidFill>
                <a:schemeClr val="bg1"/>
              </a:solidFill>
            </a:rPr>
            <a:t> costs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42</xdr:col>
      <xdr:colOff>25400</xdr:colOff>
      <xdr:row>1</xdr:row>
      <xdr:rowOff>12700</xdr:rowOff>
    </xdr:from>
    <xdr:to>
      <xdr:col>43</xdr:col>
      <xdr:colOff>38100</xdr:colOff>
      <xdr:row>3</xdr:row>
      <xdr:rowOff>25400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>
        <a:xfrm>
          <a:off x="21463000" y="1905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qalys</a:t>
          </a:r>
        </a:p>
      </xdr:txBody>
    </xdr:sp>
    <xdr:clientData/>
  </xdr:twoCellAnchor>
  <xdr:twoCellAnchor>
    <xdr:from>
      <xdr:col>19</xdr:col>
      <xdr:colOff>25400</xdr:colOff>
      <xdr:row>1</xdr:row>
      <xdr:rowOff>25400</xdr:rowOff>
    </xdr:from>
    <xdr:to>
      <xdr:col>23</xdr:col>
      <xdr:colOff>787400</xdr:colOff>
      <xdr:row>3</xdr:row>
      <xdr:rowOff>38100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>
        <a:xfrm>
          <a:off x="9537700" y="203200"/>
          <a:ext cx="28448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health</a:t>
          </a:r>
          <a:r>
            <a:rPr lang="en-US" sz="1400" b="1" baseline="0">
              <a:solidFill>
                <a:schemeClr val="bg1"/>
              </a:solidFill>
            </a:rPr>
            <a:t> state distributions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12700</xdr:colOff>
      <xdr:row>1</xdr:row>
      <xdr:rowOff>12700</xdr:rowOff>
    </xdr:from>
    <xdr:to>
      <xdr:col>9</xdr:col>
      <xdr:colOff>241300</xdr:colOff>
      <xdr:row>3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>
        <a:xfrm>
          <a:off x="2527300" y="190500"/>
          <a:ext cx="26035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time</a:t>
          </a:r>
          <a:r>
            <a:rPr lang="en-US" sz="1400" b="1" baseline="0">
              <a:solidFill>
                <a:schemeClr val="bg1"/>
              </a:solidFill>
            </a:rPr>
            <a:t> dependent variables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25400</xdr:colOff>
      <xdr:row>3</xdr:row>
      <xdr:rowOff>127000</xdr:rowOff>
    </xdr:from>
    <xdr:to>
      <xdr:col>6</xdr:col>
      <xdr:colOff>88900</xdr:colOff>
      <xdr:row>5</xdr:row>
      <xdr:rowOff>139700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/>
      </xdr:nvSpPr>
      <xdr:spPr>
        <a:xfrm>
          <a:off x="2540000" y="660400"/>
          <a:ext cx="1181100" cy="368300"/>
        </a:xfrm>
        <a:prstGeom prst="roundRect">
          <a:avLst/>
        </a:prstGeom>
        <a:solidFill>
          <a:schemeClr val="bg2">
            <a:lumMod val="90000"/>
          </a:schemeClr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probabilities</a:t>
          </a:r>
        </a:p>
      </xdr:txBody>
    </xdr:sp>
    <xdr:clientData/>
  </xdr:twoCellAnchor>
  <xdr:twoCellAnchor>
    <xdr:from>
      <xdr:col>19</xdr:col>
      <xdr:colOff>25400</xdr:colOff>
      <xdr:row>3</xdr:row>
      <xdr:rowOff>114300</xdr:rowOff>
    </xdr:from>
    <xdr:to>
      <xdr:col>21</xdr:col>
      <xdr:colOff>165100</xdr:colOff>
      <xdr:row>5</xdr:row>
      <xdr:rowOff>127000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SpPr/>
      </xdr:nvSpPr>
      <xdr:spPr>
        <a:xfrm>
          <a:off x="9537700" y="647700"/>
          <a:ext cx="1181100" cy="368300"/>
        </a:xfrm>
        <a:prstGeom prst="roundRect">
          <a:avLst/>
        </a:prstGeom>
        <a:solidFill>
          <a:schemeClr val="bg2">
            <a:lumMod val="90000"/>
          </a:schemeClr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population</a:t>
          </a:r>
        </a:p>
      </xdr:txBody>
    </xdr:sp>
    <xdr:clientData/>
  </xdr:twoCellAnchor>
  <xdr:twoCellAnchor>
    <xdr:from>
      <xdr:col>0</xdr:col>
      <xdr:colOff>812800</xdr:colOff>
      <xdr:row>6</xdr:row>
      <xdr:rowOff>25405</xdr:rowOff>
    </xdr:from>
    <xdr:to>
      <xdr:col>4</xdr:col>
      <xdr:colOff>12700</xdr:colOff>
      <xdr:row>7</xdr:row>
      <xdr:rowOff>215900</xdr:rowOff>
    </xdr:to>
    <xdr:sp macro="" textlink="">
      <xdr:nvSpPr>
        <xdr:cNvPr id="34" name="Left Bracket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SpPr/>
      </xdr:nvSpPr>
      <xdr:spPr>
        <a:xfrm rot="5400000">
          <a:off x="1346202" y="558803"/>
          <a:ext cx="380995" cy="1447800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</xdr:colOff>
      <xdr:row>102</xdr:row>
      <xdr:rowOff>177799</xdr:rowOff>
    </xdr:from>
    <xdr:to>
      <xdr:col>4</xdr:col>
      <xdr:colOff>3</xdr:colOff>
      <xdr:row>103</xdr:row>
      <xdr:rowOff>165100</xdr:rowOff>
    </xdr:to>
    <xdr:sp macro="" textlink="">
      <xdr:nvSpPr>
        <xdr:cNvPr id="35" name="Left Bracket 34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SpPr/>
      </xdr:nvSpPr>
      <xdr:spPr>
        <a:xfrm rot="16200000">
          <a:off x="1447801" y="18021299"/>
          <a:ext cx="177801" cy="1422402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203199</xdr:colOff>
      <xdr:row>6</xdr:row>
      <xdr:rowOff>12703</xdr:rowOff>
    </xdr:from>
    <xdr:to>
      <xdr:col>41</xdr:col>
      <xdr:colOff>25402</xdr:colOff>
      <xdr:row>7</xdr:row>
      <xdr:rowOff>127000</xdr:rowOff>
    </xdr:to>
    <xdr:sp macro="" textlink="">
      <xdr:nvSpPr>
        <xdr:cNvPr id="36" name="Left Bracket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>
        <a:xfrm rot="5400000">
          <a:off x="18992852" y="-869950"/>
          <a:ext cx="304797" cy="4203703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0</xdr:colOff>
      <xdr:row>6</xdr:row>
      <xdr:rowOff>25400</xdr:rowOff>
    </xdr:from>
    <xdr:to>
      <xdr:col>53</xdr:col>
      <xdr:colOff>25400</xdr:colOff>
      <xdr:row>7</xdr:row>
      <xdr:rowOff>63497</xdr:rowOff>
    </xdr:to>
    <xdr:sp macro="" textlink="">
      <xdr:nvSpPr>
        <xdr:cNvPr id="37" name="Left Bracket 36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>
        <a:xfrm rot="5400000">
          <a:off x="24561801" y="-2032001"/>
          <a:ext cx="228597" cy="6477000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266699</xdr:colOff>
      <xdr:row>6</xdr:row>
      <xdr:rowOff>1</xdr:rowOff>
    </xdr:from>
    <xdr:to>
      <xdr:col>18</xdr:col>
      <xdr:colOff>2</xdr:colOff>
      <xdr:row>7</xdr:row>
      <xdr:rowOff>63503</xdr:rowOff>
    </xdr:to>
    <xdr:sp macro="" textlink="">
      <xdr:nvSpPr>
        <xdr:cNvPr id="38" name="Left Bracket 37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>
        <a:xfrm rot="5400000">
          <a:off x="5778500" y="-2197100"/>
          <a:ext cx="254002" cy="6781803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215898</xdr:colOff>
      <xdr:row>6</xdr:row>
      <xdr:rowOff>12700</xdr:rowOff>
    </xdr:from>
    <xdr:to>
      <xdr:col>30</xdr:col>
      <xdr:colOff>12699</xdr:colOff>
      <xdr:row>7</xdr:row>
      <xdr:rowOff>114297</xdr:rowOff>
    </xdr:to>
    <xdr:sp macro="" textlink="">
      <xdr:nvSpPr>
        <xdr:cNvPr id="39" name="Left Bracket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SpPr/>
      </xdr:nvSpPr>
      <xdr:spPr>
        <a:xfrm rot="5400000">
          <a:off x="12515850" y="-1924052"/>
          <a:ext cx="292097" cy="6299201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6</xdr:row>
      <xdr:rowOff>25402</xdr:rowOff>
    </xdr:from>
    <xdr:to>
      <xdr:col>31</xdr:col>
      <xdr:colOff>812800</xdr:colOff>
      <xdr:row>7</xdr:row>
      <xdr:rowOff>152399</xdr:rowOff>
    </xdr:to>
    <xdr:sp macro="" textlink="">
      <xdr:nvSpPr>
        <xdr:cNvPr id="40" name="Left Bracket 39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SpPr/>
      </xdr:nvSpPr>
      <xdr:spPr>
        <a:xfrm rot="5400000">
          <a:off x="16262351" y="844551"/>
          <a:ext cx="317497" cy="812800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266699</xdr:colOff>
      <xdr:row>103</xdr:row>
      <xdr:rowOff>0</xdr:rowOff>
    </xdr:from>
    <xdr:to>
      <xdr:col>17</xdr:col>
      <xdr:colOff>914402</xdr:colOff>
      <xdr:row>104</xdr:row>
      <xdr:rowOff>12699</xdr:rowOff>
    </xdr:to>
    <xdr:sp macro="" textlink="">
      <xdr:nvSpPr>
        <xdr:cNvPr id="41" name="Left Bracket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SpPr/>
      </xdr:nvSpPr>
      <xdr:spPr>
        <a:xfrm rot="16200000">
          <a:off x="5803901" y="15366998"/>
          <a:ext cx="190499" cy="6769103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</xdr:colOff>
      <xdr:row>103</xdr:row>
      <xdr:rowOff>25403</xdr:rowOff>
    </xdr:from>
    <xdr:to>
      <xdr:col>30</xdr:col>
      <xdr:colOff>4</xdr:colOff>
      <xdr:row>103</xdr:row>
      <xdr:rowOff>165101</xdr:rowOff>
    </xdr:to>
    <xdr:sp macro="" textlink="">
      <xdr:nvSpPr>
        <xdr:cNvPr id="42" name="Left Bracket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SpPr/>
      </xdr:nvSpPr>
      <xdr:spPr>
        <a:xfrm rot="16200000">
          <a:off x="12585706" y="15608302"/>
          <a:ext cx="139698" cy="6286499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2</xdr:colOff>
      <xdr:row>103</xdr:row>
      <xdr:rowOff>25400</xdr:rowOff>
    </xdr:from>
    <xdr:to>
      <xdr:col>31</xdr:col>
      <xdr:colOff>800104</xdr:colOff>
      <xdr:row>103</xdr:row>
      <xdr:rowOff>165101</xdr:rowOff>
    </xdr:to>
    <xdr:sp macro="" textlink="">
      <xdr:nvSpPr>
        <xdr:cNvPr id="43" name="Left Bracket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SpPr/>
      </xdr:nvSpPr>
      <xdr:spPr>
        <a:xfrm rot="16200000">
          <a:off x="16344902" y="18351500"/>
          <a:ext cx="139701" cy="800102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4</xdr:colOff>
      <xdr:row>103</xdr:row>
      <xdr:rowOff>0</xdr:rowOff>
    </xdr:from>
    <xdr:to>
      <xdr:col>40</xdr:col>
      <xdr:colOff>800103</xdr:colOff>
      <xdr:row>103</xdr:row>
      <xdr:rowOff>165102</xdr:rowOff>
    </xdr:to>
    <xdr:sp macro="" textlink="">
      <xdr:nvSpPr>
        <xdr:cNvPr id="44" name="Left Bracket 43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SpPr/>
      </xdr:nvSpPr>
      <xdr:spPr>
        <a:xfrm rot="16200000">
          <a:off x="19043653" y="16668751"/>
          <a:ext cx="165102" cy="4140199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12704</xdr:colOff>
      <xdr:row>103</xdr:row>
      <xdr:rowOff>0</xdr:rowOff>
    </xdr:from>
    <xdr:to>
      <xdr:col>53</xdr:col>
      <xdr:colOff>3</xdr:colOff>
      <xdr:row>103</xdr:row>
      <xdr:rowOff>152401</xdr:rowOff>
    </xdr:to>
    <xdr:sp macro="" textlink="">
      <xdr:nvSpPr>
        <xdr:cNvPr id="45" name="Left Bracket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SpPr/>
      </xdr:nvSpPr>
      <xdr:spPr>
        <a:xfrm rot="16200000">
          <a:off x="24593553" y="15513051"/>
          <a:ext cx="152401" cy="6438899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190500</xdr:rowOff>
    </xdr:from>
    <xdr:to>
      <xdr:col>2</xdr:col>
      <xdr:colOff>38100</xdr:colOff>
      <xdr:row>8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825500" y="1447800"/>
          <a:ext cx="571500" cy="2921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age</a:t>
          </a:r>
        </a:p>
      </xdr:txBody>
    </xdr:sp>
    <xdr:clientData/>
  </xdr:twoCellAnchor>
  <xdr:twoCellAnchor>
    <xdr:from>
      <xdr:col>2</xdr:col>
      <xdr:colOff>203200</xdr:colOff>
      <xdr:row>7</xdr:row>
      <xdr:rowOff>165100</xdr:rowOff>
    </xdr:from>
    <xdr:to>
      <xdr:col>4</xdr:col>
      <xdr:colOff>12700</xdr:colOff>
      <xdr:row>8</xdr:row>
      <xdr:rowOff>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1562100" y="1422400"/>
          <a:ext cx="698500" cy="3175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cycle</a:t>
          </a:r>
        </a:p>
      </xdr:txBody>
    </xdr:sp>
    <xdr:clientData/>
  </xdr:twoCellAnchor>
  <xdr:twoCellAnchor>
    <xdr:from>
      <xdr:col>5</xdr:col>
      <xdr:colOff>0</xdr:colOff>
      <xdr:row>7</xdr:row>
      <xdr:rowOff>152400</xdr:rowOff>
    </xdr:from>
    <xdr:to>
      <xdr:col>6</xdr:col>
      <xdr:colOff>76200</xdr:colOff>
      <xdr:row>7</xdr:row>
      <xdr:rowOff>558800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2514600" y="1409700"/>
          <a:ext cx="11938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 die healthy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152400</xdr:rowOff>
    </xdr:from>
    <xdr:to>
      <xdr:col>8</xdr:col>
      <xdr:colOff>38100</xdr:colOff>
      <xdr:row>7</xdr:row>
      <xdr:rowOff>558800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3848100" y="1409700"/>
          <a:ext cx="8636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 die lf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139700</xdr:rowOff>
    </xdr:from>
    <xdr:to>
      <xdr:col>10</xdr:col>
      <xdr:colOff>0</xdr:colOff>
      <xdr:row>7</xdr:row>
      <xdr:rowOff>546100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4889500" y="1397000"/>
          <a:ext cx="647700" cy="3429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 lf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7</xdr:row>
      <xdr:rowOff>139700</xdr:rowOff>
    </xdr:from>
    <xdr:to>
      <xdr:col>12</xdr:col>
      <xdr:colOff>25400</xdr:colOff>
      <xdr:row>7</xdr:row>
      <xdr:rowOff>546100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5689600" y="1397000"/>
          <a:ext cx="838200" cy="3429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_lf_adl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</xdr:row>
      <xdr:rowOff>152400</xdr:rowOff>
    </xdr:from>
    <xdr:to>
      <xdr:col>14</xdr:col>
      <xdr:colOff>114300</xdr:colOff>
      <xdr:row>8</xdr:row>
      <xdr:rowOff>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6718300" y="1409700"/>
          <a:ext cx="7493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_lf_lymphedema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12700</xdr:colOff>
      <xdr:row>7</xdr:row>
      <xdr:rowOff>139700</xdr:rowOff>
    </xdr:from>
    <xdr:to>
      <xdr:col>16</xdr:col>
      <xdr:colOff>76200</xdr:colOff>
      <xdr:row>8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/>
      </xdr:nvSpPr>
      <xdr:spPr>
        <a:xfrm>
          <a:off x="7581900" y="1397000"/>
          <a:ext cx="8001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_lf_hydrocele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25400</xdr:colOff>
      <xdr:row>7</xdr:row>
      <xdr:rowOff>101600</xdr:rowOff>
    </xdr:from>
    <xdr:to>
      <xdr:col>18</xdr:col>
      <xdr:colOff>0</xdr:colOff>
      <xdr:row>8</xdr:row>
      <xdr:rowOff>25400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/>
      </xdr:nvSpPr>
      <xdr:spPr>
        <a:xfrm>
          <a:off x="8547100" y="1358900"/>
          <a:ext cx="901700" cy="4064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p_lf_seq_death</a:t>
          </a:r>
        </a:p>
      </xdr:txBody>
    </xdr:sp>
    <xdr:clientData/>
  </xdr:twoCellAnchor>
  <xdr:twoCellAnchor>
    <xdr:from>
      <xdr:col>19</xdr:col>
      <xdr:colOff>0</xdr:colOff>
      <xdr:row>7</xdr:row>
      <xdr:rowOff>101600</xdr:rowOff>
    </xdr:from>
    <xdr:to>
      <xdr:col>20</xdr:col>
      <xdr:colOff>0</xdr:colOff>
      <xdr:row>7</xdr:row>
      <xdr:rowOff>469900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/>
      </xdr:nvSpPr>
      <xdr:spPr>
        <a:xfrm>
          <a:off x="9664700" y="1358900"/>
          <a:ext cx="8255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baseline="0">
              <a:solidFill>
                <a:schemeClr val="tx1"/>
              </a:solidFill>
            </a:rPr>
            <a:t>healthy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0</xdr:colOff>
      <xdr:row>7</xdr:row>
      <xdr:rowOff>76200</xdr:rowOff>
    </xdr:from>
    <xdr:to>
      <xdr:col>21</xdr:col>
      <xdr:colOff>787400</xdr:colOff>
      <xdr:row>7</xdr:row>
      <xdr:rowOff>457200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SpPr/>
      </xdr:nvSpPr>
      <xdr:spPr>
        <a:xfrm>
          <a:off x="10706100" y="1333500"/>
          <a:ext cx="7874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lf</a:t>
          </a:r>
        </a:p>
      </xdr:txBody>
    </xdr:sp>
    <xdr:clientData/>
  </xdr:twoCellAnchor>
  <xdr:twoCellAnchor>
    <xdr:from>
      <xdr:col>23</xdr:col>
      <xdr:colOff>0</xdr:colOff>
      <xdr:row>7</xdr:row>
      <xdr:rowOff>114300</xdr:rowOff>
    </xdr:from>
    <xdr:to>
      <xdr:col>24</xdr:col>
      <xdr:colOff>0</xdr:colOff>
      <xdr:row>7</xdr:row>
      <xdr:rowOff>469900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SpPr/>
      </xdr:nvSpPr>
      <xdr:spPr>
        <a:xfrm>
          <a:off x="11747500" y="1371600"/>
          <a:ext cx="825500" cy="3556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lf_adl</a:t>
          </a:r>
        </a:p>
      </xdr:txBody>
    </xdr:sp>
    <xdr:clientData/>
  </xdr:twoCellAnchor>
  <xdr:twoCellAnchor>
    <xdr:from>
      <xdr:col>25</xdr:col>
      <xdr:colOff>0</xdr:colOff>
      <xdr:row>7</xdr:row>
      <xdr:rowOff>101600</xdr:rowOff>
    </xdr:from>
    <xdr:to>
      <xdr:col>26</xdr:col>
      <xdr:colOff>127000</xdr:colOff>
      <xdr:row>8</xdr:row>
      <xdr:rowOff>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/>
      </xdr:nvSpPr>
      <xdr:spPr>
        <a:xfrm>
          <a:off x="12788900" y="1358900"/>
          <a:ext cx="9525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baseline="0">
              <a:solidFill>
                <a:schemeClr val="tx1"/>
              </a:solidFill>
            </a:rPr>
            <a:t>hydrocele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</xdr:row>
      <xdr:rowOff>101600</xdr:rowOff>
    </xdr:from>
    <xdr:to>
      <xdr:col>28</xdr:col>
      <xdr:colOff>114300</xdr:colOff>
      <xdr:row>7</xdr:row>
      <xdr:rowOff>469900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3830300" y="1358900"/>
          <a:ext cx="11938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lymphedema</a:t>
          </a:r>
        </a:p>
      </xdr:txBody>
    </xdr:sp>
    <xdr:clientData/>
  </xdr:twoCellAnchor>
  <xdr:twoCellAnchor>
    <xdr:from>
      <xdr:col>29</xdr:col>
      <xdr:colOff>0</xdr:colOff>
      <xdr:row>7</xdr:row>
      <xdr:rowOff>88900</xdr:rowOff>
    </xdr:from>
    <xdr:to>
      <xdr:col>30</xdr:col>
      <xdr:colOff>12700</xdr:colOff>
      <xdr:row>7</xdr:row>
      <xdr:rowOff>457200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15125700" y="1346200"/>
          <a:ext cx="8382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dead</a:t>
          </a:r>
        </a:p>
      </xdr:txBody>
    </xdr:sp>
    <xdr:clientData/>
  </xdr:twoCellAnchor>
  <xdr:twoCellAnchor>
    <xdr:from>
      <xdr:col>31</xdr:col>
      <xdr:colOff>0</xdr:colOff>
      <xdr:row>7</xdr:row>
      <xdr:rowOff>114300</xdr:rowOff>
    </xdr:from>
    <xdr:to>
      <xdr:col>32</xdr:col>
      <xdr:colOff>12700</xdr:colOff>
      <xdr:row>8</xdr:row>
      <xdr:rowOff>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SpPr/>
      </xdr:nvSpPr>
      <xdr:spPr>
        <a:xfrm>
          <a:off x="16167100" y="13716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bg1"/>
              </a:solidFill>
            </a:rPr>
            <a:t>check</a:t>
          </a:r>
        </a:p>
      </xdr:txBody>
    </xdr:sp>
    <xdr:clientData/>
  </xdr:twoCellAnchor>
  <xdr:twoCellAnchor>
    <xdr:from>
      <xdr:col>33</xdr:col>
      <xdr:colOff>0</xdr:colOff>
      <xdr:row>7</xdr:row>
      <xdr:rowOff>101600</xdr:rowOff>
    </xdr:from>
    <xdr:to>
      <xdr:col>34</xdr:col>
      <xdr:colOff>38100</xdr:colOff>
      <xdr:row>7</xdr:row>
      <xdr:rowOff>444500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SpPr/>
      </xdr:nvSpPr>
      <xdr:spPr>
        <a:xfrm>
          <a:off x="17208500" y="1358900"/>
          <a:ext cx="1104900" cy="3429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program</a:t>
          </a:r>
        </a:p>
      </xdr:txBody>
    </xdr:sp>
    <xdr:clientData/>
  </xdr:twoCellAnchor>
  <xdr:twoCellAnchor>
    <xdr:from>
      <xdr:col>35</xdr:col>
      <xdr:colOff>0</xdr:colOff>
      <xdr:row>7</xdr:row>
      <xdr:rowOff>127000</xdr:rowOff>
    </xdr:from>
    <xdr:to>
      <xdr:col>36</xdr:col>
      <xdr:colOff>63500</xdr:colOff>
      <xdr:row>8</xdr:row>
      <xdr:rowOff>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18491200" y="1384300"/>
          <a:ext cx="889000" cy="3556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rx_costs</a:t>
          </a:r>
        </a:p>
      </xdr:txBody>
    </xdr:sp>
    <xdr:clientData/>
  </xdr:twoCellAnchor>
  <xdr:twoCellAnchor>
    <xdr:from>
      <xdr:col>37</xdr:col>
      <xdr:colOff>0</xdr:colOff>
      <xdr:row>7</xdr:row>
      <xdr:rowOff>127000</xdr:rowOff>
    </xdr:from>
    <xdr:to>
      <xdr:col>37</xdr:col>
      <xdr:colOff>800100</xdr:colOff>
      <xdr:row>7</xdr:row>
      <xdr:rowOff>457200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9532600" y="13843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prod</a:t>
          </a:r>
        </a:p>
      </xdr:txBody>
    </xdr:sp>
    <xdr:clientData/>
  </xdr:twoCellAnchor>
  <xdr:twoCellAnchor>
    <xdr:from>
      <xdr:col>40</xdr:col>
      <xdr:colOff>0</xdr:colOff>
      <xdr:row>7</xdr:row>
      <xdr:rowOff>88900</xdr:rowOff>
    </xdr:from>
    <xdr:to>
      <xdr:col>41</xdr:col>
      <xdr:colOff>12700</xdr:colOff>
      <xdr:row>7</xdr:row>
      <xdr:rowOff>457200</xdr:rowOff>
    </xdr:to>
    <xdr:sp macro="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/>
      </xdr:nvSpPr>
      <xdr:spPr>
        <a:xfrm>
          <a:off x="20789900" y="13462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42</xdr:col>
      <xdr:colOff>12700</xdr:colOff>
      <xdr:row>7</xdr:row>
      <xdr:rowOff>152400</xdr:rowOff>
    </xdr:from>
    <xdr:to>
      <xdr:col>42</xdr:col>
      <xdr:colOff>812800</xdr:colOff>
      <xdr:row>8</xdr:row>
      <xdr:rowOff>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SpPr/>
      </xdr:nvSpPr>
      <xdr:spPr>
        <a:xfrm>
          <a:off x="21844000" y="14097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healthy</a:t>
          </a:r>
        </a:p>
      </xdr:txBody>
    </xdr:sp>
    <xdr:clientData/>
  </xdr:twoCellAnchor>
  <xdr:twoCellAnchor>
    <xdr:from>
      <xdr:col>44</xdr:col>
      <xdr:colOff>0</xdr:colOff>
      <xdr:row>7</xdr:row>
      <xdr:rowOff>139700</xdr:rowOff>
    </xdr:from>
    <xdr:to>
      <xdr:col>44</xdr:col>
      <xdr:colOff>800100</xdr:colOff>
      <xdr:row>7</xdr:row>
      <xdr:rowOff>469900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22872700" y="13970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lf</a:t>
          </a:r>
        </a:p>
      </xdr:txBody>
    </xdr:sp>
    <xdr:clientData/>
  </xdr:twoCellAnchor>
  <xdr:twoCellAnchor>
    <xdr:from>
      <xdr:col>46</xdr:col>
      <xdr:colOff>0</xdr:colOff>
      <xdr:row>7</xdr:row>
      <xdr:rowOff>127000</xdr:rowOff>
    </xdr:from>
    <xdr:to>
      <xdr:col>46</xdr:col>
      <xdr:colOff>800100</xdr:colOff>
      <xdr:row>7</xdr:row>
      <xdr:rowOff>457200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23914100" y="13843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adl</a:t>
          </a:r>
        </a:p>
      </xdr:txBody>
    </xdr:sp>
    <xdr:clientData/>
  </xdr:twoCellAnchor>
  <xdr:twoCellAnchor>
    <xdr:from>
      <xdr:col>47</xdr:col>
      <xdr:colOff>203200</xdr:colOff>
      <xdr:row>7</xdr:row>
      <xdr:rowOff>139700</xdr:rowOff>
    </xdr:from>
    <xdr:to>
      <xdr:col>48</xdr:col>
      <xdr:colOff>1219200</xdr:colOff>
      <xdr:row>7</xdr:row>
      <xdr:rowOff>469900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24942800" y="1397000"/>
          <a:ext cx="12319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lymphedema</a:t>
          </a:r>
        </a:p>
      </xdr:txBody>
    </xdr:sp>
    <xdr:clientData/>
  </xdr:twoCellAnchor>
  <xdr:twoCellAnchor>
    <xdr:from>
      <xdr:col>50</xdr:col>
      <xdr:colOff>0</xdr:colOff>
      <xdr:row>7</xdr:row>
      <xdr:rowOff>101600</xdr:rowOff>
    </xdr:from>
    <xdr:to>
      <xdr:col>51</xdr:col>
      <xdr:colOff>127000</xdr:colOff>
      <xdr:row>8</xdr:row>
      <xdr:rowOff>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26416000" y="1358900"/>
          <a:ext cx="9525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baseline="0">
              <a:solidFill>
                <a:schemeClr val="tx1"/>
              </a:solidFill>
            </a:rPr>
            <a:t>hydrocele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12700</xdr:colOff>
      <xdr:row>7</xdr:row>
      <xdr:rowOff>101600</xdr:rowOff>
    </xdr:from>
    <xdr:to>
      <xdr:col>53</xdr:col>
      <xdr:colOff>25400</xdr:colOff>
      <xdr:row>7</xdr:row>
      <xdr:rowOff>469900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27470100" y="13589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33</xdr:col>
      <xdr:colOff>25400</xdr:colOff>
      <xdr:row>0</xdr:row>
      <xdr:rowOff>165100</xdr:rowOff>
    </xdr:from>
    <xdr:to>
      <xdr:col>35</xdr:col>
      <xdr:colOff>685800</xdr:colOff>
      <xdr:row>3</xdr:row>
      <xdr:rowOff>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SpPr/>
      </xdr:nvSpPr>
      <xdr:spPr>
        <a:xfrm>
          <a:off x="17233900" y="165100"/>
          <a:ext cx="19431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program</a:t>
          </a:r>
          <a:r>
            <a:rPr lang="en-US" sz="1400" b="1" baseline="0">
              <a:solidFill>
                <a:schemeClr val="bg1"/>
              </a:solidFill>
            </a:rPr>
            <a:t> costs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42</xdr:col>
      <xdr:colOff>25400</xdr:colOff>
      <xdr:row>1</xdr:row>
      <xdr:rowOff>12700</xdr:rowOff>
    </xdr:from>
    <xdr:to>
      <xdr:col>43</xdr:col>
      <xdr:colOff>38100</xdr:colOff>
      <xdr:row>3</xdr:row>
      <xdr:rowOff>25400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SpPr/>
      </xdr:nvSpPr>
      <xdr:spPr>
        <a:xfrm>
          <a:off x="21856700" y="1905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qalys</a:t>
          </a:r>
        </a:p>
      </xdr:txBody>
    </xdr:sp>
    <xdr:clientData/>
  </xdr:twoCellAnchor>
  <xdr:twoCellAnchor>
    <xdr:from>
      <xdr:col>19</xdr:col>
      <xdr:colOff>25400</xdr:colOff>
      <xdr:row>1</xdr:row>
      <xdr:rowOff>25400</xdr:rowOff>
    </xdr:from>
    <xdr:to>
      <xdr:col>23</xdr:col>
      <xdr:colOff>787400</xdr:colOff>
      <xdr:row>3</xdr:row>
      <xdr:rowOff>38100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SpPr/>
      </xdr:nvSpPr>
      <xdr:spPr>
        <a:xfrm>
          <a:off x="9690100" y="203200"/>
          <a:ext cx="28448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health</a:t>
          </a:r>
          <a:r>
            <a:rPr lang="en-US" sz="1400" b="1" baseline="0">
              <a:solidFill>
                <a:schemeClr val="bg1"/>
              </a:solidFill>
            </a:rPr>
            <a:t> state distributions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12700</xdr:colOff>
      <xdr:row>1</xdr:row>
      <xdr:rowOff>12700</xdr:rowOff>
    </xdr:from>
    <xdr:to>
      <xdr:col>9</xdr:col>
      <xdr:colOff>241300</xdr:colOff>
      <xdr:row>3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/>
      </xdr:nvSpPr>
      <xdr:spPr>
        <a:xfrm>
          <a:off x="2527300" y="190500"/>
          <a:ext cx="26035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time</a:t>
          </a:r>
          <a:r>
            <a:rPr lang="en-US" sz="1400" b="1" baseline="0">
              <a:solidFill>
                <a:schemeClr val="bg1"/>
              </a:solidFill>
            </a:rPr>
            <a:t> dependent variables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25400</xdr:colOff>
      <xdr:row>3</xdr:row>
      <xdr:rowOff>127000</xdr:rowOff>
    </xdr:from>
    <xdr:to>
      <xdr:col>6</xdr:col>
      <xdr:colOff>88900</xdr:colOff>
      <xdr:row>5</xdr:row>
      <xdr:rowOff>139700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SpPr/>
      </xdr:nvSpPr>
      <xdr:spPr>
        <a:xfrm>
          <a:off x="2540000" y="660400"/>
          <a:ext cx="1181100" cy="368300"/>
        </a:xfrm>
        <a:prstGeom prst="roundRect">
          <a:avLst/>
        </a:prstGeom>
        <a:solidFill>
          <a:schemeClr val="bg2">
            <a:lumMod val="90000"/>
          </a:schemeClr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probabilities</a:t>
          </a:r>
        </a:p>
      </xdr:txBody>
    </xdr:sp>
    <xdr:clientData/>
  </xdr:twoCellAnchor>
  <xdr:twoCellAnchor>
    <xdr:from>
      <xdr:col>19</xdr:col>
      <xdr:colOff>25400</xdr:colOff>
      <xdr:row>3</xdr:row>
      <xdr:rowOff>114300</xdr:rowOff>
    </xdr:from>
    <xdr:to>
      <xdr:col>21</xdr:col>
      <xdr:colOff>165100</xdr:colOff>
      <xdr:row>5</xdr:row>
      <xdr:rowOff>127000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SpPr/>
      </xdr:nvSpPr>
      <xdr:spPr>
        <a:xfrm>
          <a:off x="9690100" y="647700"/>
          <a:ext cx="1181100" cy="368300"/>
        </a:xfrm>
        <a:prstGeom prst="roundRect">
          <a:avLst/>
        </a:prstGeom>
        <a:solidFill>
          <a:schemeClr val="bg2">
            <a:lumMod val="90000"/>
          </a:schemeClr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population</a:t>
          </a:r>
        </a:p>
      </xdr:txBody>
    </xdr:sp>
    <xdr:clientData/>
  </xdr:twoCellAnchor>
  <xdr:twoCellAnchor>
    <xdr:from>
      <xdr:col>0</xdr:col>
      <xdr:colOff>812800</xdr:colOff>
      <xdr:row>6</xdr:row>
      <xdr:rowOff>25405</xdr:rowOff>
    </xdr:from>
    <xdr:to>
      <xdr:col>4</xdr:col>
      <xdr:colOff>12700</xdr:colOff>
      <xdr:row>7</xdr:row>
      <xdr:rowOff>215900</xdr:rowOff>
    </xdr:to>
    <xdr:sp macro="" textlink="">
      <xdr:nvSpPr>
        <xdr:cNvPr id="34" name="Left Bracket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/>
      </xdr:nvSpPr>
      <xdr:spPr>
        <a:xfrm rot="5400000">
          <a:off x="1346202" y="558803"/>
          <a:ext cx="380995" cy="1447800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</xdr:colOff>
      <xdr:row>102</xdr:row>
      <xdr:rowOff>177799</xdr:rowOff>
    </xdr:from>
    <xdr:to>
      <xdr:col>4</xdr:col>
      <xdr:colOff>3</xdr:colOff>
      <xdr:row>103</xdr:row>
      <xdr:rowOff>165100</xdr:rowOff>
    </xdr:to>
    <xdr:sp macro="" textlink="">
      <xdr:nvSpPr>
        <xdr:cNvPr id="35" name="Left Bracket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/>
      </xdr:nvSpPr>
      <xdr:spPr>
        <a:xfrm rot="16200000">
          <a:off x="1447801" y="18122899"/>
          <a:ext cx="177801" cy="1422402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203199</xdr:colOff>
      <xdr:row>6</xdr:row>
      <xdr:rowOff>12703</xdr:rowOff>
    </xdr:from>
    <xdr:to>
      <xdr:col>41</xdr:col>
      <xdr:colOff>25402</xdr:colOff>
      <xdr:row>7</xdr:row>
      <xdr:rowOff>127000</xdr:rowOff>
    </xdr:to>
    <xdr:sp macro="" textlink="">
      <xdr:nvSpPr>
        <xdr:cNvPr id="36" name="Left Bracket 35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SpPr/>
      </xdr:nvSpPr>
      <xdr:spPr>
        <a:xfrm rot="5400000">
          <a:off x="19265902" y="-990600"/>
          <a:ext cx="304797" cy="4445003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0</xdr:colOff>
      <xdr:row>6</xdr:row>
      <xdr:rowOff>25400</xdr:rowOff>
    </xdr:from>
    <xdr:to>
      <xdr:col>53</xdr:col>
      <xdr:colOff>25400</xdr:colOff>
      <xdr:row>7</xdr:row>
      <xdr:rowOff>63497</xdr:rowOff>
    </xdr:to>
    <xdr:sp macro="" textlink="">
      <xdr:nvSpPr>
        <xdr:cNvPr id="37" name="Left Bracket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/>
      </xdr:nvSpPr>
      <xdr:spPr>
        <a:xfrm rot="5400000">
          <a:off x="24955501" y="-2032001"/>
          <a:ext cx="228597" cy="6477000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266699</xdr:colOff>
      <xdr:row>6</xdr:row>
      <xdr:rowOff>1</xdr:rowOff>
    </xdr:from>
    <xdr:to>
      <xdr:col>18</xdr:col>
      <xdr:colOff>2</xdr:colOff>
      <xdr:row>7</xdr:row>
      <xdr:rowOff>63503</xdr:rowOff>
    </xdr:to>
    <xdr:sp macro="" textlink="">
      <xdr:nvSpPr>
        <xdr:cNvPr id="38" name="Left Bracket 37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SpPr/>
      </xdr:nvSpPr>
      <xdr:spPr>
        <a:xfrm rot="5400000">
          <a:off x="5854700" y="-2273300"/>
          <a:ext cx="254002" cy="6934203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215898</xdr:colOff>
      <xdr:row>6</xdr:row>
      <xdr:rowOff>12700</xdr:rowOff>
    </xdr:from>
    <xdr:to>
      <xdr:col>30</xdr:col>
      <xdr:colOff>12699</xdr:colOff>
      <xdr:row>7</xdr:row>
      <xdr:rowOff>114297</xdr:rowOff>
    </xdr:to>
    <xdr:sp macro="" textlink="">
      <xdr:nvSpPr>
        <xdr:cNvPr id="39" name="Left Bracket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 rot="5400000">
          <a:off x="12668250" y="-1924052"/>
          <a:ext cx="292097" cy="6299201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6</xdr:row>
      <xdr:rowOff>25402</xdr:rowOff>
    </xdr:from>
    <xdr:to>
      <xdr:col>31</xdr:col>
      <xdr:colOff>812800</xdr:colOff>
      <xdr:row>7</xdr:row>
      <xdr:rowOff>152399</xdr:rowOff>
    </xdr:to>
    <xdr:sp macro="" textlink="">
      <xdr:nvSpPr>
        <xdr:cNvPr id="40" name="Left Bracket 39"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SpPr/>
      </xdr:nvSpPr>
      <xdr:spPr>
        <a:xfrm rot="5400000">
          <a:off x="16414751" y="844551"/>
          <a:ext cx="317497" cy="812800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266699</xdr:colOff>
      <xdr:row>103</xdr:row>
      <xdr:rowOff>0</xdr:rowOff>
    </xdr:from>
    <xdr:to>
      <xdr:col>17</xdr:col>
      <xdr:colOff>914402</xdr:colOff>
      <xdr:row>104</xdr:row>
      <xdr:rowOff>12699</xdr:rowOff>
    </xdr:to>
    <xdr:sp macro="" textlink="">
      <xdr:nvSpPr>
        <xdr:cNvPr id="41" name="Left Bracket 40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/>
      </xdr:nvSpPr>
      <xdr:spPr>
        <a:xfrm rot="16200000">
          <a:off x="5880101" y="15392398"/>
          <a:ext cx="190499" cy="6921503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</xdr:colOff>
      <xdr:row>103</xdr:row>
      <xdr:rowOff>25403</xdr:rowOff>
    </xdr:from>
    <xdr:to>
      <xdr:col>30</xdr:col>
      <xdr:colOff>4</xdr:colOff>
      <xdr:row>103</xdr:row>
      <xdr:rowOff>165101</xdr:rowOff>
    </xdr:to>
    <xdr:sp macro="" textlink="">
      <xdr:nvSpPr>
        <xdr:cNvPr id="42" name="Left Bracket 41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SpPr/>
      </xdr:nvSpPr>
      <xdr:spPr>
        <a:xfrm rot="16200000">
          <a:off x="12738106" y="15709902"/>
          <a:ext cx="139698" cy="6286499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2</xdr:colOff>
      <xdr:row>103</xdr:row>
      <xdr:rowOff>25400</xdr:rowOff>
    </xdr:from>
    <xdr:to>
      <xdr:col>31</xdr:col>
      <xdr:colOff>800104</xdr:colOff>
      <xdr:row>103</xdr:row>
      <xdr:rowOff>165101</xdr:rowOff>
    </xdr:to>
    <xdr:sp macro="" textlink="">
      <xdr:nvSpPr>
        <xdr:cNvPr id="43" name="Left Bracket 42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SpPr/>
      </xdr:nvSpPr>
      <xdr:spPr>
        <a:xfrm rot="16200000">
          <a:off x="16497302" y="18453100"/>
          <a:ext cx="139701" cy="800102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4</xdr:colOff>
      <xdr:row>103</xdr:row>
      <xdr:rowOff>0</xdr:rowOff>
    </xdr:from>
    <xdr:to>
      <xdr:col>40</xdr:col>
      <xdr:colOff>800103</xdr:colOff>
      <xdr:row>103</xdr:row>
      <xdr:rowOff>165102</xdr:rowOff>
    </xdr:to>
    <xdr:sp macro="" textlink="">
      <xdr:nvSpPr>
        <xdr:cNvPr id="44" name="Left Bracket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/>
      </xdr:nvSpPr>
      <xdr:spPr>
        <a:xfrm rot="16200000">
          <a:off x="19316703" y="16649701"/>
          <a:ext cx="165102" cy="4381499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12704</xdr:colOff>
      <xdr:row>103</xdr:row>
      <xdr:rowOff>0</xdr:rowOff>
    </xdr:from>
    <xdr:to>
      <xdr:col>53</xdr:col>
      <xdr:colOff>3</xdr:colOff>
      <xdr:row>103</xdr:row>
      <xdr:rowOff>152401</xdr:rowOff>
    </xdr:to>
    <xdr:sp macro="" textlink="">
      <xdr:nvSpPr>
        <xdr:cNvPr id="45" name="Left Bracket 44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SpPr/>
      </xdr:nvSpPr>
      <xdr:spPr>
        <a:xfrm rot="16200000">
          <a:off x="24987253" y="15614651"/>
          <a:ext cx="152401" cy="6438899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190500</xdr:rowOff>
    </xdr:from>
    <xdr:to>
      <xdr:col>2</xdr:col>
      <xdr:colOff>38100</xdr:colOff>
      <xdr:row>8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825500" y="1435100"/>
          <a:ext cx="571500" cy="2921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age</a:t>
          </a:r>
        </a:p>
      </xdr:txBody>
    </xdr:sp>
    <xdr:clientData/>
  </xdr:twoCellAnchor>
  <xdr:twoCellAnchor>
    <xdr:from>
      <xdr:col>2</xdr:col>
      <xdr:colOff>203200</xdr:colOff>
      <xdr:row>7</xdr:row>
      <xdr:rowOff>165100</xdr:rowOff>
    </xdr:from>
    <xdr:to>
      <xdr:col>4</xdr:col>
      <xdr:colOff>12700</xdr:colOff>
      <xdr:row>8</xdr:row>
      <xdr:rowOff>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1562100" y="1409700"/>
          <a:ext cx="698500" cy="3175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cycle</a:t>
          </a:r>
        </a:p>
      </xdr:txBody>
    </xdr:sp>
    <xdr:clientData/>
  </xdr:twoCellAnchor>
  <xdr:twoCellAnchor>
    <xdr:from>
      <xdr:col>5</xdr:col>
      <xdr:colOff>0</xdr:colOff>
      <xdr:row>7</xdr:row>
      <xdr:rowOff>152400</xdr:rowOff>
    </xdr:from>
    <xdr:to>
      <xdr:col>6</xdr:col>
      <xdr:colOff>76200</xdr:colOff>
      <xdr:row>7</xdr:row>
      <xdr:rowOff>558800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2514600" y="1397000"/>
          <a:ext cx="11938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 die healthy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152400</xdr:rowOff>
    </xdr:from>
    <xdr:to>
      <xdr:col>8</xdr:col>
      <xdr:colOff>38100</xdr:colOff>
      <xdr:row>7</xdr:row>
      <xdr:rowOff>558800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3848100" y="1397000"/>
          <a:ext cx="8636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 die lf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139700</xdr:rowOff>
    </xdr:from>
    <xdr:to>
      <xdr:col>10</xdr:col>
      <xdr:colOff>0</xdr:colOff>
      <xdr:row>7</xdr:row>
      <xdr:rowOff>546100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4889500" y="1384300"/>
          <a:ext cx="495300" cy="3429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 lf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7</xdr:row>
      <xdr:rowOff>139700</xdr:rowOff>
    </xdr:from>
    <xdr:to>
      <xdr:col>12</xdr:col>
      <xdr:colOff>25400</xdr:colOff>
      <xdr:row>7</xdr:row>
      <xdr:rowOff>546100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5537200" y="1384300"/>
          <a:ext cx="838200" cy="3429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_lf_adl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</xdr:row>
      <xdr:rowOff>152400</xdr:rowOff>
    </xdr:from>
    <xdr:to>
      <xdr:col>14</xdr:col>
      <xdr:colOff>114300</xdr:colOff>
      <xdr:row>8</xdr:row>
      <xdr:rowOff>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6565900" y="1397000"/>
          <a:ext cx="7493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_lf_lymphedema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12700</xdr:colOff>
      <xdr:row>7</xdr:row>
      <xdr:rowOff>139700</xdr:rowOff>
    </xdr:from>
    <xdr:to>
      <xdr:col>16</xdr:col>
      <xdr:colOff>76200</xdr:colOff>
      <xdr:row>8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7429500" y="1384300"/>
          <a:ext cx="8001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</a:t>
          </a:r>
          <a:r>
            <a:rPr lang="en-US" sz="1400" b="0" baseline="0">
              <a:solidFill>
                <a:schemeClr val="tx1"/>
              </a:solidFill>
            </a:rPr>
            <a:t>_lf_hydrocele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25400</xdr:colOff>
      <xdr:row>7</xdr:row>
      <xdr:rowOff>101600</xdr:rowOff>
    </xdr:from>
    <xdr:to>
      <xdr:col>18</xdr:col>
      <xdr:colOff>0</xdr:colOff>
      <xdr:row>8</xdr:row>
      <xdr:rowOff>25400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8394700" y="1346200"/>
          <a:ext cx="901700" cy="4064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p_lf_seq_death</a:t>
          </a:r>
        </a:p>
      </xdr:txBody>
    </xdr:sp>
    <xdr:clientData/>
  </xdr:twoCellAnchor>
  <xdr:twoCellAnchor>
    <xdr:from>
      <xdr:col>19</xdr:col>
      <xdr:colOff>0</xdr:colOff>
      <xdr:row>7</xdr:row>
      <xdr:rowOff>101600</xdr:rowOff>
    </xdr:from>
    <xdr:to>
      <xdr:col>20</xdr:col>
      <xdr:colOff>0</xdr:colOff>
      <xdr:row>7</xdr:row>
      <xdr:rowOff>469900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9512300" y="1346200"/>
          <a:ext cx="8255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baseline="0">
              <a:solidFill>
                <a:schemeClr val="tx1"/>
              </a:solidFill>
            </a:rPr>
            <a:t>healthy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0</xdr:colOff>
      <xdr:row>7</xdr:row>
      <xdr:rowOff>76200</xdr:rowOff>
    </xdr:from>
    <xdr:to>
      <xdr:col>21</xdr:col>
      <xdr:colOff>787400</xdr:colOff>
      <xdr:row>7</xdr:row>
      <xdr:rowOff>457200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/>
      </xdr:nvSpPr>
      <xdr:spPr>
        <a:xfrm>
          <a:off x="10553700" y="1320800"/>
          <a:ext cx="7874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lf</a:t>
          </a:r>
        </a:p>
      </xdr:txBody>
    </xdr:sp>
    <xdr:clientData/>
  </xdr:twoCellAnchor>
  <xdr:twoCellAnchor>
    <xdr:from>
      <xdr:col>23</xdr:col>
      <xdr:colOff>0</xdr:colOff>
      <xdr:row>7</xdr:row>
      <xdr:rowOff>114300</xdr:rowOff>
    </xdr:from>
    <xdr:to>
      <xdr:col>24</xdr:col>
      <xdr:colOff>0</xdr:colOff>
      <xdr:row>7</xdr:row>
      <xdr:rowOff>469900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/>
      </xdr:nvSpPr>
      <xdr:spPr>
        <a:xfrm>
          <a:off x="11595100" y="1358900"/>
          <a:ext cx="825500" cy="3556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lf_adl</a:t>
          </a:r>
        </a:p>
      </xdr:txBody>
    </xdr:sp>
    <xdr:clientData/>
  </xdr:twoCellAnchor>
  <xdr:twoCellAnchor>
    <xdr:from>
      <xdr:col>25</xdr:col>
      <xdr:colOff>0</xdr:colOff>
      <xdr:row>7</xdr:row>
      <xdr:rowOff>101600</xdr:rowOff>
    </xdr:from>
    <xdr:to>
      <xdr:col>26</xdr:col>
      <xdr:colOff>127000</xdr:colOff>
      <xdr:row>8</xdr:row>
      <xdr:rowOff>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/>
      </xdr:nvSpPr>
      <xdr:spPr>
        <a:xfrm>
          <a:off x="12636500" y="1346200"/>
          <a:ext cx="9525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baseline="0">
              <a:solidFill>
                <a:schemeClr val="tx1"/>
              </a:solidFill>
            </a:rPr>
            <a:t>hydrocele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</xdr:row>
      <xdr:rowOff>101600</xdr:rowOff>
    </xdr:from>
    <xdr:to>
      <xdr:col>28</xdr:col>
      <xdr:colOff>114300</xdr:colOff>
      <xdr:row>7</xdr:row>
      <xdr:rowOff>469900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SpPr/>
      </xdr:nvSpPr>
      <xdr:spPr>
        <a:xfrm>
          <a:off x="13677900" y="1346200"/>
          <a:ext cx="11938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lymphedema</a:t>
          </a:r>
        </a:p>
      </xdr:txBody>
    </xdr:sp>
    <xdr:clientData/>
  </xdr:twoCellAnchor>
  <xdr:twoCellAnchor>
    <xdr:from>
      <xdr:col>29</xdr:col>
      <xdr:colOff>0</xdr:colOff>
      <xdr:row>7</xdr:row>
      <xdr:rowOff>88900</xdr:rowOff>
    </xdr:from>
    <xdr:to>
      <xdr:col>30</xdr:col>
      <xdr:colOff>12700</xdr:colOff>
      <xdr:row>7</xdr:row>
      <xdr:rowOff>457200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SpPr/>
      </xdr:nvSpPr>
      <xdr:spPr>
        <a:xfrm>
          <a:off x="14973300" y="1333500"/>
          <a:ext cx="838200" cy="3683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dead</a:t>
          </a:r>
        </a:p>
      </xdr:txBody>
    </xdr:sp>
    <xdr:clientData/>
  </xdr:twoCellAnchor>
  <xdr:twoCellAnchor>
    <xdr:from>
      <xdr:col>31</xdr:col>
      <xdr:colOff>0</xdr:colOff>
      <xdr:row>7</xdr:row>
      <xdr:rowOff>114300</xdr:rowOff>
    </xdr:from>
    <xdr:to>
      <xdr:col>32</xdr:col>
      <xdr:colOff>12700</xdr:colOff>
      <xdr:row>8</xdr:row>
      <xdr:rowOff>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SpPr/>
      </xdr:nvSpPr>
      <xdr:spPr>
        <a:xfrm>
          <a:off x="16014700" y="13589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bg1"/>
              </a:solidFill>
            </a:rPr>
            <a:t>check</a:t>
          </a:r>
        </a:p>
      </xdr:txBody>
    </xdr:sp>
    <xdr:clientData/>
  </xdr:twoCellAnchor>
  <xdr:twoCellAnchor>
    <xdr:from>
      <xdr:col>33</xdr:col>
      <xdr:colOff>0</xdr:colOff>
      <xdr:row>7</xdr:row>
      <xdr:rowOff>101600</xdr:rowOff>
    </xdr:from>
    <xdr:to>
      <xdr:col>34</xdr:col>
      <xdr:colOff>38100</xdr:colOff>
      <xdr:row>7</xdr:row>
      <xdr:rowOff>444500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SpPr/>
      </xdr:nvSpPr>
      <xdr:spPr>
        <a:xfrm>
          <a:off x="17056100" y="1346200"/>
          <a:ext cx="863600" cy="3429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program</a:t>
          </a:r>
        </a:p>
      </xdr:txBody>
    </xdr:sp>
    <xdr:clientData/>
  </xdr:twoCellAnchor>
  <xdr:twoCellAnchor>
    <xdr:from>
      <xdr:col>35</xdr:col>
      <xdr:colOff>0</xdr:colOff>
      <xdr:row>7</xdr:row>
      <xdr:rowOff>127000</xdr:rowOff>
    </xdr:from>
    <xdr:to>
      <xdr:col>36</xdr:col>
      <xdr:colOff>63500</xdr:colOff>
      <xdr:row>8</xdr:row>
      <xdr:rowOff>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SpPr/>
      </xdr:nvSpPr>
      <xdr:spPr>
        <a:xfrm>
          <a:off x="18097500" y="1371600"/>
          <a:ext cx="889000" cy="3556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rx_costs</a:t>
          </a:r>
        </a:p>
      </xdr:txBody>
    </xdr:sp>
    <xdr:clientData/>
  </xdr:twoCellAnchor>
  <xdr:twoCellAnchor>
    <xdr:from>
      <xdr:col>37</xdr:col>
      <xdr:colOff>0</xdr:colOff>
      <xdr:row>7</xdr:row>
      <xdr:rowOff>127000</xdr:rowOff>
    </xdr:from>
    <xdr:to>
      <xdr:col>37</xdr:col>
      <xdr:colOff>800100</xdr:colOff>
      <xdr:row>7</xdr:row>
      <xdr:rowOff>457200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19138900" y="13716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prod</a:t>
          </a:r>
        </a:p>
      </xdr:txBody>
    </xdr:sp>
    <xdr:clientData/>
  </xdr:twoCellAnchor>
  <xdr:twoCellAnchor>
    <xdr:from>
      <xdr:col>40</xdr:col>
      <xdr:colOff>0</xdr:colOff>
      <xdr:row>7</xdr:row>
      <xdr:rowOff>88900</xdr:rowOff>
    </xdr:from>
    <xdr:to>
      <xdr:col>41</xdr:col>
      <xdr:colOff>12700</xdr:colOff>
      <xdr:row>7</xdr:row>
      <xdr:rowOff>457200</xdr:rowOff>
    </xdr:to>
    <xdr:sp macro="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SpPr/>
      </xdr:nvSpPr>
      <xdr:spPr>
        <a:xfrm>
          <a:off x="20396200" y="13335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42</xdr:col>
      <xdr:colOff>12700</xdr:colOff>
      <xdr:row>7</xdr:row>
      <xdr:rowOff>152400</xdr:rowOff>
    </xdr:from>
    <xdr:to>
      <xdr:col>42</xdr:col>
      <xdr:colOff>812800</xdr:colOff>
      <xdr:row>8</xdr:row>
      <xdr:rowOff>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SpPr/>
      </xdr:nvSpPr>
      <xdr:spPr>
        <a:xfrm>
          <a:off x="21450300" y="13970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healthy</a:t>
          </a:r>
        </a:p>
      </xdr:txBody>
    </xdr:sp>
    <xdr:clientData/>
  </xdr:twoCellAnchor>
  <xdr:twoCellAnchor>
    <xdr:from>
      <xdr:col>44</xdr:col>
      <xdr:colOff>0</xdr:colOff>
      <xdr:row>7</xdr:row>
      <xdr:rowOff>139700</xdr:rowOff>
    </xdr:from>
    <xdr:to>
      <xdr:col>44</xdr:col>
      <xdr:colOff>800100</xdr:colOff>
      <xdr:row>7</xdr:row>
      <xdr:rowOff>469900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SpPr/>
      </xdr:nvSpPr>
      <xdr:spPr>
        <a:xfrm>
          <a:off x="22479000" y="13843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lf</a:t>
          </a:r>
        </a:p>
      </xdr:txBody>
    </xdr:sp>
    <xdr:clientData/>
  </xdr:twoCellAnchor>
  <xdr:twoCellAnchor>
    <xdr:from>
      <xdr:col>46</xdr:col>
      <xdr:colOff>0</xdr:colOff>
      <xdr:row>7</xdr:row>
      <xdr:rowOff>127000</xdr:rowOff>
    </xdr:from>
    <xdr:to>
      <xdr:col>46</xdr:col>
      <xdr:colOff>800100</xdr:colOff>
      <xdr:row>7</xdr:row>
      <xdr:rowOff>457200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23520400" y="1371600"/>
          <a:ext cx="8001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adl</a:t>
          </a:r>
        </a:p>
      </xdr:txBody>
    </xdr:sp>
    <xdr:clientData/>
  </xdr:twoCellAnchor>
  <xdr:twoCellAnchor>
    <xdr:from>
      <xdr:col>47</xdr:col>
      <xdr:colOff>203200</xdr:colOff>
      <xdr:row>7</xdr:row>
      <xdr:rowOff>139700</xdr:rowOff>
    </xdr:from>
    <xdr:to>
      <xdr:col>48</xdr:col>
      <xdr:colOff>1219200</xdr:colOff>
      <xdr:row>7</xdr:row>
      <xdr:rowOff>469900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SpPr/>
      </xdr:nvSpPr>
      <xdr:spPr>
        <a:xfrm>
          <a:off x="24549100" y="1384300"/>
          <a:ext cx="1231900" cy="3302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lymphedema</a:t>
          </a:r>
        </a:p>
      </xdr:txBody>
    </xdr:sp>
    <xdr:clientData/>
  </xdr:twoCellAnchor>
  <xdr:twoCellAnchor>
    <xdr:from>
      <xdr:col>50</xdr:col>
      <xdr:colOff>0</xdr:colOff>
      <xdr:row>7</xdr:row>
      <xdr:rowOff>101600</xdr:rowOff>
    </xdr:from>
    <xdr:to>
      <xdr:col>51</xdr:col>
      <xdr:colOff>127000</xdr:colOff>
      <xdr:row>8</xdr:row>
      <xdr:rowOff>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SpPr/>
      </xdr:nvSpPr>
      <xdr:spPr>
        <a:xfrm>
          <a:off x="26022300" y="1346200"/>
          <a:ext cx="952500" cy="381000"/>
        </a:xfrm>
        <a:prstGeom prst="roundRect">
          <a:avLst/>
        </a:prstGeom>
        <a:solidFill>
          <a:schemeClr val="accent4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baseline="0">
              <a:solidFill>
                <a:schemeClr val="tx1"/>
              </a:solidFill>
            </a:rPr>
            <a:t>hydrocele</a:t>
          </a:r>
          <a:endParaRPr lang="en-US" sz="1400" b="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12700</xdr:colOff>
      <xdr:row>7</xdr:row>
      <xdr:rowOff>101600</xdr:rowOff>
    </xdr:from>
    <xdr:to>
      <xdr:col>53</xdr:col>
      <xdr:colOff>25400</xdr:colOff>
      <xdr:row>7</xdr:row>
      <xdr:rowOff>469900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SpPr/>
      </xdr:nvSpPr>
      <xdr:spPr>
        <a:xfrm>
          <a:off x="27076400" y="13462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33</xdr:col>
      <xdr:colOff>25400</xdr:colOff>
      <xdr:row>0</xdr:row>
      <xdr:rowOff>165100</xdr:rowOff>
    </xdr:from>
    <xdr:to>
      <xdr:col>35</xdr:col>
      <xdr:colOff>685800</xdr:colOff>
      <xdr:row>3</xdr:row>
      <xdr:rowOff>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SpPr/>
      </xdr:nvSpPr>
      <xdr:spPr>
        <a:xfrm>
          <a:off x="17081500" y="165100"/>
          <a:ext cx="17018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program</a:t>
          </a:r>
          <a:r>
            <a:rPr lang="en-US" sz="1400" b="1" baseline="0">
              <a:solidFill>
                <a:schemeClr val="bg1"/>
              </a:solidFill>
            </a:rPr>
            <a:t> costs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42</xdr:col>
      <xdr:colOff>25400</xdr:colOff>
      <xdr:row>1</xdr:row>
      <xdr:rowOff>12700</xdr:rowOff>
    </xdr:from>
    <xdr:to>
      <xdr:col>43</xdr:col>
      <xdr:colOff>38100</xdr:colOff>
      <xdr:row>3</xdr:row>
      <xdr:rowOff>25400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SpPr/>
      </xdr:nvSpPr>
      <xdr:spPr>
        <a:xfrm>
          <a:off x="21463000" y="190500"/>
          <a:ext cx="8382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qalys</a:t>
          </a:r>
        </a:p>
      </xdr:txBody>
    </xdr:sp>
    <xdr:clientData/>
  </xdr:twoCellAnchor>
  <xdr:twoCellAnchor>
    <xdr:from>
      <xdr:col>19</xdr:col>
      <xdr:colOff>25400</xdr:colOff>
      <xdr:row>1</xdr:row>
      <xdr:rowOff>25400</xdr:rowOff>
    </xdr:from>
    <xdr:to>
      <xdr:col>23</xdr:col>
      <xdr:colOff>787400</xdr:colOff>
      <xdr:row>3</xdr:row>
      <xdr:rowOff>38100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SpPr/>
      </xdr:nvSpPr>
      <xdr:spPr>
        <a:xfrm>
          <a:off x="9537700" y="203200"/>
          <a:ext cx="28448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health</a:t>
          </a:r>
          <a:r>
            <a:rPr lang="en-US" sz="1400" b="1" baseline="0">
              <a:solidFill>
                <a:schemeClr val="bg1"/>
              </a:solidFill>
            </a:rPr>
            <a:t> state distributions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12700</xdr:colOff>
      <xdr:row>1</xdr:row>
      <xdr:rowOff>12700</xdr:rowOff>
    </xdr:from>
    <xdr:to>
      <xdr:col>9</xdr:col>
      <xdr:colOff>241300</xdr:colOff>
      <xdr:row>3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SpPr/>
      </xdr:nvSpPr>
      <xdr:spPr>
        <a:xfrm>
          <a:off x="2527300" y="190500"/>
          <a:ext cx="2603500" cy="368300"/>
        </a:xfrm>
        <a:prstGeom prst="roundRect">
          <a:avLst/>
        </a:prstGeom>
        <a:solidFill>
          <a:schemeClr val="tx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time</a:t>
          </a:r>
          <a:r>
            <a:rPr lang="en-US" sz="1400" b="1" baseline="0">
              <a:solidFill>
                <a:schemeClr val="bg1"/>
              </a:solidFill>
            </a:rPr>
            <a:t> dependent variables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25400</xdr:colOff>
      <xdr:row>3</xdr:row>
      <xdr:rowOff>127000</xdr:rowOff>
    </xdr:from>
    <xdr:to>
      <xdr:col>6</xdr:col>
      <xdr:colOff>88900</xdr:colOff>
      <xdr:row>5</xdr:row>
      <xdr:rowOff>139700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SpPr/>
      </xdr:nvSpPr>
      <xdr:spPr>
        <a:xfrm>
          <a:off x="2540000" y="660400"/>
          <a:ext cx="1181100" cy="368300"/>
        </a:xfrm>
        <a:prstGeom prst="roundRect">
          <a:avLst/>
        </a:prstGeom>
        <a:solidFill>
          <a:schemeClr val="bg2">
            <a:lumMod val="90000"/>
          </a:schemeClr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probabilities</a:t>
          </a:r>
        </a:p>
      </xdr:txBody>
    </xdr:sp>
    <xdr:clientData/>
  </xdr:twoCellAnchor>
  <xdr:twoCellAnchor>
    <xdr:from>
      <xdr:col>19</xdr:col>
      <xdr:colOff>25400</xdr:colOff>
      <xdr:row>3</xdr:row>
      <xdr:rowOff>114300</xdr:rowOff>
    </xdr:from>
    <xdr:to>
      <xdr:col>21</xdr:col>
      <xdr:colOff>165100</xdr:colOff>
      <xdr:row>5</xdr:row>
      <xdr:rowOff>127000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SpPr/>
      </xdr:nvSpPr>
      <xdr:spPr>
        <a:xfrm>
          <a:off x="9537700" y="647700"/>
          <a:ext cx="1181100" cy="368300"/>
        </a:xfrm>
        <a:prstGeom prst="roundRect">
          <a:avLst/>
        </a:prstGeom>
        <a:solidFill>
          <a:schemeClr val="bg2">
            <a:lumMod val="90000"/>
          </a:schemeClr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>
              <a:solidFill>
                <a:schemeClr val="tx1"/>
              </a:solidFill>
            </a:rPr>
            <a:t>population</a:t>
          </a:r>
        </a:p>
      </xdr:txBody>
    </xdr:sp>
    <xdr:clientData/>
  </xdr:twoCellAnchor>
  <xdr:twoCellAnchor>
    <xdr:from>
      <xdr:col>0</xdr:col>
      <xdr:colOff>812800</xdr:colOff>
      <xdr:row>6</xdr:row>
      <xdr:rowOff>25405</xdr:rowOff>
    </xdr:from>
    <xdr:to>
      <xdr:col>4</xdr:col>
      <xdr:colOff>12700</xdr:colOff>
      <xdr:row>7</xdr:row>
      <xdr:rowOff>215900</xdr:rowOff>
    </xdr:to>
    <xdr:sp macro="" textlink="">
      <xdr:nvSpPr>
        <xdr:cNvPr id="34" name="Left Bracket 33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/>
      </xdr:nvSpPr>
      <xdr:spPr>
        <a:xfrm rot="5400000">
          <a:off x="1352552" y="552453"/>
          <a:ext cx="368295" cy="1447800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</xdr:colOff>
      <xdr:row>102</xdr:row>
      <xdr:rowOff>177799</xdr:rowOff>
    </xdr:from>
    <xdr:to>
      <xdr:col>4</xdr:col>
      <xdr:colOff>3</xdr:colOff>
      <xdr:row>103</xdr:row>
      <xdr:rowOff>165100</xdr:rowOff>
    </xdr:to>
    <xdr:sp macro="" textlink="">
      <xdr:nvSpPr>
        <xdr:cNvPr id="35" name="Left Bracket 34"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SpPr/>
      </xdr:nvSpPr>
      <xdr:spPr>
        <a:xfrm rot="16200000">
          <a:off x="1447801" y="18008599"/>
          <a:ext cx="177801" cy="1422402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203199</xdr:colOff>
      <xdr:row>6</xdr:row>
      <xdr:rowOff>12703</xdr:rowOff>
    </xdr:from>
    <xdr:to>
      <xdr:col>41</xdr:col>
      <xdr:colOff>25402</xdr:colOff>
      <xdr:row>7</xdr:row>
      <xdr:rowOff>127000</xdr:rowOff>
    </xdr:to>
    <xdr:sp macro="" textlink="">
      <xdr:nvSpPr>
        <xdr:cNvPr id="36" name="Left Bracket 3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SpPr/>
      </xdr:nvSpPr>
      <xdr:spPr>
        <a:xfrm rot="5400000">
          <a:off x="18999202" y="-876300"/>
          <a:ext cx="292097" cy="4203703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0</xdr:colOff>
      <xdr:row>6</xdr:row>
      <xdr:rowOff>25400</xdr:rowOff>
    </xdr:from>
    <xdr:to>
      <xdr:col>53</xdr:col>
      <xdr:colOff>25400</xdr:colOff>
      <xdr:row>7</xdr:row>
      <xdr:rowOff>63497</xdr:rowOff>
    </xdr:to>
    <xdr:sp macro="" textlink="">
      <xdr:nvSpPr>
        <xdr:cNvPr id="37" name="Left Bracket 36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SpPr/>
      </xdr:nvSpPr>
      <xdr:spPr>
        <a:xfrm rot="5400000">
          <a:off x="24568151" y="-2038351"/>
          <a:ext cx="215897" cy="6477000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266699</xdr:colOff>
      <xdr:row>6</xdr:row>
      <xdr:rowOff>1</xdr:rowOff>
    </xdr:from>
    <xdr:to>
      <xdr:col>18</xdr:col>
      <xdr:colOff>2</xdr:colOff>
      <xdr:row>7</xdr:row>
      <xdr:rowOff>63503</xdr:rowOff>
    </xdr:to>
    <xdr:sp macro="" textlink="">
      <xdr:nvSpPr>
        <xdr:cNvPr id="38" name="Left Bracket 37"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SpPr/>
      </xdr:nvSpPr>
      <xdr:spPr>
        <a:xfrm rot="5400000">
          <a:off x="5784850" y="-2203450"/>
          <a:ext cx="241302" cy="6781803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215898</xdr:colOff>
      <xdr:row>6</xdr:row>
      <xdr:rowOff>12700</xdr:rowOff>
    </xdr:from>
    <xdr:to>
      <xdr:col>30</xdr:col>
      <xdr:colOff>12699</xdr:colOff>
      <xdr:row>7</xdr:row>
      <xdr:rowOff>114297</xdr:rowOff>
    </xdr:to>
    <xdr:sp macro="" textlink="">
      <xdr:nvSpPr>
        <xdr:cNvPr id="39" name="Left Bracket 38"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SpPr/>
      </xdr:nvSpPr>
      <xdr:spPr>
        <a:xfrm rot="5400000">
          <a:off x="12522200" y="-1930402"/>
          <a:ext cx="279397" cy="6299201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6</xdr:row>
      <xdr:rowOff>25402</xdr:rowOff>
    </xdr:from>
    <xdr:to>
      <xdr:col>31</xdr:col>
      <xdr:colOff>812800</xdr:colOff>
      <xdr:row>7</xdr:row>
      <xdr:rowOff>152399</xdr:rowOff>
    </xdr:to>
    <xdr:sp macro="" textlink="">
      <xdr:nvSpPr>
        <xdr:cNvPr id="40" name="Left Bracket 39"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SpPr/>
      </xdr:nvSpPr>
      <xdr:spPr>
        <a:xfrm rot="5400000">
          <a:off x="16268701" y="838201"/>
          <a:ext cx="304797" cy="812800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266699</xdr:colOff>
      <xdr:row>103</xdr:row>
      <xdr:rowOff>0</xdr:rowOff>
    </xdr:from>
    <xdr:to>
      <xdr:col>17</xdr:col>
      <xdr:colOff>914402</xdr:colOff>
      <xdr:row>104</xdr:row>
      <xdr:rowOff>12699</xdr:rowOff>
    </xdr:to>
    <xdr:sp macro="" textlink="">
      <xdr:nvSpPr>
        <xdr:cNvPr id="41" name="Left Bracket 40"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SpPr/>
      </xdr:nvSpPr>
      <xdr:spPr>
        <a:xfrm rot="16200000">
          <a:off x="5803901" y="15354298"/>
          <a:ext cx="190499" cy="6769103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</xdr:colOff>
      <xdr:row>103</xdr:row>
      <xdr:rowOff>25403</xdr:rowOff>
    </xdr:from>
    <xdr:to>
      <xdr:col>30</xdr:col>
      <xdr:colOff>4</xdr:colOff>
      <xdr:row>103</xdr:row>
      <xdr:rowOff>165101</xdr:rowOff>
    </xdr:to>
    <xdr:sp macro="" textlink="">
      <xdr:nvSpPr>
        <xdr:cNvPr id="42" name="Left Bracket 41">
          <a:extLst>
            <a:ext uri="{FF2B5EF4-FFF2-40B4-BE49-F238E27FC236}">
              <a16:creationId xmlns:a16="http://schemas.microsoft.com/office/drawing/2014/main" id="{00000000-0008-0000-1600-00002A000000}"/>
            </a:ext>
          </a:extLst>
        </xdr:cNvPr>
        <xdr:cNvSpPr/>
      </xdr:nvSpPr>
      <xdr:spPr>
        <a:xfrm rot="16200000">
          <a:off x="12585706" y="15595602"/>
          <a:ext cx="139698" cy="6286499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2</xdr:colOff>
      <xdr:row>103</xdr:row>
      <xdr:rowOff>25400</xdr:rowOff>
    </xdr:from>
    <xdr:to>
      <xdr:col>31</xdr:col>
      <xdr:colOff>800104</xdr:colOff>
      <xdr:row>103</xdr:row>
      <xdr:rowOff>165101</xdr:rowOff>
    </xdr:to>
    <xdr:sp macro="" textlink="">
      <xdr:nvSpPr>
        <xdr:cNvPr id="43" name="Left Bracket 42">
          <a:extLst>
            <a:ext uri="{FF2B5EF4-FFF2-40B4-BE49-F238E27FC236}">
              <a16:creationId xmlns:a16="http://schemas.microsoft.com/office/drawing/2014/main" id="{00000000-0008-0000-1600-00002B000000}"/>
            </a:ext>
          </a:extLst>
        </xdr:cNvPr>
        <xdr:cNvSpPr/>
      </xdr:nvSpPr>
      <xdr:spPr>
        <a:xfrm rot="16200000">
          <a:off x="16344902" y="18338800"/>
          <a:ext cx="139701" cy="800102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4</xdr:colOff>
      <xdr:row>103</xdr:row>
      <xdr:rowOff>0</xdr:rowOff>
    </xdr:from>
    <xdr:to>
      <xdr:col>40</xdr:col>
      <xdr:colOff>800103</xdr:colOff>
      <xdr:row>103</xdr:row>
      <xdr:rowOff>165102</xdr:rowOff>
    </xdr:to>
    <xdr:sp macro="" textlink="">
      <xdr:nvSpPr>
        <xdr:cNvPr id="44" name="Left Bracket 43"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SpPr/>
      </xdr:nvSpPr>
      <xdr:spPr>
        <a:xfrm rot="16200000">
          <a:off x="19043653" y="16656051"/>
          <a:ext cx="165102" cy="4140199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12704</xdr:colOff>
      <xdr:row>103</xdr:row>
      <xdr:rowOff>0</xdr:rowOff>
    </xdr:from>
    <xdr:to>
      <xdr:col>53</xdr:col>
      <xdr:colOff>3</xdr:colOff>
      <xdr:row>103</xdr:row>
      <xdr:rowOff>152401</xdr:rowOff>
    </xdr:to>
    <xdr:sp macro="" textlink="">
      <xdr:nvSpPr>
        <xdr:cNvPr id="45" name="Left Bracket 44"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SpPr/>
      </xdr:nvSpPr>
      <xdr:spPr>
        <a:xfrm rot="16200000">
          <a:off x="24593553" y="15500351"/>
          <a:ext cx="152401" cy="6438899"/>
        </a:xfrm>
        <a:prstGeom prst="leftBracket">
          <a:avLst>
            <a:gd name="adj" fmla="val 44953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ierra%20Leone%20Costing%20Tool%20LF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obiero/Downloads/SL%20Costing%20Tool%20LF%20Updated_2-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sults"/>
      <sheetName val="Sheet3"/>
      <sheetName val="Inputs"/>
      <sheetName val="Country details"/>
      <sheetName val="NTD Population"/>
      <sheetName val="Personnel"/>
      <sheetName val="Capital Costs"/>
      <sheetName val="Consumables"/>
      <sheetName val="Operations"/>
      <sheetName val="Meetings"/>
      <sheetName val="Summary"/>
      <sheetName val="Cost per Infection"/>
      <sheetName val="NTD Prevalence"/>
      <sheetName val="Survival curves"/>
      <sheetName val="Other Interventions"/>
      <sheetName val=" SIR LF"/>
      <sheetName val="Lifetables"/>
      <sheetName val="Life_Years_Elimination"/>
      <sheetName val="Life_Years_No_Elimination"/>
      <sheetName val="Summary Results"/>
      <sheetName val="Uncertainty Analyses"/>
      <sheetName val="Mortality"/>
      <sheetName val="Bootstrap Uncertainty"/>
      <sheetName val="Markov Model Parameters"/>
      <sheetName val="Markov_Program"/>
      <sheetName val="Markov_No_Program"/>
      <sheetName val="Probabilistic S.A."/>
      <sheetName val="World_Data"/>
    </sheetNames>
    <sheetDataSet>
      <sheetData sheetId="0"/>
      <sheetData sheetId="1"/>
      <sheetData sheetId="2"/>
      <sheetData sheetId="3"/>
      <sheetData sheetId="4">
        <row r="6">
          <cell r="C6">
            <v>10000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4">
          <cell r="A4" t="str">
            <v>World</v>
          </cell>
          <cell r="W4" t="str">
            <v>IMF</v>
          </cell>
          <cell r="Z4"/>
        </row>
        <row r="5">
          <cell r="A5" t="str">
            <v>WorldLessUSA</v>
          </cell>
          <cell r="W5"/>
          <cell r="Z5"/>
        </row>
        <row r="6">
          <cell r="A6" t="str">
            <v>NorthAmerica</v>
          </cell>
          <cell r="W6"/>
          <cell r="Z6"/>
        </row>
        <row r="7">
          <cell r="A7" t="str">
            <v>Canada</v>
          </cell>
          <cell r="W7" t="str">
            <v>Dollar</v>
          </cell>
          <cell r="Z7">
            <v>0.9</v>
          </cell>
        </row>
        <row r="8">
          <cell r="A8" t="str">
            <v>UnitedStates</v>
          </cell>
          <cell r="W8" t="str">
            <v>Dollar</v>
          </cell>
          <cell r="Z8">
            <v>0.71</v>
          </cell>
        </row>
        <row r="9">
          <cell r="A9" t="str">
            <v>LatinAmerica</v>
          </cell>
          <cell r="W9"/>
          <cell r="Z9"/>
        </row>
        <row r="10">
          <cell r="A10" t="str">
            <v>Cuba</v>
          </cell>
          <cell r="W10" t="str">
            <v>Dollar*</v>
          </cell>
          <cell r="Z10">
            <v>0.06</v>
          </cell>
        </row>
        <row r="11">
          <cell r="A11" t="str">
            <v>Mexico</v>
          </cell>
          <cell r="W11" t="str">
            <v>Peso</v>
          </cell>
          <cell r="Z11">
            <v>1.23</v>
          </cell>
        </row>
        <row r="12">
          <cell r="A12" t="str">
            <v>OtherCaribbeanCentralAmerica</v>
          </cell>
          <cell r="W12"/>
          <cell r="Z12"/>
        </row>
        <row r="13">
          <cell r="A13" t="str">
            <v>AntiguaBarbuda</v>
          </cell>
          <cell r="W13" t="str">
            <v>Dollar</v>
          </cell>
          <cell r="Z13">
            <v>1.01</v>
          </cell>
        </row>
        <row r="14">
          <cell r="A14" t="str">
            <v>Bahamas</v>
          </cell>
          <cell r="W14" t="str">
            <v>Dollar</v>
          </cell>
          <cell r="Z14">
            <v>1.01</v>
          </cell>
        </row>
        <row r="15">
          <cell r="A15" t="str">
            <v>Barbados</v>
          </cell>
          <cell r="W15" t="str">
            <v>Dollar</v>
          </cell>
          <cell r="Z15">
            <v>0.24</v>
          </cell>
        </row>
        <row r="16">
          <cell r="A16" t="str">
            <v>Belize</v>
          </cell>
          <cell r="W16" t="str">
            <v>Dollar</v>
          </cell>
          <cell r="Z16">
            <v>2.0499999999999998</v>
          </cell>
        </row>
        <row r="17">
          <cell r="A17" t="str">
            <v>CostaRica</v>
          </cell>
          <cell r="W17" t="str">
            <v>Colon</v>
          </cell>
          <cell r="Z17">
            <v>0.96</v>
          </cell>
        </row>
        <row r="18">
          <cell r="A18" t="str">
            <v>Dominica</v>
          </cell>
          <cell r="W18" t="str">
            <v>Dollar</v>
          </cell>
          <cell r="Z18">
            <v>0.51</v>
          </cell>
        </row>
        <row r="19">
          <cell r="A19" t="str">
            <v>DominicanRep</v>
          </cell>
          <cell r="W19" t="str">
            <v>Peso</v>
          </cell>
          <cell r="Z19">
            <v>1.07</v>
          </cell>
        </row>
        <row r="20">
          <cell r="A20" t="str">
            <v>ElSalvador</v>
          </cell>
          <cell r="W20" t="str">
            <v>Colon</v>
          </cell>
          <cell r="Z20">
            <v>0.52</v>
          </cell>
        </row>
        <row r="21">
          <cell r="A21" t="str">
            <v>Grenada</v>
          </cell>
          <cell r="W21" t="str">
            <v>Dollar</v>
          </cell>
          <cell r="Z21">
            <v>0.46</v>
          </cell>
        </row>
        <row r="22">
          <cell r="A22" t="str">
            <v>Guatemala</v>
          </cell>
          <cell r="W22" t="str">
            <v>Quetzal</v>
          </cell>
          <cell r="Z22">
            <v>1.94</v>
          </cell>
        </row>
        <row r="23">
          <cell r="A23" t="str">
            <v>Haiti</v>
          </cell>
          <cell r="W23" t="str">
            <v>Gourde</v>
          </cell>
          <cell r="Z23">
            <v>1.2</v>
          </cell>
        </row>
        <row r="24">
          <cell r="A24" t="str">
            <v>Honduras</v>
          </cell>
          <cell r="W24" t="str">
            <v>Lempira</v>
          </cell>
          <cell r="Z24">
            <v>1.63</v>
          </cell>
        </row>
        <row r="25">
          <cell r="A25" t="str">
            <v>Jamaica</v>
          </cell>
          <cell r="W25" t="str">
            <v>Dollar</v>
          </cell>
          <cell r="Z25">
            <v>0.28999999999999998</v>
          </cell>
        </row>
        <row r="26">
          <cell r="A26" t="str">
            <v>Nicaragua</v>
          </cell>
          <cell r="W26" t="str">
            <v>Cordoba</v>
          </cell>
          <cell r="Z26">
            <v>1.07</v>
          </cell>
        </row>
        <row r="27">
          <cell r="A27" t="str">
            <v>Panama</v>
          </cell>
          <cell r="W27" t="str">
            <v>Dollar</v>
          </cell>
          <cell r="Z27">
            <v>1.55</v>
          </cell>
        </row>
        <row r="28">
          <cell r="A28" t="str">
            <v>PuertoRico</v>
          </cell>
          <cell r="W28" t="str">
            <v>Dollar</v>
          </cell>
          <cell r="Z28">
            <v>0.71</v>
          </cell>
        </row>
        <row r="29">
          <cell r="A29" t="str">
            <v>StKittsNevis</v>
          </cell>
          <cell r="W29" t="str">
            <v>Dollar</v>
          </cell>
          <cell r="Z29">
            <v>0.91</v>
          </cell>
        </row>
        <row r="30">
          <cell r="A30" t="str">
            <v>StLucia</v>
          </cell>
          <cell r="W30" t="str">
            <v>Dollar</v>
          </cell>
          <cell r="Z30">
            <v>0.45</v>
          </cell>
        </row>
        <row r="31">
          <cell r="A31" t="str">
            <v>StVincentGrenadines</v>
          </cell>
          <cell r="W31" t="str">
            <v>Dollar</v>
          </cell>
          <cell r="Z31">
            <v>0.24</v>
          </cell>
        </row>
        <row r="32">
          <cell r="A32" t="str">
            <v>TrinTobago</v>
          </cell>
          <cell r="W32" t="str">
            <v>Dollar</v>
          </cell>
          <cell r="Z32">
            <v>0.26</v>
          </cell>
        </row>
        <row r="33">
          <cell r="A33" t="str">
            <v>SouthAmerica</v>
          </cell>
          <cell r="W33"/>
          <cell r="Z33"/>
        </row>
        <row r="34">
          <cell r="A34" t="str">
            <v>Argentina</v>
          </cell>
          <cell r="W34" t="str">
            <v>Peso</v>
          </cell>
          <cell r="Z34">
            <v>0.94</v>
          </cell>
        </row>
        <row r="35">
          <cell r="A35" t="str">
            <v>Brazil</v>
          </cell>
          <cell r="W35" t="str">
            <v>Real</v>
          </cell>
          <cell r="Z35">
            <v>0.75</v>
          </cell>
        </row>
        <row r="36">
          <cell r="A36" t="str">
            <v>OtherSouthAmerica</v>
          </cell>
          <cell r="W36"/>
          <cell r="Z36"/>
        </row>
        <row r="37">
          <cell r="A37" t="str">
            <v>Bolivia</v>
          </cell>
          <cell r="W37" t="str">
            <v>Boliviano</v>
          </cell>
          <cell r="Z37">
            <v>1.47</v>
          </cell>
        </row>
        <row r="38">
          <cell r="A38" t="str">
            <v>Chile</v>
          </cell>
          <cell r="W38" t="str">
            <v>Peso</v>
          </cell>
          <cell r="Z38"/>
        </row>
        <row r="39">
          <cell r="A39" t="str">
            <v>Colombia</v>
          </cell>
          <cell r="W39" t="str">
            <v>Peso</v>
          </cell>
          <cell r="Z39"/>
        </row>
        <row r="40">
          <cell r="A40" t="str">
            <v>Ecuador</v>
          </cell>
          <cell r="W40" t="str">
            <v>Dollar</v>
          </cell>
          <cell r="Z40"/>
        </row>
        <row r="41">
          <cell r="A41" t="str">
            <v>Guyana</v>
          </cell>
          <cell r="W41" t="str">
            <v>Dollar</v>
          </cell>
          <cell r="Z41"/>
        </row>
        <row r="42">
          <cell r="A42" t="str">
            <v>Paraguay</v>
          </cell>
          <cell r="W42" t="str">
            <v>Guarani</v>
          </cell>
          <cell r="Z42"/>
        </row>
        <row r="43">
          <cell r="A43" t="str">
            <v>Peru</v>
          </cell>
          <cell r="W43" t="str">
            <v>Sol</v>
          </cell>
          <cell r="Z43"/>
        </row>
        <row r="44">
          <cell r="A44" t="str">
            <v>Suriname</v>
          </cell>
          <cell r="W44" t="str">
            <v>Dollar</v>
          </cell>
          <cell r="Z44"/>
        </row>
        <row r="45">
          <cell r="A45" t="str">
            <v>Uruguay</v>
          </cell>
          <cell r="W45" t="str">
            <v>Peso</v>
          </cell>
          <cell r="Z45"/>
        </row>
        <row r="46">
          <cell r="A46" t="str">
            <v>Venezuela</v>
          </cell>
          <cell r="W46" t="str">
            <v>Bolivar Fuerte</v>
          </cell>
          <cell r="Z46"/>
        </row>
        <row r="47">
          <cell r="A47" t="str">
            <v>Europe</v>
          </cell>
          <cell r="W47"/>
          <cell r="Z47"/>
        </row>
        <row r="48">
          <cell r="A48" t="str">
            <v>EuropeanUnion28</v>
          </cell>
          <cell r="W48"/>
          <cell r="Z48"/>
        </row>
        <row r="49">
          <cell r="A49" t="str">
            <v>EuroZone</v>
          </cell>
          <cell r="W49"/>
          <cell r="Z49"/>
        </row>
        <row r="50">
          <cell r="A50" t="str">
            <v>EuropeanUnion15</v>
          </cell>
          <cell r="W50"/>
          <cell r="Z50"/>
        </row>
        <row r="51">
          <cell r="A51" t="str">
            <v>BelgiumLuxembourg</v>
          </cell>
          <cell r="W51"/>
          <cell r="Z51"/>
        </row>
        <row r="52">
          <cell r="A52" t="str">
            <v>Austria</v>
          </cell>
          <cell r="W52" t="str">
            <v>Euro</v>
          </cell>
          <cell r="Z52"/>
        </row>
        <row r="53">
          <cell r="A53" t="str">
            <v>Belgium</v>
          </cell>
          <cell r="W53" t="str">
            <v>Euro</v>
          </cell>
          <cell r="Z53"/>
        </row>
        <row r="54">
          <cell r="A54" t="str">
            <v>Denmark</v>
          </cell>
          <cell r="W54" t="str">
            <v>Euro</v>
          </cell>
          <cell r="Z54"/>
        </row>
        <row r="55">
          <cell r="A55" t="str">
            <v>Finland</v>
          </cell>
          <cell r="W55" t="str">
            <v>Euro</v>
          </cell>
          <cell r="Z55"/>
        </row>
        <row r="56">
          <cell r="A56" t="str">
            <v>France</v>
          </cell>
          <cell r="W56" t="str">
            <v>Euro</v>
          </cell>
          <cell r="Z56"/>
        </row>
        <row r="57">
          <cell r="A57" t="str">
            <v>Germany</v>
          </cell>
          <cell r="W57" t="str">
            <v>Euro</v>
          </cell>
          <cell r="Z57"/>
        </row>
        <row r="58">
          <cell r="A58" t="str">
            <v>Greece</v>
          </cell>
          <cell r="W58" t="str">
            <v>Euro</v>
          </cell>
          <cell r="Z58"/>
        </row>
        <row r="59">
          <cell r="A59" t="str">
            <v>Ireland</v>
          </cell>
          <cell r="W59" t="str">
            <v>Euro</v>
          </cell>
          <cell r="Z59"/>
        </row>
        <row r="60">
          <cell r="A60" t="str">
            <v>Italy</v>
          </cell>
          <cell r="W60" t="str">
            <v>Euro</v>
          </cell>
          <cell r="Z60"/>
        </row>
        <row r="61">
          <cell r="A61" t="str">
            <v>Luxembourg</v>
          </cell>
          <cell r="W61" t="str">
            <v>Euro</v>
          </cell>
          <cell r="Z61"/>
        </row>
        <row r="62">
          <cell r="A62" t="str">
            <v>Netherlands</v>
          </cell>
          <cell r="W62" t="str">
            <v>Euro</v>
          </cell>
          <cell r="Z62"/>
        </row>
        <row r="63">
          <cell r="A63" t="str">
            <v>Portugal</v>
          </cell>
          <cell r="W63" t="str">
            <v>Euro</v>
          </cell>
          <cell r="Z63"/>
        </row>
        <row r="64">
          <cell r="A64" t="str">
            <v>Spain</v>
          </cell>
          <cell r="W64" t="str">
            <v>Euro</v>
          </cell>
          <cell r="Z64"/>
        </row>
        <row r="65">
          <cell r="A65" t="str">
            <v>Sweden</v>
          </cell>
          <cell r="W65" t="str">
            <v>Euro</v>
          </cell>
          <cell r="Z65"/>
        </row>
        <row r="66">
          <cell r="A66" t="str">
            <v>UK</v>
          </cell>
          <cell r="W66" t="str">
            <v>Euro</v>
          </cell>
          <cell r="Z66"/>
        </row>
        <row r="67">
          <cell r="A67" t="str">
            <v>RecentlyAccededCountries</v>
          </cell>
          <cell r="W67" t="str">
            <v>Euro</v>
          </cell>
          <cell r="Z67"/>
        </row>
        <row r="68">
          <cell r="A68" t="str">
            <v>Bulgaria</v>
          </cell>
          <cell r="W68" t="str">
            <v>Euro</v>
          </cell>
          <cell r="Z68"/>
        </row>
        <row r="69">
          <cell r="A69" t="str">
            <v>Croatia</v>
          </cell>
          <cell r="W69" t="str">
            <v>Euro</v>
          </cell>
          <cell r="Z69"/>
        </row>
        <row r="70">
          <cell r="A70" t="str">
            <v>Cyprus</v>
          </cell>
          <cell r="W70" t="str">
            <v>Euro</v>
          </cell>
          <cell r="Z70"/>
        </row>
        <row r="71">
          <cell r="A71" t="str">
            <v>CzechRepublic</v>
          </cell>
          <cell r="W71" t="str">
            <v>Euro</v>
          </cell>
          <cell r="Z71"/>
        </row>
        <row r="72">
          <cell r="A72" t="str">
            <v>Estonia</v>
          </cell>
          <cell r="W72" t="str">
            <v>Euro</v>
          </cell>
          <cell r="Z72"/>
        </row>
        <row r="73">
          <cell r="A73" t="str">
            <v>Hungary</v>
          </cell>
          <cell r="W73" t="str">
            <v>Euro</v>
          </cell>
          <cell r="Z73"/>
        </row>
        <row r="74">
          <cell r="A74" t="str">
            <v>Latvia</v>
          </cell>
          <cell r="W74" t="str">
            <v>Euro</v>
          </cell>
          <cell r="Z74"/>
        </row>
        <row r="75">
          <cell r="A75" t="str">
            <v>Lithuania</v>
          </cell>
          <cell r="W75" t="str">
            <v>Euro</v>
          </cell>
          <cell r="Z75"/>
        </row>
        <row r="76">
          <cell r="A76" t="str">
            <v>Malta</v>
          </cell>
          <cell r="W76" t="str">
            <v>Euro</v>
          </cell>
          <cell r="Z76"/>
        </row>
        <row r="77">
          <cell r="A77" t="str">
            <v>Poland</v>
          </cell>
          <cell r="W77" t="str">
            <v>Euro</v>
          </cell>
          <cell r="Z77"/>
        </row>
        <row r="78">
          <cell r="A78" t="str">
            <v>Romania</v>
          </cell>
          <cell r="W78" t="str">
            <v>Euro</v>
          </cell>
          <cell r="Z78"/>
        </row>
        <row r="79">
          <cell r="A79" t="str">
            <v>Slovakia</v>
          </cell>
          <cell r="W79" t="str">
            <v>Euro</v>
          </cell>
          <cell r="Z79"/>
        </row>
        <row r="80">
          <cell r="A80" t="str">
            <v>Slovenia</v>
          </cell>
          <cell r="W80" t="str">
            <v>Euro</v>
          </cell>
          <cell r="Z80"/>
        </row>
        <row r="81">
          <cell r="A81" t="str">
            <v>OtherEurope</v>
          </cell>
          <cell r="W81"/>
          <cell r="Z81"/>
        </row>
        <row r="82">
          <cell r="A82" t="str">
            <v>OtherWesternEurope</v>
          </cell>
          <cell r="W82"/>
          <cell r="Z82"/>
        </row>
        <row r="83">
          <cell r="A83" t="str">
            <v>Iceland</v>
          </cell>
          <cell r="W83" t="str">
            <v>Krona</v>
          </cell>
          <cell r="Z83"/>
        </row>
        <row r="84">
          <cell r="A84" t="str">
            <v>Norway</v>
          </cell>
          <cell r="W84" t="str">
            <v>Krone</v>
          </cell>
          <cell r="Z84"/>
        </row>
        <row r="85">
          <cell r="A85" t="str">
            <v>Switzerland</v>
          </cell>
          <cell r="W85" t="str">
            <v>Franc</v>
          </cell>
          <cell r="Z85"/>
        </row>
        <row r="86">
          <cell r="A86" t="str">
            <v>OtherCentralEurope</v>
          </cell>
          <cell r="W86"/>
          <cell r="Z86"/>
        </row>
        <row r="87">
          <cell r="A87" t="str">
            <v>Albania</v>
          </cell>
          <cell r="W87" t="str">
            <v>Lek</v>
          </cell>
          <cell r="Z87">
            <v>0.13</v>
          </cell>
        </row>
        <row r="88">
          <cell r="A88" t="str">
            <v>BosniaHerzegovina</v>
          </cell>
          <cell r="W88" t="str">
            <v>Mark</v>
          </cell>
          <cell r="Z88"/>
        </row>
        <row r="89">
          <cell r="A89" t="str">
            <v>Macedonia</v>
          </cell>
          <cell r="W89" t="str">
            <v>Denar</v>
          </cell>
          <cell r="Z89"/>
        </row>
        <row r="90">
          <cell r="A90" t="str">
            <v>Serbia</v>
          </cell>
          <cell r="W90" t="str">
            <v>Dinar</v>
          </cell>
          <cell r="Z90"/>
        </row>
        <row r="91">
          <cell r="A91" t="str">
            <v>FormerSovietUnion</v>
          </cell>
          <cell r="W91"/>
          <cell r="Z91"/>
        </row>
        <row r="92">
          <cell r="A92" t="str">
            <v>Russia</v>
          </cell>
          <cell r="W92" t="str">
            <v>Ruble</v>
          </cell>
          <cell r="Z92"/>
        </row>
        <row r="93">
          <cell r="A93" t="str">
            <v>Ukraine</v>
          </cell>
          <cell r="W93" t="str">
            <v>Hryvinia</v>
          </cell>
          <cell r="Z93"/>
        </row>
        <row r="94">
          <cell r="A94" t="str">
            <v>OtherFormerSovietUnion</v>
          </cell>
          <cell r="W94"/>
          <cell r="Z94"/>
        </row>
        <row r="95">
          <cell r="A95" t="str">
            <v>Armenia</v>
          </cell>
          <cell r="W95" t="str">
            <v>Dram</v>
          </cell>
          <cell r="Z95"/>
        </row>
        <row r="96">
          <cell r="A96" t="str">
            <v>Azerbaijan</v>
          </cell>
          <cell r="W96" t="str">
            <v>Manat</v>
          </cell>
          <cell r="Z96"/>
        </row>
        <row r="97">
          <cell r="A97" t="str">
            <v>Belarus</v>
          </cell>
          <cell r="W97" t="str">
            <v>Ruble</v>
          </cell>
          <cell r="Z97"/>
        </row>
        <row r="98">
          <cell r="A98" t="str">
            <v>Georgia</v>
          </cell>
          <cell r="W98" t="str">
            <v>Lari</v>
          </cell>
          <cell r="Z98"/>
        </row>
        <row r="99">
          <cell r="A99" t="str">
            <v>Kazakhstan</v>
          </cell>
          <cell r="W99" t="str">
            <v>Tenge</v>
          </cell>
          <cell r="Z99"/>
        </row>
        <row r="100">
          <cell r="A100" t="str">
            <v>Kyrgyzstan</v>
          </cell>
          <cell r="W100" t="str">
            <v>Som</v>
          </cell>
          <cell r="Z100"/>
        </row>
        <row r="101">
          <cell r="A101" t="str">
            <v>Moldova</v>
          </cell>
          <cell r="W101" t="str">
            <v>Leu</v>
          </cell>
          <cell r="Z101"/>
        </row>
        <row r="102">
          <cell r="A102" t="str">
            <v>Tajikistan</v>
          </cell>
          <cell r="W102" t="str">
            <v>Somoni</v>
          </cell>
          <cell r="Z102"/>
        </row>
        <row r="103">
          <cell r="A103" t="str">
            <v>Turkmenistan</v>
          </cell>
          <cell r="W103" t="str">
            <v>Manat</v>
          </cell>
          <cell r="Z103"/>
        </row>
        <row r="104">
          <cell r="A104" t="str">
            <v>Uzbekistan</v>
          </cell>
          <cell r="W104" t="str">
            <v>Som</v>
          </cell>
          <cell r="Z104"/>
        </row>
        <row r="105">
          <cell r="A105" t="str">
            <v>AsiaandOceania</v>
          </cell>
          <cell r="W105"/>
          <cell r="Z105"/>
        </row>
        <row r="106">
          <cell r="A106" t="str">
            <v>Asia</v>
          </cell>
          <cell r="W106"/>
          <cell r="Z106"/>
        </row>
        <row r="107">
          <cell r="A107" t="str">
            <v>AsiaLessJapan</v>
          </cell>
          <cell r="W107"/>
          <cell r="Z107"/>
        </row>
        <row r="108">
          <cell r="A108" t="str">
            <v>EastAsia</v>
          </cell>
          <cell r="W108"/>
          <cell r="Z108"/>
        </row>
        <row r="109">
          <cell r="A109" t="str">
            <v>EastAsiaLessJapan</v>
          </cell>
          <cell r="W109"/>
          <cell r="Z109"/>
        </row>
        <row r="110">
          <cell r="A110" t="str">
            <v>China</v>
          </cell>
          <cell r="W110" t="str">
            <v>Renminbi</v>
          </cell>
          <cell r="Z110"/>
        </row>
        <row r="111">
          <cell r="A111" t="str">
            <v>HongKong</v>
          </cell>
          <cell r="W111" t="str">
            <v>Dollar</v>
          </cell>
          <cell r="Z111"/>
        </row>
        <row r="112">
          <cell r="A112" t="str">
            <v>Japan</v>
          </cell>
          <cell r="W112" t="str">
            <v>Yen</v>
          </cell>
          <cell r="Z112"/>
        </row>
        <row r="113">
          <cell r="A113" t="str">
            <v>Korea</v>
          </cell>
          <cell r="W113" t="str">
            <v>Won</v>
          </cell>
          <cell r="Z113"/>
        </row>
        <row r="114">
          <cell r="A114" t="str">
            <v>Taiwan</v>
          </cell>
          <cell r="W114" t="str">
            <v>Dollar</v>
          </cell>
          <cell r="Z114"/>
        </row>
        <row r="115">
          <cell r="A115" t="str">
            <v>OtherEastAsia</v>
          </cell>
          <cell r="W115"/>
          <cell r="Z115"/>
        </row>
        <row r="116">
          <cell r="A116" t="str">
            <v>Macau</v>
          </cell>
          <cell r="W116" t="str">
            <v>Pataca</v>
          </cell>
          <cell r="Z116"/>
        </row>
        <row r="117">
          <cell r="A117" t="str">
            <v>Mongolia</v>
          </cell>
          <cell r="W117" t="str">
            <v>Tugrug</v>
          </cell>
          <cell r="Z117"/>
        </row>
        <row r="118">
          <cell r="A118" t="str">
            <v>SoutheastAsia</v>
          </cell>
          <cell r="W118"/>
          <cell r="Z118"/>
        </row>
        <row r="119">
          <cell r="A119" t="str">
            <v>Cambodia</v>
          </cell>
          <cell r="W119" t="str">
            <v>Riel</v>
          </cell>
          <cell r="Z119"/>
        </row>
        <row r="120">
          <cell r="A120" t="str">
            <v>Indonesia</v>
          </cell>
          <cell r="W120" t="str">
            <v>Rupiah</v>
          </cell>
          <cell r="Z120"/>
        </row>
        <row r="121">
          <cell r="A121" t="str">
            <v>Malaysia</v>
          </cell>
          <cell r="W121" t="str">
            <v>Ringgit</v>
          </cell>
          <cell r="Z121"/>
        </row>
        <row r="122">
          <cell r="A122" t="str">
            <v>Myanmar</v>
          </cell>
          <cell r="W122" t="str">
            <v>Kyat</v>
          </cell>
          <cell r="Z122"/>
        </row>
        <row r="123">
          <cell r="A123" t="str">
            <v>Philippines</v>
          </cell>
          <cell r="W123" t="str">
            <v>Peso</v>
          </cell>
          <cell r="Z123"/>
        </row>
        <row r="124">
          <cell r="A124" t="str">
            <v>Thailand</v>
          </cell>
          <cell r="W124" t="str">
            <v>Baht</v>
          </cell>
          <cell r="Z124"/>
        </row>
        <row r="125">
          <cell r="A125" t="str">
            <v>Vietnam</v>
          </cell>
          <cell r="W125" t="str">
            <v>Dong</v>
          </cell>
          <cell r="Z125"/>
        </row>
        <row r="126">
          <cell r="A126" t="str">
            <v>OtherSoutheastAsia</v>
          </cell>
          <cell r="W126"/>
          <cell r="Z126"/>
        </row>
        <row r="127">
          <cell r="A127" t="str">
            <v>Brunei</v>
          </cell>
          <cell r="W127" t="str">
            <v>Dollar</v>
          </cell>
          <cell r="Z127"/>
        </row>
        <row r="128">
          <cell r="A128" t="str">
            <v>Laos</v>
          </cell>
          <cell r="W128" t="str">
            <v>Kip</v>
          </cell>
          <cell r="Z128"/>
        </row>
        <row r="129">
          <cell r="A129" t="str">
            <v>Singapore</v>
          </cell>
          <cell r="W129" t="str">
            <v>Dollar</v>
          </cell>
          <cell r="Z129"/>
        </row>
        <row r="130">
          <cell r="A130" t="str">
            <v>SouthAsia</v>
          </cell>
          <cell r="W130"/>
          <cell r="Z130"/>
        </row>
        <row r="131">
          <cell r="A131" t="str">
            <v>Bangladesh</v>
          </cell>
          <cell r="W131" t="str">
            <v>Taka</v>
          </cell>
          <cell r="Z131"/>
        </row>
        <row r="132">
          <cell r="A132" t="str">
            <v>India</v>
          </cell>
          <cell r="W132" t="str">
            <v>Rupee</v>
          </cell>
          <cell r="Z132"/>
        </row>
        <row r="133">
          <cell r="A133" t="str">
            <v>Pakistan</v>
          </cell>
          <cell r="W133" t="str">
            <v>Rupee</v>
          </cell>
          <cell r="Z133"/>
        </row>
        <row r="134">
          <cell r="A134" t="str">
            <v>OtherSouthAsia</v>
          </cell>
          <cell r="W134"/>
          <cell r="Z134"/>
        </row>
        <row r="135">
          <cell r="A135" t="str">
            <v>Afghanistan</v>
          </cell>
          <cell r="W135" t="str">
            <v>Afghani</v>
          </cell>
          <cell r="Z135">
            <v>2.41</v>
          </cell>
        </row>
        <row r="136">
          <cell r="A136" t="str">
            <v>Bhutan</v>
          </cell>
          <cell r="W136" t="str">
            <v>Ngultrum</v>
          </cell>
          <cell r="Z136"/>
        </row>
        <row r="137">
          <cell r="A137" t="str">
            <v>Nepal</v>
          </cell>
          <cell r="W137" t="str">
            <v>Rupee</v>
          </cell>
          <cell r="Z137"/>
        </row>
        <row r="138">
          <cell r="A138" t="str">
            <v>SriLanka</v>
          </cell>
          <cell r="W138" t="str">
            <v>Rupee</v>
          </cell>
          <cell r="Z138"/>
        </row>
        <row r="139">
          <cell r="A139" t="str">
            <v>Oceania</v>
          </cell>
          <cell r="W139"/>
          <cell r="Z139"/>
        </row>
        <row r="140">
          <cell r="A140" t="str">
            <v>Australia</v>
          </cell>
          <cell r="W140" t="str">
            <v>Dollar</v>
          </cell>
          <cell r="Z140"/>
        </row>
        <row r="141">
          <cell r="A141" t="str">
            <v>NewZealand</v>
          </cell>
          <cell r="W141" t="str">
            <v>Dollar</v>
          </cell>
          <cell r="Z141"/>
        </row>
        <row r="142">
          <cell r="A142" t="str">
            <v>OtherOceania</v>
          </cell>
          <cell r="W142"/>
          <cell r="Z142"/>
        </row>
        <row r="143">
          <cell r="A143" t="str">
            <v>Fiji</v>
          </cell>
          <cell r="W143" t="str">
            <v>Dollar</v>
          </cell>
          <cell r="Z143"/>
        </row>
        <row r="144">
          <cell r="A144" t="str">
            <v>Maldives</v>
          </cell>
          <cell r="W144" t="str">
            <v>Rufiyaa</v>
          </cell>
          <cell r="Z144"/>
        </row>
        <row r="145">
          <cell r="A145" t="str">
            <v>Micronesia</v>
          </cell>
          <cell r="W145" t="str">
            <v>Dollar</v>
          </cell>
          <cell r="Z145"/>
        </row>
        <row r="146">
          <cell r="A146" t="str">
            <v>PapuaNewGuinea</v>
          </cell>
          <cell r="W146" t="str">
            <v>Kina</v>
          </cell>
          <cell r="Z146"/>
        </row>
        <row r="147">
          <cell r="A147" t="str">
            <v>Samoa</v>
          </cell>
          <cell r="W147" t="str">
            <v>Tala</v>
          </cell>
          <cell r="Z147"/>
        </row>
        <row r="148">
          <cell r="A148" t="str">
            <v>SolomonIslands</v>
          </cell>
          <cell r="W148" t="str">
            <v>Dollar</v>
          </cell>
          <cell r="Z148"/>
        </row>
        <row r="149">
          <cell r="A149" t="str">
            <v>Tonga</v>
          </cell>
          <cell r="W149" t="str">
            <v>Pa'anga</v>
          </cell>
          <cell r="Z149"/>
        </row>
        <row r="150">
          <cell r="A150" t="str">
            <v>Vanuatu</v>
          </cell>
          <cell r="W150" t="str">
            <v>Vatu</v>
          </cell>
          <cell r="Z150"/>
        </row>
        <row r="151">
          <cell r="A151" t="str">
            <v>OtherAsiaOceania</v>
          </cell>
          <cell r="W151"/>
          <cell r="Z151"/>
        </row>
        <row r="152">
          <cell r="A152" t="str">
            <v>MiddleEast</v>
          </cell>
          <cell r="W152"/>
          <cell r="Z152"/>
        </row>
        <row r="153">
          <cell r="A153" t="str">
            <v>Iran</v>
          </cell>
          <cell r="W153" t="str">
            <v>Rial</v>
          </cell>
          <cell r="Z153"/>
        </row>
        <row r="154">
          <cell r="A154" t="str">
            <v>Iraq</v>
          </cell>
          <cell r="W154" t="str">
            <v>Dinar</v>
          </cell>
          <cell r="Z154"/>
        </row>
        <row r="155">
          <cell r="A155" t="str">
            <v>SaudiArabia</v>
          </cell>
          <cell r="W155" t="str">
            <v>Riyal</v>
          </cell>
          <cell r="Z155"/>
        </row>
        <row r="156">
          <cell r="A156" t="str">
            <v>Turkey</v>
          </cell>
          <cell r="W156" t="str">
            <v>Lira</v>
          </cell>
          <cell r="Z156"/>
        </row>
        <row r="157">
          <cell r="A157" t="str">
            <v>OtherMiddleEast</v>
          </cell>
          <cell r="W157"/>
          <cell r="Z157"/>
        </row>
        <row r="158">
          <cell r="A158" t="str">
            <v>Bahrain</v>
          </cell>
          <cell r="W158" t="str">
            <v>Dinar</v>
          </cell>
          <cell r="Z158"/>
        </row>
        <row r="159">
          <cell r="A159" t="str">
            <v>Israel</v>
          </cell>
          <cell r="W159" t="str">
            <v>Shekel</v>
          </cell>
          <cell r="Z159"/>
        </row>
        <row r="160">
          <cell r="A160" t="str">
            <v>Jordan</v>
          </cell>
          <cell r="W160" t="str">
            <v>Dinar</v>
          </cell>
          <cell r="Z160"/>
        </row>
        <row r="161">
          <cell r="A161" t="str">
            <v>Kuwait</v>
          </cell>
          <cell r="W161" t="str">
            <v>Dinar</v>
          </cell>
          <cell r="Z161"/>
        </row>
        <row r="162">
          <cell r="A162" t="str">
            <v>Lebanon</v>
          </cell>
          <cell r="W162" t="str">
            <v>Pound</v>
          </cell>
          <cell r="Z162"/>
        </row>
        <row r="163">
          <cell r="A163" t="str">
            <v>Oman</v>
          </cell>
          <cell r="W163" t="str">
            <v>Rial</v>
          </cell>
          <cell r="Z163"/>
        </row>
        <row r="164">
          <cell r="A164" t="str">
            <v>Syria</v>
          </cell>
          <cell r="W164" t="str">
            <v>Pound</v>
          </cell>
          <cell r="Z164"/>
        </row>
        <row r="165">
          <cell r="A165" t="str">
            <v>UnitedArabEmirates</v>
          </cell>
          <cell r="W165" t="str">
            <v>Dirham</v>
          </cell>
          <cell r="Z165"/>
        </row>
        <row r="166">
          <cell r="A166" t="str">
            <v>WestBankGaza</v>
          </cell>
          <cell r="W166" t="str">
            <v>Shekel</v>
          </cell>
          <cell r="Z166"/>
        </row>
        <row r="167">
          <cell r="A167" t="str">
            <v>Yemen</v>
          </cell>
          <cell r="W167" t="str">
            <v>Rial</v>
          </cell>
          <cell r="Z167"/>
        </row>
        <row r="168">
          <cell r="A168" t="str">
            <v>Africa</v>
          </cell>
          <cell r="W168"/>
          <cell r="Z168"/>
        </row>
        <row r="169">
          <cell r="A169" t="str">
            <v>NorthAfrica</v>
          </cell>
          <cell r="W169"/>
          <cell r="Z169"/>
        </row>
        <row r="170">
          <cell r="A170" t="str">
            <v>Egypt</v>
          </cell>
          <cell r="W170" t="str">
            <v>Pound</v>
          </cell>
          <cell r="Z170">
            <v>1.87</v>
          </cell>
        </row>
        <row r="171">
          <cell r="A171" t="str">
            <v>Morocco</v>
          </cell>
          <cell r="W171" t="str">
            <v>Dirham</v>
          </cell>
          <cell r="Z171">
            <v>1.26</v>
          </cell>
        </row>
        <row r="172">
          <cell r="A172" t="str">
            <v>OtherNorthAfrica</v>
          </cell>
          <cell r="W172"/>
          <cell r="Z172"/>
        </row>
        <row r="173">
          <cell r="A173" t="str">
            <v>Algeria</v>
          </cell>
          <cell r="W173" t="str">
            <v>Dinar</v>
          </cell>
          <cell r="Z173">
            <v>1.67</v>
          </cell>
        </row>
        <row r="174">
          <cell r="A174" t="str">
            <v>Libya</v>
          </cell>
          <cell r="W174" t="str">
            <v>Dinar</v>
          </cell>
          <cell r="Z174">
            <v>1.33</v>
          </cell>
        </row>
        <row r="175">
          <cell r="A175" t="str">
            <v>Tunisia</v>
          </cell>
          <cell r="W175" t="str">
            <v>Dinar</v>
          </cell>
          <cell r="Z175">
            <v>1.0900000000000001</v>
          </cell>
        </row>
        <row r="176">
          <cell r="A176" t="str">
            <v>SubSaharanAfrica</v>
          </cell>
          <cell r="W176"/>
          <cell r="Z176"/>
        </row>
        <row r="177">
          <cell r="A177" t="str">
            <v>Nigeria</v>
          </cell>
          <cell r="W177" t="str">
            <v>Naira</v>
          </cell>
          <cell r="Z177">
            <v>2.58</v>
          </cell>
        </row>
        <row r="178">
          <cell r="A178" t="str">
            <v>SouthAfrica</v>
          </cell>
          <cell r="W178" t="str">
            <v>Rand</v>
          </cell>
          <cell r="Z178">
            <v>1.2</v>
          </cell>
        </row>
        <row r="179">
          <cell r="A179" t="str">
            <v>OtherWestAfricanCommunity</v>
          </cell>
          <cell r="W179"/>
          <cell r="Z179"/>
        </row>
        <row r="180">
          <cell r="A180" t="str">
            <v>Benin</v>
          </cell>
          <cell r="W180" t="str">
            <v>CFA</v>
          </cell>
          <cell r="Z180">
            <v>2.73</v>
          </cell>
        </row>
        <row r="181">
          <cell r="A181" t="str">
            <v>BurkinaFaso</v>
          </cell>
          <cell r="W181" t="str">
            <v>CFA</v>
          </cell>
          <cell r="Z181">
            <v>2.87</v>
          </cell>
        </row>
        <row r="182">
          <cell r="A182" t="str">
            <v>CaboVerde</v>
          </cell>
          <cell r="W182" t="str">
            <v>Escudo</v>
          </cell>
          <cell r="Z182">
            <v>1.25</v>
          </cell>
        </row>
        <row r="183">
          <cell r="A183" t="str">
            <v>CotedIvoire</v>
          </cell>
          <cell r="W183" t="str">
            <v>CFA</v>
          </cell>
          <cell r="Z183">
            <v>2.4900000000000002</v>
          </cell>
        </row>
        <row r="184">
          <cell r="A184" t="str">
            <v>Gambia</v>
          </cell>
          <cell r="W184" t="str">
            <v>Dalasi</v>
          </cell>
          <cell r="Z184">
            <v>2.93</v>
          </cell>
        </row>
        <row r="185">
          <cell r="A185" t="str">
            <v>Ghana</v>
          </cell>
          <cell r="W185" t="str">
            <v>Cedi</v>
          </cell>
          <cell r="Z185">
            <v>2.16</v>
          </cell>
        </row>
        <row r="186">
          <cell r="A186" t="str">
            <v>Guinea</v>
          </cell>
          <cell r="W186" t="str">
            <v>Franc</v>
          </cell>
          <cell r="Z186">
            <v>2.57</v>
          </cell>
        </row>
        <row r="187">
          <cell r="A187" t="str">
            <v>GuineaBissau</v>
          </cell>
          <cell r="W187" t="str">
            <v>CFA</v>
          </cell>
          <cell r="Z187">
            <v>2.44</v>
          </cell>
        </row>
        <row r="188">
          <cell r="A188" t="str">
            <v>Liberia</v>
          </cell>
          <cell r="W188" t="str">
            <v>Dollar</v>
          </cell>
          <cell r="Z188">
            <v>2.52</v>
          </cell>
        </row>
        <row r="189">
          <cell r="A189" t="str">
            <v>Mali</v>
          </cell>
          <cell r="W189" t="str">
            <v>CFA</v>
          </cell>
          <cell r="Z189">
            <v>2.99</v>
          </cell>
        </row>
        <row r="190">
          <cell r="A190" t="str">
            <v>Niger</v>
          </cell>
          <cell r="W190" t="str">
            <v>CFA</v>
          </cell>
          <cell r="Z190">
            <v>3.81</v>
          </cell>
        </row>
        <row r="191">
          <cell r="A191" t="str">
            <v>Senegal</v>
          </cell>
          <cell r="W191" t="str">
            <v>CFA</v>
          </cell>
          <cell r="Z191">
            <v>2.77</v>
          </cell>
        </row>
        <row r="192">
          <cell r="A192" t="str">
            <v>Sierra Leone</v>
          </cell>
          <cell r="W192" t="str">
            <v>Leone</v>
          </cell>
          <cell r="Z192">
            <v>2.12</v>
          </cell>
        </row>
        <row r="193">
          <cell r="A193" t="str">
            <v>Togo</v>
          </cell>
          <cell r="W193" t="str">
            <v>CFA</v>
          </cell>
          <cell r="Z193"/>
        </row>
        <row r="194">
          <cell r="A194" t="str">
            <v>OtherSubSaharanAfrica</v>
          </cell>
          <cell r="W194"/>
          <cell r="Z194"/>
        </row>
        <row r="195">
          <cell r="A195" t="str">
            <v>Angola</v>
          </cell>
          <cell r="W195" t="str">
            <v>Kwanza</v>
          </cell>
          <cell r="Z195">
            <v>3.28</v>
          </cell>
        </row>
        <row r="196">
          <cell r="A196" t="str">
            <v>Botswana</v>
          </cell>
          <cell r="W196" t="str">
            <v>Pula</v>
          </cell>
          <cell r="Z196">
            <v>1.79</v>
          </cell>
        </row>
        <row r="197">
          <cell r="A197" t="str">
            <v>Burundi</v>
          </cell>
          <cell r="W197" t="str">
            <v>Franc</v>
          </cell>
          <cell r="Z197">
            <v>3.15</v>
          </cell>
        </row>
        <row r="198">
          <cell r="A198" t="str">
            <v>Cameroon</v>
          </cell>
          <cell r="W198" t="str">
            <v>CFA</v>
          </cell>
          <cell r="Z198">
            <v>2.56</v>
          </cell>
        </row>
        <row r="199">
          <cell r="A199" t="str">
            <v>Central Afr Rep</v>
          </cell>
          <cell r="W199" t="str">
            <v>CFA</v>
          </cell>
          <cell r="Z199">
            <v>1.58</v>
          </cell>
        </row>
        <row r="200">
          <cell r="A200" t="str">
            <v>Chad</v>
          </cell>
          <cell r="W200" t="str">
            <v>CFA</v>
          </cell>
          <cell r="Z200">
            <v>3.01</v>
          </cell>
        </row>
        <row r="201">
          <cell r="A201" t="str">
            <v>Comoros</v>
          </cell>
          <cell r="W201" t="str">
            <v>Franc</v>
          </cell>
          <cell r="Z201">
            <v>2.2400000000000002</v>
          </cell>
        </row>
        <row r="202">
          <cell r="A202" t="str">
            <v>DemRepCongo</v>
          </cell>
          <cell r="W202" t="str">
            <v>Franc</v>
          </cell>
          <cell r="Z202">
            <v>3.22</v>
          </cell>
        </row>
        <row r="203">
          <cell r="A203" t="str">
            <v>Djibouti</v>
          </cell>
          <cell r="W203" t="str">
            <v>Franc</v>
          </cell>
          <cell r="Z203">
            <v>1.51</v>
          </cell>
        </row>
        <row r="204">
          <cell r="A204" t="str">
            <v>Equatorial Guinea</v>
          </cell>
          <cell r="W204" t="str">
            <v>CFA</v>
          </cell>
          <cell r="Z204">
            <v>3.59</v>
          </cell>
        </row>
        <row r="205">
          <cell r="A205" t="str">
            <v>Eritrea</v>
          </cell>
          <cell r="W205" t="str">
            <v>Nakfa</v>
          </cell>
          <cell r="Z205">
            <v>2.2799999999999998</v>
          </cell>
        </row>
        <row r="206">
          <cell r="A206" t="str">
            <v>Ethiopia</v>
          </cell>
          <cell r="W206" t="str">
            <v>Birr</v>
          </cell>
          <cell r="Z206">
            <v>2.4300000000000002</v>
          </cell>
        </row>
        <row r="207">
          <cell r="A207" t="str">
            <v>Gabon</v>
          </cell>
          <cell r="W207" t="str">
            <v>CFA</v>
          </cell>
          <cell r="Z207">
            <v>2.17</v>
          </cell>
        </row>
        <row r="208">
          <cell r="A208" t="str">
            <v>Kenya</v>
          </cell>
          <cell r="W208" t="str">
            <v>Shilling</v>
          </cell>
          <cell r="Z208">
            <v>2.4900000000000002</v>
          </cell>
        </row>
        <row r="209">
          <cell r="A209" t="str">
            <v>Lesotho</v>
          </cell>
          <cell r="W209" t="str">
            <v>Loti</v>
          </cell>
          <cell r="Z209">
            <v>1.31</v>
          </cell>
        </row>
        <row r="210">
          <cell r="A210" t="str">
            <v>Madagascar</v>
          </cell>
          <cell r="W210" t="str">
            <v>Franc</v>
          </cell>
          <cell r="Z210">
            <v>2.67</v>
          </cell>
        </row>
        <row r="211">
          <cell r="A211" t="str">
            <v>Malawi</v>
          </cell>
          <cell r="W211" t="str">
            <v>Kwacha</v>
          </cell>
          <cell r="Z211">
            <v>2.87</v>
          </cell>
        </row>
        <row r="212">
          <cell r="A212" t="str">
            <v>Mauritania</v>
          </cell>
          <cell r="W212" t="str">
            <v>Ouguiya</v>
          </cell>
          <cell r="Z212">
            <v>2.69</v>
          </cell>
        </row>
        <row r="213">
          <cell r="A213" t="str">
            <v>Mauritius</v>
          </cell>
          <cell r="W213" t="str">
            <v>Rupee</v>
          </cell>
          <cell r="Z213">
            <v>0.23</v>
          </cell>
        </row>
        <row r="214">
          <cell r="A214" t="str">
            <v>Mozambique</v>
          </cell>
          <cell r="W214" t="str">
            <v>Metical</v>
          </cell>
          <cell r="Z214">
            <v>2.86</v>
          </cell>
        </row>
        <row r="215">
          <cell r="A215" t="str">
            <v>Namibia</v>
          </cell>
          <cell r="W215" t="str">
            <v>Dollar</v>
          </cell>
          <cell r="Z215">
            <v>2.12</v>
          </cell>
        </row>
        <row r="216">
          <cell r="A216" t="str">
            <v>RepCongo</v>
          </cell>
          <cell r="W216" t="str">
            <v>CFA</v>
          </cell>
          <cell r="Z216">
            <v>2.59</v>
          </cell>
        </row>
        <row r="217">
          <cell r="A217" t="str">
            <v>Rwanda</v>
          </cell>
          <cell r="W217" t="str">
            <v>Franc</v>
          </cell>
          <cell r="Z217">
            <v>2.36</v>
          </cell>
        </row>
        <row r="218">
          <cell r="A218" t="str">
            <v>SaoTomePrincipe</v>
          </cell>
          <cell r="W218" t="str">
            <v>Dobra</v>
          </cell>
          <cell r="Z218">
            <v>2.1800000000000002</v>
          </cell>
        </row>
        <row r="219">
          <cell r="A219" t="str">
            <v>Seychelles</v>
          </cell>
          <cell r="W219" t="str">
            <v>Rupee</v>
          </cell>
          <cell r="Z219">
            <v>0.5</v>
          </cell>
        </row>
        <row r="220">
          <cell r="A220" t="str">
            <v>Sudan</v>
          </cell>
          <cell r="W220" t="str">
            <v>Dinar</v>
          </cell>
          <cell r="Z220">
            <v>2.38</v>
          </cell>
        </row>
        <row r="221">
          <cell r="A221" t="str">
            <v>Swaziland</v>
          </cell>
          <cell r="W221" t="str">
            <v>Lilangeni</v>
          </cell>
          <cell r="Z221">
            <v>1.75</v>
          </cell>
        </row>
        <row r="222">
          <cell r="A222" t="str">
            <v>Tanzania</v>
          </cell>
          <cell r="W222" t="str">
            <v>Shilling</v>
          </cell>
          <cell r="Z222">
            <v>3.06</v>
          </cell>
        </row>
        <row r="223">
          <cell r="A223" t="str">
            <v>Uganda</v>
          </cell>
          <cell r="W223" t="str">
            <v>Shilling</v>
          </cell>
          <cell r="Z223">
            <v>3.23</v>
          </cell>
        </row>
        <row r="224">
          <cell r="A224" t="str">
            <v>Zambia</v>
          </cell>
          <cell r="W224" t="str">
            <v>Kwacha</v>
          </cell>
          <cell r="Z224">
            <v>2.97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shboard"/>
      <sheetName val="Inputs"/>
      <sheetName val="Parameters"/>
      <sheetName val="status_quo"/>
      <sheetName val="new program"/>
      <sheetName val="Personnel"/>
      <sheetName val="Capital Costs"/>
      <sheetName val="Consumables"/>
      <sheetName val="Operations"/>
      <sheetName val="Meetings"/>
      <sheetName val="Cost Summary"/>
      <sheetName val="Consumption"/>
      <sheetName val="Other Interventions"/>
      <sheetName val="Life_Years_Elimination"/>
      <sheetName val="Summary Results"/>
      <sheetName val="Uncertainty Analyses"/>
      <sheetName val="Markov Model (verification)"/>
      <sheetName val="Probabilistic S.A."/>
      <sheetName val="Country details"/>
      <sheetName val="SL Population"/>
      <sheetName val="Sheet1"/>
    </sheetNames>
    <sheetDataSet>
      <sheetData sheetId="0" refreshError="1"/>
      <sheetData sheetId="1">
        <row r="57">
          <cell r="AA57">
            <v>-273.5</v>
          </cell>
        </row>
      </sheetData>
      <sheetData sheetId="2" refreshError="1"/>
      <sheetData sheetId="3">
        <row r="4">
          <cell r="E4">
            <v>0</v>
          </cell>
          <cell r="F4">
            <v>4.8399999999999999E-2</v>
          </cell>
          <cell r="H4">
            <v>0</v>
          </cell>
          <cell r="I4">
            <v>0</v>
          </cell>
          <cell r="K4">
            <v>0</v>
          </cell>
          <cell r="L4">
            <v>2.5000000000000001E-2</v>
          </cell>
          <cell r="N4">
            <v>0</v>
          </cell>
          <cell r="O4">
            <v>0.01</v>
          </cell>
          <cell r="T4">
            <v>0</v>
          </cell>
          <cell r="U4">
            <v>0.375</v>
          </cell>
          <cell r="W4">
            <v>0</v>
          </cell>
          <cell r="X4">
            <v>0</v>
          </cell>
        </row>
        <row r="5">
          <cell r="E5">
            <v>1</v>
          </cell>
          <cell r="F5">
            <v>7.7399999999999997E-2</v>
          </cell>
          <cell r="H5">
            <v>1</v>
          </cell>
          <cell r="I5">
            <v>0</v>
          </cell>
          <cell r="K5">
            <v>1</v>
          </cell>
          <cell r="L5">
            <v>2.5000000000000001E-2</v>
          </cell>
          <cell r="N5">
            <v>1</v>
          </cell>
          <cell r="O5">
            <v>0.01</v>
          </cell>
          <cell r="T5">
            <v>1</v>
          </cell>
          <cell r="U5">
            <v>0.375</v>
          </cell>
          <cell r="W5">
            <v>1</v>
          </cell>
          <cell r="X5">
            <v>0</v>
          </cell>
        </row>
        <row r="6">
          <cell r="E6">
            <v>2</v>
          </cell>
          <cell r="F6">
            <v>7.7399999999999997E-2</v>
          </cell>
          <cell r="H6">
            <v>2</v>
          </cell>
          <cell r="I6">
            <v>0</v>
          </cell>
          <cell r="K6">
            <v>2</v>
          </cell>
          <cell r="L6">
            <v>2.5000000000000001E-2</v>
          </cell>
          <cell r="N6">
            <v>2</v>
          </cell>
          <cell r="O6">
            <v>0.01</v>
          </cell>
          <cell r="T6">
            <v>2</v>
          </cell>
          <cell r="U6">
            <v>0.375</v>
          </cell>
          <cell r="W6">
            <v>2</v>
          </cell>
          <cell r="X6">
            <v>0</v>
          </cell>
        </row>
        <row r="7">
          <cell r="E7">
            <v>3</v>
          </cell>
          <cell r="F7">
            <v>7.7399999999999997E-2</v>
          </cell>
          <cell r="H7">
            <v>3</v>
          </cell>
          <cell r="I7">
            <v>0</v>
          </cell>
          <cell r="K7">
            <v>3</v>
          </cell>
          <cell r="L7">
            <v>2.5000000000000001E-2</v>
          </cell>
          <cell r="N7">
            <v>3</v>
          </cell>
          <cell r="O7">
            <v>0.01</v>
          </cell>
          <cell r="T7">
            <v>3</v>
          </cell>
          <cell r="U7">
            <v>0.375</v>
          </cell>
          <cell r="W7">
            <v>3</v>
          </cell>
          <cell r="X7">
            <v>0</v>
          </cell>
        </row>
        <row r="8">
          <cell r="E8">
            <v>4</v>
          </cell>
          <cell r="F8">
            <v>7.7399999999999997E-2</v>
          </cell>
          <cell r="H8">
            <v>4</v>
          </cell>
          <cell r="I8">
            <v>0</v>
          </cell>
          <cell r="K8">
            <v>4</v>
          </cell>
          <cell r="L8">
            <v>2.5000000000000001E-2</v>
          </cell>
          <cell r="N8">
            <v>4</v>
          </cell>
          <cell r="O8">
            <v>0.01</v>
          </cell>
          <cell r="T8">
            <v>4</v>
          </cell>
          <cell r="U8">
            <v>0.375</v>
          </cell>
          <cell r="W8">
            <v>4</v>
          </cell>
          <cell r="X8">
            <v>0</v>
          </cell>
        </row>
        <row r="9">
          <cell r="E9">
            <v>5</v>
          </cell>
          <cell r="F9">
            <v>2.3599999999999999E-2</v>
          </cell>
          <cell r="H9">
            <v>5</v>
          </cell>
          <cell r="I9">
            <v>0</v>
          </cell>
          <cell r="K9">
            <v>5</v>
          </cell>
          <cell r="L9">
            <v>2.5000000000000001E-2</v>
          </cell>
          <cell r="N9">
            <v>5</v>
          </cell>
          <cell r="O9">
            <v>0.01</v>
          </cell>
          <cell r="T9">
            <v>5</v>
          </cell>
          <cell r="U9">
            <v>0.375</v>
          </cell>
          <cell r="W9">
            <v>5</v>
          </cell>
          <cell r="X9">
            <v>0</v>
          </cell>
        </row>
        <row r="10">
          <cell r="E10">
            <v>6</v>
          </cell>
          <cell r="F10">
            <v>2.3599999999999999E-2</v>
          </cell>
          <cell r="H10">
            <v>6</v>
          </cell>
          <cell r="I10">
            <v>0</v>
          </cell>
          <cell r="K10">
            <v>6</v>
          </cell>
          <cell r="L10">
            <v>0.04</v>
          </cell>
          <cell r="N10">
            <v>6</v>
          </cell>
          <cell r="O10">
            <v>0.01</v>
          </cell>
          <cell r="T10">
            <v>6</v>
          </cell>
          <cell r="U10">
            <v>0.375</v>
          </cell>
          <cell r="W10">
            <v>6</v>
          </cell>
          <cell r="X10">
            <v>0</v>
          </cell>
        </row>
        <row r="11">
          <cell r="E11">
            <v>7</v>
          </cell>
          <cell r="F11">
            <v>2.3599999999999999E-2</v>
          </cell>
          <cell r="H11">
            <v>7</v>
          </cell>
          <cell r="I11">
            <v>0</v>
          </cell>
          <cell r="K11">
            <v>7</v>
          </cell>
          <cell r="L11">
            <v>0.04</v>
          </cell>
          <cell r="N11">
            <v>7</v>
          </cell>
          <cell r="O11">
            <v>0.01</v>
          </cell>
          <cell r="T11">
            <v>7</v>
          </cell>
          <cell r="U11">
            <v>0.375</v>
          </cell>
          <cell r="W11">
            <v>7</v>
          </cell>
          <cell r="X11">
            <v>0</v>
          </cell>
        </row>
        <row r="12">
          <cell r="E12">
            <v>8</v>
          </cell>
          <cell r="F12">
            <v>2.3599999999999999E-2</v>
          </cell>
          <cell r="H12">
            <v>8</v>
          </cell>
          <cell r="I12">
            <v>0</v>
          </cell>
          <cell r="K12">
            <v>8</v>
          </cell>
          <cell r="L12">
            <v>0.06</v>
          </cell>
          <cell r="N12">
            <v>8</v>
          </cell>
          <cell r="O12">
            <v>0.01</v>
          </cell>
          <cell r="T12">
            <v>8</v>
          </cell>
          <cell r="U12">
            <v>0.375</v>
          </cell>
          <cell r="W12">
            <v>8</v>
          </cell>
          <cell r="X12">
            <v>0</v>
          </cell>
        </row>
        <row r="13">
          <cell r="E13">
            <v>9</v>
          </cell>
          <cell r="F13">
            <v>2.3599999999999999E-2</v>
          </cell>
          <cell r="H13">
            <v>9</v>
          </cell>
          <cell r="I13">
            <v>0</v>
          </cell>
          <cell r="K13">
            <v>9</v>
          </cell>
          <cell r="L13">
            <v>0.06</v>
          </cell>
          <cell r="N13">
            <v>9</v>
          </cell>
          <cell r="O13">
            <v>0.01</v>
          </cell>
          <cell r="T13">
            <v>9</v>
          </cell>
          <cell r="U13">
            <v>0.375</v>
          </cell>
          <cell r="W13">
            <v>9</v>
          </cell>
          <cell r="X13">
            <v>0</v>
          </cell>
        </row>
        <row r="14">
          <cell r="E14">
            <v>10</v>
          </cell>
          <cell r="F14">
            <v>2.0199999999999999E-2</v>
          </cell>
          <cell r="H14">
            <v>10</v>
          </cell>
          <cell r="I14">
            <v>0</v>
          </cell>
          <cell r="K14">
            <v>10</v>
          </cell>
          <cell r="L14">
            <v>0.06</v>
          </cell>
          <cell r="N14">
            <v>10</v>
          </cell>
          <cell r="O14">
            <v>0.01</v>
          </cell>
          <cell r="T14">
            <v>10</v>
          </cell>
          <cell r="U14">
            <v>0.375</v>
          </cell>
          <cell r="W14">
            <v>10</v>
          </cell>
          <cell r="X14">
            <v>0</v>
          </cell>
        </row>
        <row r="15">
          <cell r="E15">
            <v>11</v>
          </cell>
          <cell r="F15">
            <v>2.0199999999999999E-2</v>
          </cell>
          <cell r="H15">
            <v>11</v>
          </cell>
          <cell r="I15">
            <v>0</v>
          </cell>
          <cell r="K15">
            <v>11</v>
          </cell>
          <cell r="L15">
            <v>0.09</v>
          </cell>
          <cell r="N15">
            <v>11</v>
          </cell>
          <cell r="O15">
            <v>0.05</v>
          </cell>
          <cell r="T15">
            <v>11</v>
          </cell>
          <cell r="U15">
            <v>0.375</v>
          </cell>
          <cell r="W15">
            <v>11</v>
          </cell>
          <cell r="X15">
            <v>0</v>
          </cell>
        </row>
        <row r="16">
          <cell r="E16">
            <v>12</v>
          </cell>
          <cell r="F16">
            <v>2.0199999999999999E-2</v>
          </cell>
          <cell r="H16">
            <v>12</v>
          </cell>
          <cell r="I16">
            <v>0</v>
          </cell>
          <cell r="K16">
            <v>12</v>
          </cell>
          <cell r="L16">
            <v>0.09</v>
          </cell>
          <cell r="N16">
            <v>12</v>
          </cell>
          <cell r="O16">
            <v>0.05</v>
          </cell>
          <cell r="T16">
            <v>12</v>
          </cell>
          <cell r="U16">
            <v>0.375</v>
          </cell>
          <cell r="W16">
            <v>12</v>
          </cell>
          <cell r="X16">
            <v>0</v>
          </cell>
        </row>
        <row r="17">
          <cell r="E17">
            <v>13</v>
          </cell>
          <cell r="F17">
            <v>2.0199999999999999E-2</v>
          </cell>
          <cell r="H17">
            <v>13</v>
          </cell>
          <cell r="I17">
            <v>0</v>
          </cell>
          <cell r="K17">
            <v>13</v>
          </cell>
          <cell r="L17">
            <v>0.09</v>
          </cell>
          <cell r="N17">
            <v>13</v>
          </cell>
          <cell r="O17">
            <v>0.05</v>
          </cell>
          <cell r="T17">
            <v>13</v>
          </cell>
          <cell r="U17">
            <v>0.375</v>
          </cell>
          <cell r="W17">
            <v>13</v>
          </cell>
          <cell r="X17">
            <v>0</v>
          </cell>
        </row>
        <row r="18">
          <cell r="E18">
            <v>14</v>
          </cell>
          <cell r="F18">
            <v>2.0199999999999999E-2</v>
          </cell>
          <cell r="H18">
            <v>14</v>
          </cell>
          <cell r="I18">
            <v>0</v>
          </cell>
          <cell r="K18">
            <v>14</v>
          </cell>
          <cell r="L18">
            <v>0.09</v>
          </cell>
          <cell r="N18">
            <v>14</v>
          </cell>
          <cell r="O18">
            <v>0.05</v>
          </cell>
          <cell r="T18">
            <v>14</v>
          </cell>
          <cell r="U18">
            <v>0.375</v>
          </cell>
          <cell r="W18">
            <v>14</v>
          </cell>
          <cell r="X18">
            <v>0</v>
          </cell>
        </row>
        <row r="19">
          <cell r="E19">
            <v>15</v>
          </cell>
          <cell r="F19">
            <v>2.7799999999999998E-2</v>
          </cell>
          <cell r="H19">
            <v>15</v>
          </cell>
          <cell r="I19">
            <v>0</v>
          </cell>
          <cell r="K19">
            <v>15</v>
          </cell>
          <cell r="L19">
            <v>0.13</v>
          </cell>
          <cell r="N19">
            <v>15</v>
          </cell>
          <cell r="O19">
            <v>0.05</v>
          </cell>
          <cell r="T19">
            <v>15</v>
          </cell>
          <cell r="U19">
            <v>0.375</v>
          </cell>
          <cell r="W19">
            <v>15</v>
          </cell>
          <cell r="X19">
            <v>0</v>
          </cell>
        </row>
        <row r="20">
          <cell r="E20">
            <v>16</v>
          </cell>
          <cell r="F20">
            <v>2.7799999999999998E-2</v>
          </cell>
          <cell r="H20">
            <v>16</v>
          </cell>
          <cell r="I20">
            <v>0</v>
          </cell>
          <cell r="K20">
            <v>16</v>
          </cell>
          <cell r="L20">
            <v>0.13</v>
          </cell>
          <cell r="N20">
            <v>16</v>
          </cell>
          <cell r="O20">
            <v>0.05</v>
          </cell>
          <cell r="T20">
            <v>16</v>
          </cell>
          <cell r="U20">
            <v>0.375</v>
          </cell>
          <cell r="W20">
            <v>16</v>
          </cell>
          <cell r="X20">
            <v>0.1</v>
          </cell>
        </row>
        <row r="21">
          <cell r="E21">
            <v>17</v>
          </cell>
          <cell r="F21">
            <v>2.7799999999999998E-2</v>
          </cell>
          <cell r="H21">
            <v>17</v>
          </cell>
          <cell r="I21">
            <v>0.01</v>
          </cell>
          <cell r="K21">
            <v>17</v>
          </cell>
          <cell r="L21">
            <v>0.13</v>
          </cell>
          <cell r="N21">
            <v>17</v>
          </cell>
          <cell r="O21">
            <v>0.05</v>
          </cell>
          <cell r="T21">
            <v>17</v>
          </cell>
          <cell r="U21">
            <v>0.375</v>
          </cell>
          <cell r="W21">
            <v>17</v>
          </cell>
          <cell r="X21">
            <v>0.1</v>
          </cell>
        </row>
        <row r="22">
          <cell r="E22">
            <v>18</v>
          </cell>
          <cell r="F22">
            <v>2.7799999999999998E-2</v>
          </cell>
          <cell r="H22">
            <v>18</v>
          </cell>
          <cell r="I22">
            <v>0.01</v>
          </cell>
          <cell r="K22">
            <v>18</v>
          </cell>
          <cell r="L22">
            <v>0.13</v>
          </cell>
          <cell r="N22">
            <v>18</v>
          </cell>
          <cell r="O22">
            <v>0.05</v>
          </cell>
          <cell r="T22">
            <v>18</v>
          </cell>
          <cell r="U22">
            <v>0.375</v>
          </cell>
          <cell r="W22">
            <v>18</v>
          </cell>
          <cell r="X22">
            <v>0.1</v>
          </cell>
        </row>
        <row r="23">
          <cell r="E23">
            <v>19</v>
          </cell>
          <cell r="F23">
            <v>2.7799999999999998E-2</v>
          </cell>
          <cell r="H23">
            <v>19</v>
          </cell>
          <cell r="I23">
            <v>0.01</v>
          </cell>
          <cell r="K23">
            <v>19</v>
          </cell>
          <cell r="L23">
            <v>0.13</v>
          </cell>
          <cell r="N23">
            <v>19</v>
          </cell>
          <cell r="O23">
            <v>0.05</v>
          </cell>
          <cell r="T23">
            <v>19</v>
          </cell>
          <cell r="U23">
            <v>0.375</v>
          </cell>
          <cell r="W23">
            <v>19</v>
          </cell>
          <cell r="X23">
            <v>0.1</v>
          </cell>
        </row>
        <row r="24">
          <cell r="E24">
            <v>20</v>
          </cell>
          <cell r="F24">
            <v>3.6200000000000003E-2</v>
          </cell>
          <cell r="H24">
            <v>20</v>
          </cell>
          <cell r="I24">
            <v>0.01</v>
          </cell>
          <cell r="K24">
            <v>20</v>
          </cell>
          <cell r="L24">
            <v>0.12</v>
          </cell>
          <cell r="N24">
            <v>20</v>
          </cell>
          <cell r="O24">
            <v>5.5E-2</v>
          </cell>
          <cell r="T24">
            <v>20</v>
          </cell>
          <cell r="U24">
            <v>0.375</v>
          </cell>
          <cell r="W24">
            <v>20</v>
          </cell>
          <cell r="X24">
            <v>0.1</v>
          </cell>
        </row>
        <row r="25">
          <cell r="E25">
            <v>21</v>
          </cell>
          <cell r="F25">
            <v>3.6200000000000003E-2</v>
          </cell>
          <cell r="H25">
            <v>21</v>
          </cell>
          <cell r="I25">
            <v>0.01</v>
          </cell>
          <cell r="K25">
            <v>21</v>
          </cell>
          <cell r="L25">
            <v>0.12</v>
          </cell>
          <cell r="N25">
            <v>21</v>
          </cell>
          <cell r="O25">
            <v>5.5E-2</v>
          </cell>
          <cell r="T25">
            <v>21</v>
          </cell>
          <cell r="U25">
            <v>0.375</v>
          </cell>
          <cell r="W25">
            <v>21</v>
          </cell>
          <cell r="X25">
            <v>0.1</v>
          </cell>
        </row>
        <row r="26">
          <cell r="E26">
            <v>22</v>
          </cell>
          <cell r="F26">
            <v>3.6200000000000003E-2</v>
          </cell>
          <cell r="H26">
            <v>22</v>
          </cell>
          <cell r="I26">
            <v>0.01</v>
          </cell>
          <cell r="K26">
            <v>22</v>
          </cell>
          <cell r="L26">
            <v>0.12</v>
          </cell>
          <cell r="N26">
            <v>22</v>
          </cell>
          <cell r="O26">
            <v>5.5E-2</v>
          </cell>
          <cell r="T26">
            <v>22</v>
          </cell>
          <cell r="U26">
            <v>0.375</v>
          </cell>
          <cell r="W26">
            <v>22</v>
          </cell>
          <cell r="X26">
            <v>0.1</v>
          </cell>
        </row>
        <row r="27">
          <cell r="E27">
            <v>23</v>
          </cell>
          <cell r="F27">
            <v>3.6200000000000003E-2</v>
          </cell>
          <cell r="H27">
            <v>23</v>
          </cell>
          <cell r="I27">
            <v>0.01</v>
          </cell>
          <cell r="K27">
            <v>23</v>
          </cell>
          <cell r="L27">
            <v>0.12</v>
          </cell>
          <cell r="N27">
            <v>23</v>
          </cell>
          <cell r="O27">
            <v>5.5E-2</v>
          </cell>
          <cell r="T27">
            <v>23</v>
          </cell>
          <cell r="U27">
            <v>0.375</v>
          </cell>
          <cell r="W27">
            <v>23</v>
          </cell>
          <cell r="X27">
            <v>0.1</v>
          </cell>
        </row>
        <row r="28">
          <cell r="E28">
            <v>24</v>
          </cell>
          <cell r="F28">
            <v>3.6200000000000003E-2</v>
          </cell>
          <cell r="H28">
            <v>24</v>
          </cell>
          <cell r="I28">
            <v>0.01</v>
          </cell>
          <cell r="K28">
            <v>24</v>
          </cell>
          <cell r="L28">
            <v>0.12</v>
          </cell>
          <cell r="N28">
            <v>24</v>
          </cell>
          <cell r="O28">
            <v>5.5E-2</v>
          </cell>
          <cell r="T28">
            <v>24</v>
          </cell>
          <cell r="U28">
            <v>0.375</v>
          </cell>
          <cell r="W28">
            <v>24</v>
          </cell>
          <cell r="X28">
            <v>0.1</v>
          </cell>
        </row>
        <row r="29">
          <cell r="E29">
            <v>25</v>
          </cell>
          <cell r="F29">
            <v>4.9799999999999997E-2</v>
          </cell>
          <cell r="H29">
            <v>25</v>
          </cell>
          <cell r="I29">
            <v>0.01</v>
          </cell>
          <cell r="K29">
            <v>25</v>
          </cell>
          <cell r="L29">
            <v>0.12</v>
          </cell>
          <cell r="N29">
            <v>25</v>
          </cell>
          <cell r="O29">
            <v>5.5E-2</v>
          </cell>
          <cell r="T29">
            <v>25</v>
          </cell>
          <cell r="U29">
            <v>0.375</v>
          </cell>
          <cell r="W29">
            <v>25</v>
          </cell>
          <cell r="X29">
            <v>0.1</v>
          </cell>
        </row>
        <row r="30">
          <cell r="E30">
            <v>26</v>
          </cell>
          <cell r="F30">
            <v>4.9799999999999997E-2</v>
          </cell>
          <cell r="H30">
            <v>26</v>
          </cell>
          <cell r="I30">
            <v>0.01</v>
          </cell>
          <cell r="K30">
            <v>26</v>
          </cell>
          <cell r="L30">
            <v>0.12</v>
          </cell>
          <cell r="N30">
            <v>26</v>
          </cell>
          <cell r="O30">
            <v>5.5E-2</v>
          </cell>
          <cell r="T30">
            <v>26</v>
          </cell>
          <cell r="U30">
            <v>0.375</v>
          </cell>
          <cell r="W30">
            <v>26</v>
          </cell>
          <cell r="X30">
            <v>0.1</v>
          </cell>
        </row>
        <row r="31">
          <cell r="E31">
            <v>27</v>
          </cell>
          <cell r="F31">
            <v>4.9799999999999997E-2</v>
          </cell>
          <cell r="H31">
            <v>27</v>
          </cell>
          <cell r="I31">
            <v>0.01</v>
          </cell>
          <cell r="K31">
            <v>27</v>
          </cell>
          <cell r="L31">
            <v>0.12</v>
          </cell>
          <cell r="N31">
            <v>27</v>
          </cell>
          <cell r="O31">
            <v>5.5E-2</v>
          </cell>
          <cell r="T31">
            <v>27</v>
          </cell>
          <cell r="U31">
            <v>0.375</v>
          </cell>
          <cell r="W31">
            <v>27</v>
          </cell>
          <cell r="X31">
            <v>0.1</v>
          </cell>
        </row>
        <row r="32">
          <cell r="E32">
            <v>28</v>
          </cell>
          <cell r="F32">
            <v>4.9799999999999997E-2</v>
          </cell>
          <cell r="H32">
            <v>28</v>
          </cell>
          <cell r="I32">
            <v>0.01</v>
          </cell>
          <cell r="K32">
            <v>28</v>
          </cell>
          <cell r="L32">
            <v>0.12</v>
          </cell>
          <cell r="N32">
            <v>28</v>
          </cell>
          <cell r="O32">
            <v>5.5E-2</v>
          </cell>
          <cell r="T32">
            <v>28</v>
          </cell>
          <cell r="U32">
            <v>0.375</v>
          </cell>
          <cell r="W32">
            <v>28</v>
          </cell>
          <cell r="X32">
            <v>0.1</v>
          </cell>
        </row>
        <row r="33">
          <cell r="E33">
            <v>29</v>
          </cell>
          <cell r="F33">
            <v>4.9799999999999997E-2</v>
          </cell>
          <cell r="H33">
            <v>29</v>
          </cell>
          <cell r="I33">
            <v>0.01</v>
          </cell>
          <cell r="K33">
            <v>29</v>
          </cell>
          <cell r="L33">
            <v>0.12</v>
          </cell>
          <cell r="N33">
            <v>29</v>
          </cell>
          <cell r="O33">
            <v>5.5E-2</v>
          </cell>
          <cell r="T33">
            <v>29</v>
          </cell>
          <cell r="U33">
            <v>0.375</v>
          </cell>
          <cell r="W33">
            <v>29</v>
          </cell>
          <cell r="X33">
            <v>0.1</v>
          </cell>
        </row>
        <row r="34">
          <cell r="E34">
            <v>30</v>
          </cell>
          <cell r="F34">
            <v>6.2700000000000006E-2</v>
          </cell>
          <cell r="H34">
            <v>30</v>
          </cell>
          <cell r="I34">
            <v>0.01</v>
          </cell>
          <cell r="K34">
            <v>30</v>
          </cell>
          <cell r="L34">
            <v>7.0000000000000007E-2</v>
          </cell>
          <cell r="N34">
            <v>30</v>
          </cell>
          <cell r="O34">
            <v>0.11</v>
          </cell>
          <cell r="T34">
            <v>30</v>
          </cell>
          <cell r="U34">
            <v>0.375</v>
          </cell>
          <cell r="W34">
            <v>30</v>
          </cell>
          <cell r="X34">
            <v>0.1</v>
          </cell>
        </row>
        <row r="35">
          <cell r="E35">
            <v>31</v>
          </cell>
          <cell r="F35">
            <v>6.2700000000000006E-2</v>
          </cell>
          <cell r="H35">
            <v>31</v>
          </cell>
          <cell r="I35">
            <v>0.01</v>
          </cell>
          <cell r="K35">
            <v>31</v>
          </cell>
          <cell r="L35">
            <v>7.0000000000000007E-2</v>
          </cell>
          <cell r="N35">
            <v>31</v>
          </cell>
          <cell r="O35">
            <v>0.11</v>
          </cell>
          <cell r="T35">
            <v>31</v>
          </cell>
          <cell r="U35">
            <v>0.375</v>
          </cell>
          <cell r="W35">
            <v>31</v>
          </cell>
          <cell r="X35">
            <v>0.1</v>
          </cell>
        </row>
        <row r="36">
          <cell r="E36">
            <v>32</v>
          </cell>
          <cell r="F36">
            <v>6.2700000000000006E-2</v>
          </cell>
          <cell r="H36">
            <v>32</v>
          </cell>
          <cell r="I36">
            <v>0.01</v>
          </cell>
          <cell r="K36">
            <v>32</v>
          </cell>
          <cell r="L36">
            <v>7.0000000000000007E-2</v>
          </cell>
          <cell r="N36">
            <v>32</v>
          </cell>
          <cell r="O36">
            <v>0.11</v>
          </cell>
          <cell r="T36">
            <v>32</v>
          </cell>
          <cell r="U36">
            <v>0.375</v>
          </cell>
          <cell r="W36">
            <v>32</v>
          </cell>
          <cell r="X36">
            <v>0.1</v>
          </cell>
        </row>
        <row r="37">
          <cell r="E37">
            <v>33</v>
          </cell>
          <cell r="F37">
            <v>6.2700000000000006E-2</v>
          </cell>
          <cell r="H37">
            <v>33</v>
          </cell>
          <cell r="I37">
            <v>0.01</v>
          </cell>
          <cell r="K37">
            <v>33</v>
          </cell>
          <cell r="L37">
            <v>7.0000000000000007E-2</v>
          </cell>
          <cell r="N37">
            <v>33</v>
          </cell>
          <cell r="O37">
            <v>0.11</v>
          </cell>
          <cell r="T37">
            <v>33</v>
          </cell>
          <cell r="U37">
            <v>0.375</v>
          </cell>
          <cell r="W37">
            <v>33</v>
          </cell>
          <cell r="X37">
            <v>0.1</v>
          </cell>
        </row>
        <row r="38">
          <cell r="E38">
            <v>34</v>
          </cell>
          <cell r="F38">
            <v>6.2700000000000006E-2</v>
          </cell>
          <cell r="H38">
            <v>34</v>
          </cell>
          <cell r="I38">
            <v>0.01</v>
          </cell>
          <cell r="K38">
            <v>34</v>
          </cell>
          <cell r="L38">
            <v>7.0000000000000007E-2</v>
          </cell>
          <cell r="N38">
            <v>34</v>
          </cell>
          <cell r="O38">
            <v>0.11</v>
          </cell>
          <cell r="T38">
            <v>34</v>
          </cell>
          <cell r="U38">
            <v>0.375</v>
          </cell>
          <cell r="W38">
            <v>34</v>
          </cell>
          <cell r="X38">
            <v>0.1</v>
          </cell>
        </row>
        <row r="39">
          <cell r="E39">
            <v>35</v>
          </cell>
          <cell r="F39">
            <v>6.4699999999999994E-2</v>
          </cell>
          <cell r="H39">
            <v>35</v>
          </cell>
          <cell r="I39">
            <v>0.01</v>
          </cell>
          <cell r="K39">
            <v>35</v>
          </cell>
          <cell r="L39">
            <v>7.0000000000000007E-2</v>
          </cell>
          <cell r="N39">
            <v>35</v>
          </cell>
          <cell r="O39">
            <v>0.11</v>
          </cell>
          <cell r="T39">
            <v>35</v>
          </cell>
          <cell r="U39">
            <v>0.375</v>
          </cell>
          <cell r="W39">
            <v>35</v>
          </cell>
          <cell r="X39">
            <v>0.1</v>
          </cell>
        </row>
        <row r="40">
          <cell r="E40">
            <v>36</v>
          </cell>
          <cell r="F40">
            <v>6.4699999999999994E-2</v>
          </cell>
          <cell r="H40">
            <v>36</v>
          </cell>
          <cell r="I40">
            <v>0.01</v>
          </cell>
          <cell r="K40">
            <v>36</v>
          </cell>
          <cell r="L40">
            <v>7.0000000000000007E-2</v>
          </cell>
          <cell r="N40">
            <v>36</v>
          </cell>
          <cell r="O40">
            <v>0.11</v>
          </cell>
          <cell r="T40">
            <v>36</v>
          </cell>
          <cell r="U40">
            <v>0.375</v>
          </cell>
          <cell r="W40">
            <v>36</v>
          </cell>
          <cell r="X40">
            <v>0.1</v>
          </cell>
        </row>
        <row r="41">
          <cell r="E41">
            <v>37</v>
          </cell>
          <cell r="F41">
            <v>6.4699999999999994E-2</v>
          </cell>
          <cell r="H41">
            <v>37</v>
          </cell>
          <cell r="I41">
            <v>0.01</v>
          </cell>
          <cell r="K41">
            <v>37</v>
          </cell>
          <cell r="L41">
            <v>7.0000000000000007E-2</v>
          </cell>
          <cell r="N41">
            <v>37</v>
          </cell>
          <cell r="O41">
            <v>0.11</v>
          </cell>
          <cell r="T41">
            <v>37</v>
          </cell>
          <cell r="U41">
            <v>0.375</v>
          </cell>
          <cell r="W41">
            <v>37</v>
          </cell>
          <cell r="X41">
            <v>0.1</v>
          </cell>
        </row>
        <row r="42">
          <cell r="E42">
            <v>38</v>
          </cell>
          <cell r="F42">
            <v>6.4699999999999994E-2</v>
          </cell>
          <cell r="H42">
            <v>38</v>
          </cell>
          <cell r="I42">
            <v>0.01</v>
          </cell>
          <cell r="K42">
            <v>38</v>
          </cell>
          <cell r="L42">
            <v>7.0000000000000007E-2</v>
          </cell>
          <cell r="N42">
            <v>38</v>
          </cell>
          <cell r="O42">
            <v>0.11</v>
          </cell>
          <cell r="T42">
            <v>38</v>
          </cell>
          <cell r="U42">
            <v>0.375</v>
          </cell>
          <cell r="W42">
            <v>38</v>
          </cell>
          <cell r="X42">
            <v>0.1</v>
          </cell>
        </row>
        <row r="43">
          <cell r="E43">
            <v>39</v>
          </cell>
          <cell r="F43">
            <v>6.4699999999999994E-2</v>
          </cell>
          <cell r="H43">
            <v>39</v>
          </cell>
          <cell r="I43">
            <v>0.01</v>
          </cell>
          <cell r="K43">
            <v>39</v>
          </cell>
          <cell r="L43">
            <v>7.0000000000000007E-2</v>
          </cell>
          <cell r="N43">
            <v>39</v>
          </cell>
          <cell r="O43">
            <v>0.11</v>
          </cell>
          <cell r="T43">
            <v>39</v>
          </cell>
          <cell r="U43">
            <v>0.375</v>
          </cell>
          <cell r="W43">
            <v>39</v>
          </cell>
          <cell r="X43">
            <v>0.1</v>
          </cell>
        </row>
        <row r="44">
          <cell r="E44">
            <v>40</v>
          </cell>
          <cell r="F44">
            <v>8.8999999999999996E-2</v>
          </cell>
          <cell r="H44">
            <v>40</v>
          </cell>
          <cell r="I44">
            <v>0.01</v>
          </cell>
          <cell r="K44">
            <v>40</v>
          </cell>
          <cell r="L44">
            <v>0.08</v>
          </cell>
          <cell r="N44">
            <v>40</v>
          </cell>
          <cell r="O44">
            <v>0.24</v>
          </cell>
          <cell r="T44">
            <v>40</v>
          </cell>
          <cell r="U44">
            <v>0.375</v>
          </cell>
          <cell r="W44">
            <v>40</v>
          </cell>
          <cell r="X44">
            <v>0.1</v>
          </cell>
        </row>
        <row r="45">
          <cell r="E45">
            <v>41</v>
          </cell>
          <cell r="F45">
            <v>8.8999999999999996E-2</v>
          </cell>
          <cell r="H45">
            <v>41</v>
          </cell>
          <cell r="I45">
            <v>0.01</v>
          </cell>
          <cell r="K45">
            <v>41</v>
          </cell>
          <cell r="L45">
            <v>0.08</v>
          </cell>
          <cell r="N45">
            <v>41</v>
          </cell>
          <cell r="O45">
            <v>0.24</v>
          </cell>
          <cell r="T45">
            <v>41</v>
          </cell>
          <cell r="U45">
            <v>0.375</v>
          </cell>
          <cell r="W45">
            <v>41</v>
          </cell>
          <cell r="X45">
            <v>0.1</v>
          </cell>
        </row>
        <row r="46">
          <cell r="E46">
            <v>42</v>
          </cell>
          <cell r="F46">
            <v>8.8999999999999996E-2</v>
          </cell>
          <cell r="H46">
            <v>42</v>
          </cell>
          <cell r="I46">
            <v>0.01</v>
          </cell>
          <cell r="K46">
            <v>42</v>
          </cell>
          <cell r="L46">
            <v>0.08</v>
          </cell>
          <cell r="N46">
            <v>42</v>
          </cell>
          <cell r="O46">
            <v>0.24</v>
          </cell>
          <cell r="T46">
            <v>42</v>
          </cell>
          <cell r="U46">
            <v>0.375</v>
          </cell>
          <cell r="W46">
            <v>42</v>
          </cell>
          <cell r="X46">
            <v>0.1</v>
          </cell>
        </row>
        <row r="47">
          <cell r="E47">
            <v>43</v>
          </cell>
          <cell r="F47">
            <v>8.8999999999999996E-2</v>
          </cell>
          <cell r="H47">
            <v>43</v>
          </cell>
          <cell r="I47">
            <v>0.01</v>
          </cell>
          <cell r="K47">
            <v>43</v>
          </cell>
          <cell r="L47">
            <v>0.08</v>
          </cell>
          <cell r="N47">
            <v>43</v>
          </cell>
          <cell r="O47">
            <v>0.24</v>
          </cell>
          <cell r="T47">
            <v>43</v>
          </cell>
          <cell r="U47">
            <v>0.375</v>
          </cell>
          <cell r="W47">
            <v>43</v>
          </cell>
          <cell r="X47">
            <v>0.1</v>
          </cell>
        </row>
        <row r="48">
          <cell r="E48">
            <v>44</v>
          </cell>
          <cell r="F48">
            <v>8.8999999999999996E-2</v>
          </cell>
          <cell r="H48">
            <v>44</v>
          </cell>
          <cell r="I48">
            <v>0.01</v>
          </cell>
          <cell r="K48">
            <v>44</v>
          </cell>
          <cell r="L48">
            <v>0.08</v>
          </cell>
          <cell r="N48">
            <v>44</v>
          </cell>
          <cell r="O48">
            <v>0.24</v>
          </cell>
          <cell r="T48">
            <v>44</v>
          </cell>
          <cell r="U48">
            <v>0.375</v>
          </cell>
          <cell r="W48">
            <v>44</v>
          </cell>
          <cell r="X48">
            <v>0.1</v>
          </cell>
        </row>
        <row r="49">
          <cell r="E49">
            <v>45</v>
          </cell>
          <cell r="F49">
            <v>8.9499999999999996E-2</v>
          </cell>
          <cell r="H49">
            <v>45</v>
          </cell>
          <cell r="I49">
            <v>0.01</v>
          </cell>
          <cell r="K49">
            <v>45</v>
          </cell>
          <cell r="L49">
            <v>0.08</v>
          </cell>
          <cell r="N49">
            <v>45</v>
          </cell>
          <cell r="O49">
            <v>0.24</v>
          </cell>
          <cell r="T49">
            <v>45</v>
          </cell>
          <cell r="U49">
            <v>0.375</v>
          </cell>
          <cell r="W49">
            <v>45</v>
          </cell>
          <cell r="X49">
            <v>0.1</v>
          </cell>
        </row>
        <row r="50">
          <cell r="E50">
            <v>46</v>
          </cell>
          <cell r="F50">
            <v>8.9499999999999996E-2</v>
          </cell>
          <cell r="H50">
            <v>46</v>
          </cell>
          <cell r="I50">
            <v>0.01</v>
          </cell>
          <cell r="K50">
            <v>46</v>
          </cell>
          <cell r="L50">
            <v>0.08</v>
          </cell>
          <cell r="N50">
            <v>46</v>
          </cell>
          <cell r="O50">
            <v>0.24</v>
          </cell>
          <cell r="T50">
            <v>46</v>
          </cell>
          <cell r="U50">
            <v>0.375</v>
          </cell>
          <cell r="W50">
            <v>46</v>
          </cell>
          <cell r="X50">
            <v>0.1</v>
          </cell>
        </row>
        <row r="51">
          <cell r="E51">
            <v>47</v>
          </cell>
          <cell r="F51">
            <v>8.9499999999999996E-2</v>
          </cell>
          <cell r="H51">
            <v>47</v>
          </cell>
          <cell r="I51">
            <v>0.01</v>
          </cell>
          <cell r="K51">
            <v>47</v>
          </cell>
          <cell r="L51">
            <v>0.08</v>
          </cell>
          <cell r="N51">
            <v>47</v>
          </cell>
          <cell r="O51">
            <v>0.24</v>
          </cell>
          <cell r="T51">
            <v>47</v>
          </cell>
          <cell r="U51">
            <v>0.375</v>
          </cell>
          <cell r="W51">
            <v>47</v>
          </cell>
          <cell r="X51">
            <v>0.1</v>
          </cell>
        </row>
        <row r="52">
          <cell r="E52">
            <v>48</v>
          </cell>
          <cell r="F52">
            <v>8.9499999999999996E-2</v>
          </cell>
          <cell r="H52">
            <v>48</v>
          </cell>
          <cell r="I52">
            <v>0.01</v>
          </cell>
          <cell r="K52">
            <v>48</v>
          </cell>
          <cell r="L52">
            <v>0.08</v>
          </cell>
          <cell r="N52">
            <v>48</v>
          </cell>
          <cell r="O52">
            <v>0.24</v>
          </cell>
          <cell r="T52">
            <v>48</v>
          </cell>
          <cell r="U52">
            <v>0.375</v>
          </cell>
          <cell r="W52">
            <v>48</v>
          </cell>
          <cell r="X52">
            <v>0.1</v>
          </cell>
        </row>
        <row r="53">
          <cell r="E53">
            <v>49</v>
          </cell>
          <cell r="F53">
            <v>8.9499999999999996E-2</v>
          </cell>
          <cell r="H53">
            <v>49</v>
          </cell>
          <cell r="I53">
            <v>0.01</v>
          </cell>
          <cell r="K53">
            <v>49</v>
          </cell>
          <cell r="L53">
            <v>0.08</v>
          </cell>
          <cell r="N53">
            <v>49</v>
          </cell>
          <cell r="O53">
            <v>0.24</v>
          </cell>
          <cell r="T53">
            <v>49</v>
          </cell>
          <cell r="U53">
            <v>0.375</v>
          </cell>
          <cell r="W53">
            <v>49</v>
          </cell>
          <cell r="X53">
            <v>0.1</v>
          </cell>
        </row>
        <row r="54">
          <cell r="E54">
            <v>50</v>
          </cell>
          <cell r="F54">
            <v>0.12529999999999999</v>
          </cell>
          <cell r="H54">
            <v>50</v>
          </cell>
          <cell r="I54">
            <v>0.01</v>
          </cell>
          <cell r="K54">
            <v>50</v>
          </cell>
          <cell r="L54">
            <v>7.4999999999999997E-2</v>
          </cell>
          <cell r="N54">
            <v>50</v>
          </cell>
          <cell r="O54">
            <v>0.15</v>
          </cell>
          <cell r="T54">
            <v>50</v>
          </cell>
          <cell r="U54">
            <v>0.375</v>
          </cell>
          <cell r="W54">
            <v>50</v>
          </cell>
          <cell r="X54">
            <v>0.1</v>
          </cell>
        </row>
        <row r="55">
          <cell r="E55">
            <v>51</v>
          </cell>
          <cell r="F55">
            <v>0.12529999999999999</v>
          </cell>
          <cell r="H55">
            <v>51</v>
          </cell>
          <cell r="I55">
            <v>0.01</v>
          </cell>
          <cell r="K55">
            <v>51</v>
          </cell>
          <cell r="L55">
            <v>7.4999999999999997E-2</v>
          </cell>
          <cell r="N55">
            <v>51</v>
          </cell>
          <cell r="O55">
            <v>0.15</v>
          </cell>
          <cell r="T55">
            <v>51</v>
          </cell>
          <cell r="U55">
            <v>0.375</v>
          </cell>
          <cell r="W55">
            <v>51</v>
          </cell>
          <cell r="X55">
            <v>0.1</v>
          </cell>
        </row>
        <row r="56">
          <cell r="E56">
            <v>52</v>
          </cell>
          <cell r="F56">
            <v>0.12529999999999999</v>
          </cell>
          <cell r="H56">
            <v>52</v>
          </cell>
          <cell r="I56">
            <v>0.01</v>
          </cell>
          <cell r="K56">
            <v>52</v>
          </cell>
          <cell r="L56">
            <v>7.4999999999999997E-2</v>
          </cell>
          <cell r="N56">
            <v>52</v>
          </cell>
          <cell r="O56">
            <v>0.15</v>
          </cell>
          <cell r="T56">
            <v>52</v>
          </cell>
          <cell r="U56">
            <v>0.375</v>
          </cell>
          <cell r="W56">
            <v>52</v>
          </cell>
          <cell r="X56">
            <v>0.1</v>
          </cell>
        </row>
        <row r="57">
          <cell r="E57">
            <v>53</v>
          </cell>
          <cell r="F57">
            <v>0.12529999999999999</v>
          </cell>
          <cell r="H57">
            <v>53</v>
          </cell>
          <cell r="I57">
            <v>0.01</v>
          </cell>
          <cell r="K57">
            <v>53</v>
          </cell>
          <cell r="L57">
            <v>7.4999999999999997E-2</v>
          </cell>
          <cell r="N57">
            <v>53</v>
          </cell>
          <cell r="O57">
            <v>0.15</v>
          </cell>
          <cell r="T57">
            <v>53</v>
          </cell>
          <cell r="U57">
            <v>0.375</v>
          </cell>
          <cell r="W57">
            <v>53</v>
          </cell>
          <cell r="X57">
            <v>0.1</v>
          </cell>
        </row>
        <row r="58">
          <cell r="E58">
            <v>54</v>
          </cell>
          <cell r="F58">
            <v>0.12529999999999999</v>
          </cell>
          <cell r="H58">
            <v>54</v>
          </cell>
          <cell r="I58">
            <v>0.01</v>
          </cell>
          <cell r="K58">
            <v>54</v>
          </cell>
          <cell r="L58">
            <v>7.4999999999999997E-2</v>
          </cell>
          <cell r="N58">
            <v>54</v>
          </cell>
          <cell r="O58">
            <v>0.15</v>
          </cell>
          <cell r="T58">
            <v>54</v>
          </cell>
          <cell r="U58">
            <v>0.375</v>
          </cell>
          <cell r="W58">
            <v>54</v>
          </cell>
          <cell r="X58">
            <v>0.1</v>
          </cell>
        </row>
        <row r="59">
          <cell r="E59">
            <v>55</v>
          </cell>
          <cell r="F59">
            <v>0.1148</v>
          </cell>
          <cell r="H59">
            <v>55</v>
          </cell>
          <cell r="I59">
            <v>0.01</v>
          </cell>
          <cell r="K59">
            <v>55</v>
          </cell>
          <cell r="L59">
            <v>7.4999999999999997E-2</v>
          </cell>
          <cell r="N59">
            <v>55</v>
          </cell>
          <cell r="O59">
            <v>0.15</v>
          </cell>
          <cell r="T59">
            <v>55</v>
          </cell>
          <cell r="U59">
            <v>0.375</v>
          </cell>
          <cell r="W59">
            <v>55</v>
          </cell>
          <cell r="X59">
            <v>0.1</v>
          </cell>
        </row>
        <row r="60">
          <cell r="E60">
            <v>56</v>
          </cell>
          <cell r="F60">
            <v>0.1148</v>
          </cell>
          <cell r="H60">
            <v>56</v>
          </cell>
          <cell r="I60">
            <v>0.01</v>
          </cell>
          <cell r="K60">
            <v>56</v>
          </cell>
          <cell r="L60">
            <v>7.4999999999999997E-2</v>
          </cell>
          <cell r="N60">
            <v>56</v>
          </cell>
          <cell r="O60">
            <v>0.15</v>
          </cell>
          <cell r="T60">
            <v>56</v>
          </cell>
          <cell r="U60">
            <v>0.375</v>
          </cell>
          <cell r="W60">
            <v>56</v>
          </cell>
          <cell r="X60">
            <v>0.1</v>
          </cell>
        </row>
        <row r="61">
          <cell r="E61">
            <v>57</v>
          </cell>
          <cell r="F61">
            <v>0.1148</v>
          </cell>
          <cell r="H61">
            <v>57</v>
          </cell>
          <cell r="I61">
            <v>0.01</v>
          </cell>
          <cell r="K61">
            <v>57</v>
          </cell>
          <cell r="L61">
            <v>7.4999999999999997E-2</v>
          </cell>
          <cell r="N61">
            <v>57</v>
          </cell>
          <cell r="O61">
            <v>0.15</v>
          </cell>
          <cell r="T61">
            <v>57</v>
          </cell>
          <cell r="U61">
            <v>0.375</v>
          </cell>
          <cell r="W61">
            <v>57</v>
          </cell>
          <cell r="X61">
            <v>0.1</v>
          </cell>
        </row>
        <row r="62">
          <cell r="E62">
            <v>58</v>
          </cell>
          <cell r="F62">
            <v>0.1148</v>
          </cell>
          <cell r="H62">
            <v>58</v>
          </cell>
          <cell r="I62">
            <v>0.01</v>
          </cell>
          <cell r="K62">
            <v>58</v>
          </cell>
          <cell r="L62">
            <v>7.4999999999999997E-2</v>
          </cell>
          <cell r="N62">
            <v>58</v>
          </cell>
          <cell r="O62">
            <v>0.15</v>
          </cell>
          <cell r="T62">
            <v>58</v>
          </cell>
          <cell r="U62">
            <v>0.375</v>
          </cell>
          <cell r="W62">
            <v>58</v>
          </cell>
          <cell r="X62">
            <v>0.1</v>
          </cell>
        </row>
        <row r="63">
          <cell r="E63">
            <v>59</v>
          </cell>
          <cell r="F63">
            <v>0.1148</v>
          </cell>
          <cell r="H63">
            <v>59</v>
          </cell>
          <cell r="I63">
            <v>0.01</v>
          </cell>
          <cell r="K63">
            <v>59</v>
          </cell>
          <cell r="L63">
            <v>7.4999999999999997E-2</v>
          </cell>
          <cell r="N63">
            <v>59</v>
          </cell>
          <cell r="O63">
            <v>0.15</v>
          </cell>
          <cell r="T63">
            <v>59</v>
          </cell>
          <cell r="U63">
            <v>0.375</v>
          </cell>
          <cell r="W63">
            <v>59</v>
          </cell>
          <cell r="X63">
            <v>0.1</v>
          </cell>
        </row>
        <row r="64">
          <cell r="E64">
            <v>60</v>
          </cell>
          <cell r="F64">
            <v>0.19070000000000001</v>
          </cell>
          <cell r="H64">
            <v>60</v>
          </cell>
          <cell r="I64">
            <v>0.01</v>
          </cell>
          <cell r="K64">
            <v>60</v>
          </cell>
          <cell r="L64">
            <v>7.4999999999999997E-2</v>
          </cell>
          <cell r="N64">
            <v>60</v>
          </cell>
          <cell r="O64">
            <v>0.26</v>
          </cell>
          <cell r="T64">
            <v>60</v>
          </cell>
          <cell r="U64">
            <v>0.375</v>
          </cell>
          <cell r="W64">
            <v>60</v>
          </cell>
          <cell r="X64">
            <v>0.1</v>
          </cell>
        </row>
        <row r="65">
          <cell r="E65">
            <v>61</v>
          </cell>
          <cell r="F65">
            <v>0.19070000000000001</v>
          </cell>
          <cell r="H65">
            <v>61</v>
          </cell>
          <cell r="I65">
            <v>0.01</v>
          </cell>
          <cell r="K65">
            <v>61</v>
          </cell>
          <cell r="L65">
            <v>7.4999999999999997E-2</v>
          </cell>
          <cell r="N65">
            <v>61</v>
          </cell>
          <cell r="O65">
            <v>0.26</v>
          </cell>
          <cell r="T65">
            <v>61</v>
          </cell>
          <cell r="U65">
            <v>0.375</v>
          </cell>
          <cell r="W65">
            <v>61</v>
          </cell>
          <cell r="X65">
            <v>0.1</v>
          </cell>
        </row>
        <row r="66">
          <cell r="E66">
            <v>62</v>
          </cell>
          <cell r="F66">
            <v>0.19070000000000001</v>
          </cell>
          <cell r="H66">
            <v>62</v>
          </cell>
          <cell r="I66">
            <v>0.01</v>
          </cell>
          <cell r="K66">
            <v>62</v>
          </cell>
          <cell r="L66">
            <v>7.4999999999999997E-2</v>
          </cell>
          <cell r="N66">
            <v>62</v>
          </cell>
          <cell r="O66">
            <v>0.26</v>
          </cell>
          <cell r="T66">
            <v>62</v>
          </cell>
          <cell r="U66">
            <v>0.375</v>
          </cell>
          <cell r="W66">
            <v>62</v>
          </cell>
          <cell r="X66">
            <v>0.1</v>
          </cell>
        </row>
        <row r="67">
          <cell r="E67">
            <v>63</v>
          </cell>
          <cell r="F67">
            <v>0.19070000000000001</v>
          </cell>
          <cell r="H67">
            <v>63</v>
          </cell>
          <cell r="I67">
            <v>0.01</v>
          </cell>
          <cell r="K67">
            <v>63</v>
          </cell>
          <cell r="L67">
            <v>7.4999999999999997E-2</v>
          </cell>
          <cell r="N67">
            <v>63</v>
          </cell>
          <cell r="O67">
            <v>0.26</v>
          </cell>
          <cell r="T67">
            <v>63</v>
          </cell>
          <cell r="U67">
            <v>0.375</v>
          </cell>
          <cell r="W67">
            <v>63</v>
          </cell>
          <cell r="X67">
            <v>0.1</v>
          </cell>
        </row>
        <row r="68">
          <cell r="E68">
            <v>64</v>
          </cell>
          <cell r="F68">
            <v>0.19070000000000001</v>
          </cell>
          <cell r="H68">
            <v>64</v>
          </cell>
          <cell r="I68">
            <v>0.01</v>
          </cell>
          <cell r="K68">
            <v>64</v>
          </cell>
          <cell r="L68">
            <v>7.4999999999999997E-2</v>
          </cell>
          <cell r="N68">
            <v>64</v>
          </cell>
          <cell r="O68">
            <v>0.26</v>
          </cell>
          <cell r="T68">
            <v>64</v>
          </cell>
          <cell r="U68">
            <v>0.375</v>
          </cell>
          <cell r="W68">
            <v>64</v>
          </cell>
          <cell r="X68">
            <v>0.1</v>
          </cell>
        </row>
        <row r="69">
          <cell r="E69">
            <v>65</v>
          </cell>
          <cell r="F69">
            <v>0.17519999999999999</v>
          </cell>
          <cell r="H69">
            <v>65</v>
          </cell>
          <cell r="I69">
            <v>0.01</v>
          </cell>
          <cell r="K69">
            <v>65</v>
          </cell>
          <cell r="L69">
            <v>7.4999999999999997E-2</v>
          </cell>
          <cell r="N69">
            <v>65</v>
          </cell>
          <cell r="O69">
            <v>0.26</v>
          </cell>
          <cell r="T69">
            <v>65</v>
          </cell>
          <cell r="U69">
            <v>0.375</v>
          </cell>
          <cell r="W69">
            <v>65</v>
          </cell>
          <cell r="X69">
            <v>0.1</v>
          </cell>
        </row>
        <row r="70">
          <cell r="E70">
            <v>66</v>
          </cell>
          <cell r="F70">
            <v>0.17519999999999999</v>
          </cell>
          <cell r="H70">
            <v>66</v>
          </cell>
          <cell r="I70">
            <v>0.01</v>
          </cell>
          <cell r="K70">
            <v>66</v>
          </cell>
          <cell r="L70">
            <v>7.4999999999999997E-2</v>
          </cell>
          <cell r="N70">
            <v>66</v>
          </cell>
          <cell r="O70">
            <v>0.26</v>
          </cell>
          <cell r="T70">
            <v>66</v>
          </cell>
          <cell r="U70">
            <v>0.375</v>
          </cell>
          <cell r="W70">
            <v>66</v>
          </cell>
          <cell r="X70">
            <v>0.1</v>
          </cell>
        </row>
        <row r="71">
          <cell r="E71">
            <v>67</v>
          </cell>
          <cell r="F71">
            <v>0.17519999999999999</v>
          </cell>
          <cell r="H71">
            <v>67</v>
          </cell>
          <cell r="I71">
            <v>0.01</v>
          </cell>
          <cell r="K71">
            <v>67</v>
          </cell>
          <cell r="L71">
            <v>7.4999999999999997E-2</v>
          </cell>
          <cell r="N71">
            <v>67</v>
          </cell>
          <cell r="O71">
            <v>0.26</v>
          </cell>
          <cell r="T71">
            <v>67</v>
          </cell>
          <cell r="U71">
            <v>0.375</v>
          </cell>
          <cell r="W71">
            <v>67</v>
          </cell>
          <cell r="X71">
            <v>0.1</v>
          </cell>
        </row>
        <row r="72">
          <cell r="E72">
            <v>68</v>
          </cell>
          <cell r="F72">
            <v>0.17519999999999999</v>
          </cell>
          <cell r="H72">
            <v>68</v>
          </cell>
          <cell r="I72">
            <v>0.01</v>
          </cell>
          <cell r="K72">
            <v>68</v>
          </cell>
          <cell r="L72">
            <v>7.4999999999999997E-2</v>
          </cell>
          <cell r="N72">
            <v>68</v>
          </cell>
          <cell r="O72">
            <v>0.26</v>
          </cell>
          <cell r="T72">
            <v>68</v>
          </cell>
          <cell r="U72">
            <v>0.375</v>
          </cell>
          <cell r="W72">
            <v>68</v>
          </cell>
          <cell r="X72">
            <v>0.1</v>
          </cell>
        </row>
        <row r="73">
          <cell r="E73">
            <v>69</v>
          </cell>
          <cell r="F73">
            <v>0.17519999999999999</v>
          </cell>
          <cell r="H73">
            <v>69</v>
          </cell>
          <cell r="I73">
            <v>0.01</v>
          </cell>
          <cell r="K73">
            <v>69</v>
          </cell>
          <cell r="L73">
            <v>7.4999999999999997E-2</v>
          </cell>
          <cell r="N73">
            <v>69</v>
          </cell>
          <cell r="O73">
            <v>0.26</v>
          </cell>
          <cell r="T73">
            <v>69</v>
          </cell>
          <cell r="U73">
            <v>0.375</v>
          </cell>
          <cell r="W73">
            <v>69</v>
          </cell>
          <cell r="X73">
            <v>0.1</v>
          </cell>
        </row>
        <row r="74">
          <cell r="E74">
            <v>70</v>
          </cell>
          <cell r="F74">
            <v>0.28660000000000002</v>
          </cell>
          <cell r="H74">
            <v>70</v>
          </cell>
          <cell r="I74">
            <v>0.01</v>
          </cell>
          <cell r="K74">
            <v>70</v>
          </cell>
          <cell r="L74">
            <v>7.4999999999999997E-2</v>
          </cell>
          <cell r="N74">
            <v>70</v>
          </cell>
          <cell r="O74">
            <v>0.26</v>
          </cell>
          <cell r="T74">
            <v>70</v>
          </cell>
          <cell r="U74">
            <v>0.375</v>
          </cell>
          <cell r="W74">
            <v>70</v>
          </cell>
          <cell r="X74">
            <v>0.1</v>
          </cell>
        </row>
        <row r="75">
          <cell r="E75">
            <v>71</v>
          </cell>
          <cell r="F75">
            <v>0.28660000000000002</v>
          </cell>
          <cell r="H75">
            <v>71</v>
          </cell>
          <cell r="I75">
            <v>0.01</v>
          </cell>
          <cell r="K75">
            <v>71</v>
          </cell>
          <cell r="L75">
            <v>7.4999999999999997E-2</v>
          </cell>
          <cell r="N75">
            <v>71</v>
          </cell>
          <cell r="O75">
            <v>0.26</v>
          </cell>
          <cell r="T75">
            <v>71</v>
          </cell>
          <cell r="U75">
            <v>0.375</v>
          </cell>
          <cell r="W75">
            <v>71</v>
          </cell>
          <cell r="X75">
            <v>0.1</v>
          </cell>
        </row>
        <row r="76">
          <cell r="E76">
            <v>72</v>
          </cell>
          <cell r="F76">
            <v>0.28660000000000002</v>
          </cell>
          <cell r="H76">
            <v>72</v>
          </cell>
          <cell r="I76">
            <v>0.01</v>
          </cell>
          <cell r="K76">
            <v>72</v>
          </cell>
          <cell r="L76">
            <v>7.4999999999999997E-2</v>
          </cell>
          <cell r="N76">
            <v>72</v>
          </cell>
          <cell r="O76">
            <v>0.26</v>
          </cell>
          <cell r="T76">
            <v>72</v>
          </cell>
          <cell r="U76">
            <v>0.375</v>
          </cell>
          <cell r="W76">
            <v>72</v>
          </cell>
          <cell r="X76">
            <v>0.1</v>
          </cell>
        </row>
        <row r="77">
          <cell r="E77">
            <v>73</v>
          </cell>
          <cell r="F77">
            <v>0.28660000000000002</v>
          </cell>
          <cell r="H77">
            <v>73</v>
          </cell>
          <cell r="I77">
            <v>0.01</v>
          </cell>
          <cell r="K77">
            <v>73</v>
          </cell>
          <cell r="L77">
            <v>7.4999999999999997E-2</v>
          </cell>
          <cell r="N77">
            <v>73</v>
          </cell>
          <cell r="O77">
            <v>0.26</v>
          </cell>
          <cell r="T77">
            <v>73</v>
          </cell>
          <cell r="U77">
            <v>0.375</v>
          </cell>
          <cell r="W77">
            <v>73</v>
          </cell>
          <cell r="X77">
            <v>0.1</v>
          </cell>
        </row>
        <row r="78">
          <cell r="E78">
            <v>74</v>
          </cell>
          <cell r="F78">
            <v>0.28660000000000002</v>
          </cell>
          <cell r="H78">
            <v>74</v>
          </cell>
          <cell r="I78">
            <v>0.01</v>
          </cell>
          <cell r="K78">
            <v>74</v>
          </cell>
          <cell r="L78">
            <v>7.4999999999999997E-2</v>
          </cell>
          <cell r="N78">
            <v>74</v>
          </cell>
          <cell r="O78">
            <v>0.26</v>
          </cell>
          <cell r="T78">
            <v>74</v>
          </cell>
          <cell r="U78">
            <v>0.375</v>
          </cell>
          <cell r="W78">
            <v>74</v>
          </cell>
          <cell r="X78">
            <v>0.1</v>
          </cell>
        </row>
        <row r="79">
          <cell r="E79">
            <v>75</v>
          </cell>
          <cell r="F79">
            <v>0.2903</v>
          </cell>
          <cell r="H79">
            <v>75</v>
          </cell>
          <cell r="I79">
            <v>0.01</v>
          </cell>
          <cell r="K79">
            <v>75</v>
          </cell>
          <cell r="L79">
            <v>7.4999999999999997E-2</v>
          </cell>
          <cell r="N79">
            <v>75</v>
          </cell>
          <cell r="O79">
            <v>0.26</v>
          </cell>
          <cell r="T79">
            <v>75</v>
          </cell>
          <cell r="U79">
            <v>0.375</v>
          </cell>
          <cell r="W79">
            <v>75</v>
          </cell>
          <cell r="X79">
            <v>0.1</v>
          </cell>
        </row>
        <row r="80">
          <cell r="E80">
            <v>76</v>
          </cell>
          <cell r="F80">
            <v>0.2903</v>
          </cell>
          <cell r="H80">
            <v>76</v>
          </cell>
          <cell r="I80">
            <v>0.01</v>
          </cell>
          <cell r="K80">
            <v>76</v>
          </cell>
          <cell r="L80">
            <v>7.4999999999999997E-2</v>
          </cell>
          <cell r="N80">
            <v>76</v>
          </cell>
          <cell r="O80">
            <v>0.26</v>
          </cell>
          <cell r="T80">
            <v>76</v>
          </cell>
          <cell r="U80">
            <v>0.375</v>
          </cell>
          <cell r="W80">
            <v>76</v>
          </cell>
          <cell r="X80">
            <v>0.1</v>
          </cell>
        </row>
        <row r="81">
          <cell r="E81">
            <v>77</v>
          </cell>
          <cell r="F81">
            <v>0.2903</v>
          </cell>
          <cell r="H81">
            <v>77</v>
          </cell>
          <cell r="I81">
            <v>0.01</v>
          </cell>
          <cell r="K81">
            <v>77</v>
          </cell>
          <cell r="L81">
            <v>7.4999999999999997E-2</v>
          </cell>
          <cell r="N81">
            <v>77</v>
          </cell>
          <cell r="O81">
            <v>0.26</v>
          </cell>
          <cell r="T81">
            <v>77</v>
          </cell>
          <cell r="U81">
            <v>0.375</v>
          </cell>
          <cell r="W81">
            <v>77</v>
          </cell>
          <cell r="X81">
            <v>0.1</v>
          </cell>
        </row>
        <row r="82">
          <cell r="E82">
            <v>78</v>
          </cell>
          <cell r="F82">
            <v>0.2903</v>
          </cell>
          <cell r="H82">
            <v>78</v>
          </cell>
          <cell r="I82">
            <v>0.01</v>
          </cell>
          <cell r="K82">
            <v>78</v>
          </cell>
          <cell r="L82">
            <v>7.4999999999999997E-2</v>
          </cell>
          <cell r="N82">
            <v>78</v>
          </cell>
          <cell r="O82">
            <v>0.26</v>
          </cell>
          <cell r="T82">
            <v>78</v>
          </cell>
          <cell r="U82">
            <v>0.375</v>
          </cell>
          <cell r="W82">
            <v>78</v>
          </cell>
          <cell r="X82">
            <v>0.1</v>
          </cell>
        </row>
        <row r="83">
          <cell r="E83">
            <v>79</v>
          </cell>
          <cell r="F83">
            <v>0.2903</v>
          </cell>
          <cell r="H83">
            <v>79</v>
          </cell>
          <cell r="I83">
            <v>0.01</v>
          </cell>
          <cell r="K83">
            <v>79</v>
          </cell>
          <cell r="L83">
            <v>7.4999999999999997E-2</v>
          </cell>
          <cell r="N83">
            <v>79</v>
          </cell>
          <cell r="O83">
            <v>0.26</v>
          </cell>
          <cell r="T83">
            <v>79</v>
          </cell>
          <cell r="U83">
            <v>0.375</v>
          </cell>
          <cell r="W83">
            <v>79</v>
          </cell>
          <cell r="X83">
            <v>0.1</v>
          </cell>
        </row>
        <row r="84">
          <cell r="E84">
            <v>80</v>
          </cell>
          <cell r="F84">
            <v>0.44719999999999999</v>
          </cell>
          <cell r="H84">
            <v>80</v>
          </cell>
          <cell r="I84">
            <v>0.01</v>
          </cell>
          <cell r="K84">
            <v>80</v>
          </cell>
          <cell r="L84">
            <v>7.4999999999999997E-2</v>
          </cell>
          <cell r="N84">
            <v>80</v>
          </cell>
          <cell r="O84">
            <v>0.26</v>
          </cell>
          <cell r="T84">
            <v>80</v>
          </cell>
          <cell r="U84">
            <v>0.375</v>
          </cell>
          <cell r="W84">
            <v>80</v>
          </cell>
          <cell r="X84">
            <v>0.1</v>
          </cell>
        </row>
        <row r="85">
          <cell r="E85">
            <v>81</v>
          </cell>
          <cell r="F85">
            <v>0.44719999999999999</v>
          </cell>
          <cell r="H85">
            <v>81</v>
          </cell>
          <cell r="I85">
            <v>0.01</v>
          </cell>
          <cell r="K85">
            <v>81</v>
          </cell>
          <cell r="L85">
            <v>7.4999999999999997E-2</v>
          </cell>
          <cell r="N85">
            <v>81</v>
          </cell>
          <cell r="O85">
            <v>0.26</v>
          </cell>
          <cell r="T85">
            <v>81</v>
          </cell>
          <cell r="U85">
            <v>0.375</v>
          </cell>
          <cell r="W85">
            <v>81</v>
          </cell>
          <cell r="X85">
            <v>0.1</v>
          </cell>
        </row>
        <row r="86">
          <cell r="E86">
            <v>82</v>
          </cell>
          <cell r="F86">
            <v>0.44719999999999999</v>
          </cell>
          <cell r="H86">
            <v>82</v>
          </cell>
          <cell r="I86">
            <v>0.01</v>
          </cell>
          <cell r="K86">
            <v>82</v>
          </cell>
          <cell r="L86">
            <v>7.4999999999999997E-2</v>
          </cell>
          <cell r="N86">
            <v>82</v>
          </cell>
          <cell r="O86">
            <v>0.26</v>
          </cell>
          <cell r="T86">
            <v>82</v>
          </cell>
          <cell r="U86">
            <v>0.375</v>
          </cell>
          <cell r="W86">
            <v>82</v>
          </cell>
          <cell r="X86">
            <v>0.1</v>
          </cell>
        </row>
        <row r="87">
          <cell r="E87">
            <v>83</v>
          </cell>
          <cell r="F87">
            <v>0.44719999999999999</v>
          </cell>
          <cell r="H87">
            <v>83</v>
          </cell>
          <cell r="I87">
            <v>0.01</v>
          </cell>
          <cell r="K87">
            <v>83</v>
          </cell>
          <cell r="L87">
            <v>7.4999999999999997E-2</v>
          </cell>
          <cell r="N87">
            <v>83</v>
          </cell>
          <cell r="O87">
            <v>0.26</v>
          </cell>
          <cell r="T87">
            <v>83</v>
          </cell>
          <cell r="U87">
            <v>0.375</v>
          </cell>
          <cell r="W87">
            <v>83</v>
          </cell>
          <cell r="X87">
            <v>0.1</v>
          </cell>
        </row>
        <row r="88">
          <cell r="E88">
            <v>84</v>
          </cell>
          <cell r="F88">
            <v>0.44719999999999999</v>
          </cell>
          <cell r="H88">
            <v>84</v>
          </cell>
          <cell r="I88">
            <v>0.01</v>
          </cell>
          <cell r="K88">
            <v>84</v>
          </cell>
          <cell r="L88">
            <v>7.4999999999999997E-2</v>
          </cell>
          <cell r="N88">
            <v>84</v>
          </cell>
          <cell r="O88">
            <v>0.26</v>
          </cell>
          <cell r="T88">
            <v>84</v>
          </cell>
          <cell r="U88">
            <v>0.375</v>
          </cell>
          <cell r="W88">
            <v>84</v>
          </cell>
          <cell r="X88">
            <v>0.1</v>
          </cell>
        </row>
        <row r="89">
          <cell r="E89">
            <v>85</v>
          </cell>
          <cell r="F89">
            <v>0.47620000000000001</v>
          </cell>
          <cell r="H89">
            <v>85</v>
          </cell>
          <cell r="I89">
            <v>0.01</v>
          </cell>
          <cell r="K89">
            <v>85</v>
          </cell>
          <cell r="L89">
            <v>7.4999999999999997E-2</v>
          </cell>
          <cell r="N89">
            <v>85</v>
          </cell>
          <cell r="O89">
            <v>0.26</v>
          </cell>
          <cell r="T89">
            <v>85</v>
          </cell>
          <cell r="U89">
            <v>0.375</v>
          </cell>
          <cell r="W89">
            <v>85</v>
          </cell>
          <cell r="X89">
            <v>0.1</v>
          </cell>
        </row>
        <row r="90">
          <cell r="E90">
            <v>86</v>
          </cell>
          <cell r="F90">
            <v>0.47620000000000001</v>
          </cell>
          <cell r="H90">
            <v>86</v>
          </cell>
          <cell r="I90">
            <v>0.01</v>
          </cell>
          <cell r="K90">
            <v>86</v>
          </cell>
          <cell r="L90">
            <v>7.4999999999999997E-2</v>
          </cell>
          <cell r="N90">
            <v>86</v>
          </cell>
          <cell r="O90">
            <v>0.26</v>
          </cell>
          <cell r="T90">
            <v>86</v>
          </cell>
          <cell r="U90">
            <v>0.375</v>
          </cell>
          <cell r="W90">
            <v>86</v>
          </cell>
          <cell r="X90">
            <v>0.1</v>
          </cell>
        </row>
        <row r="91">
          <cell r="E91">
            <v>87</v>
          </cell>
          <cell r="F91">
            <v>0.47620000000000001</v>
          </cell>
          <cell r="H91">
            <v>87</v>
          </cell>
          <cell r="I91">
            <v>0.01</v>
          </cell>
          <cell r="K91">
            <v>87</v>
          </cell>
          <cell r="L91">
            <v>7.4999999999999997E-2</v>
          </cell>
          <cell r="N91">
            <v>87</v>
          </cell>
          <cell r="O91">
            <v>0.26</v>
          </cell>
          <cell r="T91">
            <v>87</v>
          </cell>
          <cell r="U91">
            <v>0.375</v>
          </cell>
          <cell r="W91">
            <v>87</v>
          </cell>
          <cell r="X91">
            <v>0.1</v>
          </cell>
        </row>
        <row r="92">
          <cell r="E92">
            <v>88</v>
          </cell>
          <cell r="F92">
            <v>0.47620000000000001</v>
          </cell>
          <cell r="H92">
            <v>88</v>
          </cell>
          <cell r="I92">
            <v>0.01</v>
          </cell>
          <cell r="K92">
            <v>88</v>
          </cell>
          <cell r="L92">
            <v>7.4999999999999997E-2</v>
          </cell>
          <cell r="N92">
            <v>88</v>
          </cell>
          <cell r="O92">
            <v>0.26</v>
          </cell>
          <cell r="T92">
            <v>88</v>
          </cell>
          <cell r="U92">
            <v>0.375</v>
          </cell>
          <cell r="W92">
            <v>88</v>
          </cell>
          <cell r="X92">
            <v>0.1</v>
          </cell>
        </row>
        <row r="93">
          <cell r="E93">
            <v>89</v>
          </cell>
          <cell r="F93">
            <v>0.47620000000000001</v>
          </cell>
          <cell r="H93">
            <v>89</v>
          </cell>
          <cell r="I93">
            <v>0.01</v>
          </cell>
          <cell r="K93">
            <v>89</v>
          </cell>
          <cell r="L93">
            <v>7.4999999999999997E-2</v>
          </cell>
          <cell r="N93">
            <v>89</v>
          </cell>
          <cell r="O93">
            <v>0.26</v>
          </cell>
          <cell r="T93">
            <v>89</v>
          </cell>
          <cell r="U93">
            <v>0.375</v>
          </cell>
          <cell r="W93">
            <v>89</v>
          </cell>
          <cell r="X93">
            <v>0.1</v>
          </cell>
        </row>
        <row r="94">
          <cell r="E94">
            <v>90</v>
          </cell>
          <cell r="F94">
            <v>0.47620000000000001</v>
          </cell>
          <cell r="H94">
            <v>90</v>
          </cell>
          <cell r="I94">
            <v>0.01</v>
          </cell>
          <cell r="K94">
            <v>90</v>
          </cell>
          <cell r="L94">
            <v>7.4999999999999997E-2</v>
          </cell>
          <cell r="N94">
            <v>90</v>
          </cell>
          <cell r="O94">
            <v>0.26</v>
          </cell>
          <cell r="T94">
            <v>90</v>
          </cell>
          <cell r="U94">
            <v>0.375</v>
          </cell>
          <cell r="W94">
            <v>90</v>
          </cell>
          <cell r="X94">
            <v>0.1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41">
          <cell r="D41">
            <v>927804.56978400005</v>
          </cell>
        </row>
      </sheetData>
      <sheetData sheetId="12" refreshError="1"/>
      <sheetData sheetId="13" refreshError="1"/>
      <sheetData sheetId="14" refreshError="1"/>
      <sheetData sheetId="15">
        <row r="4">
          <cell r="R4">
            <v>11.257181033971108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Obiero Ochieng" id="{49954AB1-5633-A649-9105-057618402E8C}" userId="8e151b9650970023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8" dT="2020-05-01T13:58:36.36" personId="{49954AB1-5633-A649-9105-057618402E8C}" id="{DA2308AC-E239-4147-90DD-D0422D5A3EEB}">
    <text>lf_adl is a tunnel state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X8" dT="2020-05-01T13:58:36.36" personId="{49954AB1-5633-A649-9105-057618402E8C}" id="{A2D7CEDE-4886-FB46-81C8-27AEA6D43680}">
    <text>lf_adl is a tunnel state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X8" dT="2020-05-01T13:58:36.36" personId="{49954AB1-5633-A649-9105-057618402E8C}" id="{94A280FA-BAD9-F247-A515-2D2D7D0F44C3}">
    <text>lf_adl is a tunnel state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X8" dT="2020-05-01T13:58:36.36" personId="{49954AB1-5633-A649-9105-057618402E8C}" id="{7459D03F-C441-3C44-977F-72736E325F4A}">
    <text>lf_adl is a tunnel state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applewebdata://91BF1286-E3A5-406D-9536-8BAAC68CD8F1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microsoft.com/office/2017/10/relationships/threadedComment" Target="../threadedComments/threadedComment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2369-7624-7F4E-B1A9-129215876725}">
  <dimension ref="B2:B16"/>
  <sheetViews>
    <sheetView showGridLines="0" workbookViewId="0">
      <selection activeCell="B16" sqref="B16"/>
    </sheetView>
  </sheetViews>
  <sheetFormatPr baseColWidth="10" defaultRowHeight="14"/>
  <cols>
    <col min="2" max="2" width="129.5" customWidth="1"/>
  </cols>
  <sheetData>
    <row r="2" spans="2:2" ht="33">
      <c r="B2" s="408" t="s">
        <v>801</v>
      </c>
    </row>
    <row r="3" spans="2:2">
      <c r="B3" s="154"/>
    </row>
    <row r="4" spans="2:2" ht="18">
      <c r="B4" s="409" t="s">
        <v>802</v>
      </c>
    </row>
    <row r="5" spans="2:2">
      <c r="B5" s="154"/>
    </row>
    <row r="6" spans="2:2">
      <c r="B6" s="410">
        <v>44348</v>
      </c>
    </row>
    <row r="7" spans="2:2">
      <c r="B7" s="154" t="s">
        <v>803</v>
      </c>
    </row>
    <row r="8" spans="2:2">
      <c r="B8" s="154"/>
    </row>
    <row r="9" spans="2:2">
      <c r="B9" s="154" t="s">
        <v>952</v>
      </c>
    </row>
    <row r="10" spans="2:2">
      <c r="B10" s="154"/>
    </row>
    <row r="11" spans="2:2">
      <c r="B11" s="154" t="s">
        <v>804</v>
      </c>
    </row>
    <row r="12" spans="2:2">
      <c r="B12" s="154" t="s">
        <v>805</v>
      </c>
    </row>
    <row r="13" spans="2:2">
      <c r="B13" s="154"/>
    </row>
    <row r="14" spans="2:2">
      <c r="B14" s="154" t="s">
        <v>806</v>
      </c>
    </row>
    <row r="15" spans="2:2">
      <c r="B15" s="154" t="s">
        <v>807</v>
      </c>
    </row>
    <row r="16" spans="2:2">
      <c r="B16" s="154" t="s">
        <v>808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A1:I187"/>
  <sheetViews>
    <sheetView workbookViewId="0">
      <selection activeCell="B21" sqref="B21"/>
    </sheetView>
  </sheetViews>
  <sheetFormatPr baseColWidth="10" defaultColWidth="9.1640625" defaultRowHeight="14"/>
  <cols>
    <col min="1" max="1" width="9.1640625" style="22"/>
    <col min="2" max="2" width="29.83203125" style="22" customWidth="1"/>
    <col min="3" max="3" width="46.6640625" style="22" customWidth="1"/>
    <col min="4" max="4" width="17.1640625" style="22" customWidth="1"/>
    <col min="5" max="5" width="14.5" style="22" customWidth="1"/>
    <col min="6" max="6" width="12.1640625" style="22" customWidth="1"/>
    <col min="7" max="7" width="12.83203125" style="22" customWidth="1"/>
    <col min="8" max="8" width="14.33203125" style="22" customWidth="1"/>
    <col min="9" max="16384" width="9.1640625" style="22"/>
  </cols>
  <sheetData>
    <row r="1" spans="1:9" ht="28">
      <c r="C1" s="23" t="s">
        <v>27</v>
      </c>
    </row>
    <row r="2" spans="1:9" ht="21" customHeight="1">
      <c r="A2" s="218"/>
      <c r="B2" s="218"/>
      <c r="C2" s="218"/>
      <c r="D2" s="218"/>
      <c r="E2" s="218"/>
      <c r="F2" s="218"/>
      <c r="G2" s="218"/>
      <c r="H2" s="218"/>
      <c r="I2" s="218"/>
    </row>
    <row r="3" spans="1:9" ht="14.25" customHeight="1">
      <c r="A3" s="218"/>
      <c r="B3" s="240" t="s">
        <v>29</v>
      </c>
      <c r="C3" s="232" t="s">
        <v>8</v>
      </c>
      <c r="D3" s="218"/>
      <c r="E3" s="218"/>
      <c r="F3" s="218"/>
      <c r="G3" s="218"/>
      <c r="H3" s="218"/>
      <c r="I3" s="218"/>
    </row>
    <row r="4" spans="1:9" ht="18">
      <c r="A4" s="218"/>
      <c r="B4" s="240" t="s">
        <v>30</v>
      </c>
      <c r="C4" s="241">
        <f ca="1">NOW()</f>
        <v>45010.4201525463</v>
      </c>
      <c r="D4" s="218"/>
      <c r="E4" s="218"/>
      <c r="F4" s="218"/>
      <c r="G4" s="218"/>
      <c r="H4" s="218"/>
      <c r="I4" s="218"/>
    </row>
    <row r="5" spans="1:9" ht="18">
      <c r="A5" s="218"/>
      <c r="B5" s="218"/>
      <c r="C5" s="218"/>
      <c r="D5" s="218"/>
      <c r="E5" s="218"/>
      <c r="F5" s="218"/>
      <c r="G5" s="218"/>
      <c r="H5" s="218"/>
      <c r="I5" s="218"/>
    </row>
    <row r="6" spans="1:9" ht="18">
      <c r="A6" s="218"/>
      <c r="B6" s="47"/>
      <c r="C6" s="218"/>
      <c r="D6" s="218"/>
      <c r="E6" s="218"/>
      <c r="F6" s="218"/>
      <c r="G6" s="218"/>
      <c r="H6" s="218"/>
      <c r="I6" s="218"/>
    </row>
    <row r="7" spans="1:9" ht="18">
      <c r="A7" s="218"/>
      <c r="B7" s="47"/>
      <c r="C7" s="218"/>
      <c r="D7" s="218"/>
      <c r="E7" s="218"/>
      <c r="F7" s="218"/>
      <c r="G7" s="218"/>
      <c r="H7" s="218"/>
      <c r="I7" s="218"/>
    </row>
    <row r="8" spans="1:9" ht="18">
      <c r="A8" s="218"/>
      <c r="B8" s="47" t="s">
        <v>575</v>
      </c>
      <c r="C8" s="218"/>
      <c r="D8" s="218"/>
      <c r="E8" s="218"/>
      <c r="F8" s="218"/>
      <c r="G8" s="218"/>
      <c r="H8" s="218"/>
      <c r="I8" s="218"/>
    </row>
    <row r="9" spans="1:9" ht="18">
      <c r="A9" s="218"/>
      <c r="B9" s="242"/>
      <c r="C9" s="218"/>
      <c r="D9" s="218"/>
      <c r="E9" s="218"/>
      <c r="F9" s="218"/>
      <c r="G9" s="218"/>
      <c r="H9" s="218"/>
      <c r="I9" s="218"/>
    </row>
    <row r="10" spans="1:9" ht="18">
      <c r="A10" s="218"/>
      <c r="B10" s="243"/>
      <c r="C10" s="218"/>
      <c r="D10" s="218"/>
      <c r="E10" s="218"/>
      <c r="F10" s="218"/>
      <c r="G10" s="218"/>
      <c r="H10" s="218"/>
      <c r="I10" s="218"/>
    </row>
    <row r="11" spans="1:9" ht="18">
      <c r="A11" s="218"/>
      <c r="B11" s="243"/>
      <c r="C11" s="218"/>
      <c r="D11" s="218"/>
      <c r="E11" s="218"/>
      <c r="F11" s="218"/>
      <c r="G11" s="218"/>
      <c r="H11" s="218"/>
      <c r="I11" s="218"/>
    </row>
    <row r="12" spans="1:9" ht="18">
      <c r="A12" s="218"/>
      <c r="B12" s="243"/>
      <c r="C12" s="218"/>
      <c r="D12" s="218"/>
      <c r="E12" s="218"/>
      <c r="F12" s="218"/>
      <c r="G12" s="218"/>
      <c r="H12" s="218"/>
      <c r="I12" s="218"/>
    </row>
    <row r="13" spans="1:9" ht="18">
      <c r="A13" s="218"/>
      <c r="B13" s="242"/>
      <c r="C13" s="218"/>
      <c r="D13" s="218"/>
      <c r="E13" s="218"/>
      <c r="F13" s="218"/>
      <c r="G13" s="218"/>
      <c r="H13" s="218"/>
      <c r="I13" s="218"/>
    </row>
    <row r="14" spans="1:9" ht="18">
      <c r="A14" s="218"/>
      <c r="B14" s="242"/>
      <c r="C14" s="218"/>
      <c r="D14" s="218"/>
      <c r="E14" s="218"/>
      <c r="F14" s="218"/>
      <c r="G14" s="218"/>
      <c r="H14" s="218"/>
      <c r="I14" s="218"/>
    </row>
    <row r="15" spans="1:9" ht="18">
      <c r="A15" s="218"/>
      <c r="B15" s="218"/>
      <c r="C15" s="218"/>
      <c r="D15" s="218"/>
      <c r="E15" s="218"/>
      <c r="F15" s="218"/>
      <c r="G15" s="218"/>
      <c r="H15" s="218"/>
      <c r="I15" s="218"/>
    </row>
    <row r="16" spans="1:9" ht="18">
      <c r="A16" s="218"/>
      <c r="B16" s="218"/>
      <c r="C16" s="218"/>
      <c r="D16" s="218"/>
      <c r="E16" s="218"/>
      <c r="F16" s="218"/>
      <c r="G16" s="218"/>
      <c r="H16" s="218"/>
      <c r="I16" s="218"/>
    </row>
    <row r="17" spans="1:9" ht="18">
      <c r="A17" s="218"/>
      <c r="B17" s="218"/>
      <c r="C17" s="218"/>
      <c r="D17" s="218"/>
      <c r="E17" s="218"/>
      <c r="F17" s="218"/>
      <c r="G17" s="218"/>
      <c r="H17" s="218"/>
      <c r="I17" s="218"/>
    </row>
    <row r="18" spans="1:9" ht="18">
      <c r="A18" s="218"/>
      <c r="B18" s="218"/>
      <c r="C18" s="218"/>
      <c r="D18" s="218"/>
      <c r="E18" s="218"/>
      <c r="F18" s="218"/>
      <c r="G18" s="218"/>
      <c r="H18" s="218"/>
      <c r="I18" s="218"/>
    </row>
    <row r="19" spans="1:9" ht="18">
      <c r="A19" s="218"/>
      <c r="B19" s="218"/>
      <c r="C19" s="218"/>
      <c r="D19" s="218"/>
      <c r="E19" s="218"/>
      <c r="F19" s="218"/>
      <c r="G19" s="218"/>
      <c r="H19" s="218"/>
      <c r="I19" s="218"/>
    </row>
    <row r="20" spans="1:9" ht="18">
      <c r="A20" s="218"/>
      <c r="B20" s="218"/>
      <c r="C20" s="218"/>
      <c r="D20" s="218"/>
      <c r="E20" s="218"/>
      <c r="F20" s="218"/>
      <c r="G20" s="218"/>
      <c r="H20" s="218"/>
      <c r="I20" s="218"/>
    </row>
    <row r="21" spans="1:9" ht="18">
      <c r="A21" s="218"/>
      <c r="B21" s="218"/>
      <c r="C21" s="218"/>
      <c r="D21" s="218"/>
      <c r="E21" s="218"/>
      <c r="F21" s="218"/>
      <c r="G21" s="218"/>
      <c r="H21" s="218"/>
      <c r="I21" s="218"/>
    </row>
    <row r="22" spans="1:9" ht="18">
      <c r="A22" s="218"/>
      <c r="B22" s="218"/>
      <c r="C22" s="218"/>
      <c r="D22" s="218"/>
      <c r="E22" s="218"/>
      <c r="F22" s="218"/>
      <c r="G22" s="218"/>
      <c r="H22" s="218"/>
      <c r="I22" s="218"/>
    </row>
    <row r="23" spans="1:9" ht="18">
      <c r="A23" s="218"/>
      <c r="B23" s="218"/>
      <c r="C23" s="218"/>
      <c r="D23" s="218"/>
      <c r="E23" s="218"/>
      <c r="F23" s="218"/>
      <c r="G23" s="218"/>
      <c r="H23" s="218"/>
      <c r="I23" s="218"/>
    </row>
    <row r="24" spans="1:9" ht="18">
      <c r="A24" s="218"/>
      <c r="B24" s="218"/>
      <c r="C24" s="218"/>
      <c r="D24" s="218"/>
      <c r="E24" s="218"/>
      <c r="F24" s="218"/>
      <c r="G24" s="218"/>
      <c r="H24" s="218"/>
      <c r="I24" s="218"/>
    </row>
    <row r="25" spans="1:9" ht="18">
      <c r="A25" s="218"/>
      <c r="B25" s="218"/>
      <c r="C25" s="218"/>
      <c r="D25" s="218"/>
      <c r="E25" s="218"/>
      <c r="F25" s="218"/>
      <c r="G25" s="218"/>
      <c r="H25" s="218"/>
      <c r="I25" s="218"/>
    </row>
    <row r="26" spans="1:9" ht="18">
      <c r="A26" s="218"/>
      <c r="B26" s="218"/>
      <c r="C26" s="218"/>
      <c r="D26" s="218"/>
      <c r="E26" s="218"/>
      <c r="F26" s="218"/>
      <c r="G26" s="218"/>
      <c r="H26" s="218"/>
      <c r="I26" s="218"/>
    </row>
    <row r="27" spans="1:9" ht="18">
      <c r="A27" s="218"/>
      <c r="B27" s="218"/>
      <c r="C27" s="218"/>
      <c r="D27" s="218"/>
      <c r="E27" s="218"/>
      <c r="F27" s="218"/>
      <c r="G27" s="218"/>
      <c r="H27" s="218"/>
      <c r="I27" s="218"/>
    </row>
    <row r="28" spans="1:9" ht="18">
      <c r="A28" s="218"/>
      <c r="B28" s="218"/>
      <c r="C28" s="218"/>
      <c r="D28" s="218"/>
      <c r="E28" s="218"/>
      <c r="F28" s="218"/>
      <c r="G28" s="218"/>
      <c r="H28" s="218"/>
      <c r="I28" s="218"/>
    </row>
    <row r="29" spans="1:9" ht="18">
      <c r="A29" s="218"/>
      <c r="B29" s="218"/>
      <c r="C29" s="218"/>
      <c r="D29" s="218"/>
      <c r="E29" s="218"/>
      <c r="F29" s="218"/>
      <c r="G29" s="218"/>
      <c r="H29" s="218"/>
      <c r="I29" s="218"/>
    </row>
    <row r="30" spans="1:9" ht="18">
      <c r="A30" s="218"/>
      <c r="B30" s="218"/>
      <c r="C30" s="218"/>
      <c r="D30" s="218"/>
      <c r="E30" s="218"/>
      <c r="F30" s="218"/>
      <c r="G30" s="218"/>
      <c r="H30" s="218"/>
      <c r="I30" s="218"/>
    </row>
    <row r="31" spans="1:9" ht="18">
      <c r="A31" s="218"/>
      <c r="B31" s="218"/>
      <c r="C31" s="218"/>
      <c r="D31" s="218"/>
      <c r="E31" s="218"/>
      <c r="F31" s="218"/>
      <c r="G31" s="218"/>
      <c r="H31" s="218"/>
      <c r="I31" s="218"/>
    </row>
    <row r="32" spans="1:9" ht="18">
      <c r="A32" s="218"/>
      <c r="B32" s="218"/>
      <c r="C32" s="218"/>
      <c r="D32" s="218"/>
      <c r="E32" s="218"/>
      <c r="F32" s="218"/>
      <c r="G32" s="218"/>
      <c r="H32" s="218"/>
      <c r="I32" s="218"/>
    </row>
    <row r="33" spans="1:9" ht="18">
      <c r="A33" s="218"/>
      <c r="B33" s="218"/>
      <c r="C33" s="218"/>
      <c r="D33" s="218"/>
      <c r="E33" s="218"/>
      <c r="F33" s="218"/>
      <c r="G33" s="218"/>
      <c r="H33" s="218"/>
      <c r="I33" s="218"/>
    </row>
    <row r="34" spans="1:9" ht="18">
      <c r="A34" s="218"/>
      <c r="B34" s="218"/>
      <c r="C34" s="218"/>
      <c r="D34" s="218"/>
      <c r="E34" s="218"/>
      <c r="F34" s="218"/>
      <c r="G34" s="218"/>
      <c r="H34" s="218"/>
      <c r="I34" s="218"/>
    </row>
    <row r="35" spans="1:9" ht="18">
      <c r="A35" s="218"/>
      <c r="B35" s="218"/>
      <c r="C35" s="218"/>
      <c r="D35" s="218"/>
      <c r="E35" s="218"/>
      <c r="F35" s="218"/>
      <c r="G35" s="218"/>
      <c r="H35" s="218"/>
      <c r="I35" s="218"/>
    </row>
    <row r="36" spans="1:9" ht="18">
      <c r="A36" s="218"/>
      <c r="B36" s="218"/>
      <c r="C36" s="218"/>
      <c r="D36" s="218"/>
      <c r="E36" s="218"/>
      <c r="F36" s="218"/>
      <c r="G36" s="218"/>
      <c r="H36" s="218"/>
      <c r="I36" s="218"/>
    </row>
    <row r="37" spans="1:9" ht="18">
      <c r="A37" s="218"/>
      <c r="B37" s="218"/>
      <c r="C37" s="218"/>
      <c r="D37" s="218"/>
      <c r="E37" s="218"/>
      <c r="F37" s="218"/>
      <c r="G37" s="218"/>
      <c r="H37" s="218"/>
      <c r="I37" s="218"/>
    </row>
    <row r="38" spans="1:9" ht="18">
      <c r="A38" s="218"/>
      <c r="B38" s="218"/>
      <c r="C38" s="218"/>
      <c r="D38" s="218"/>
      <c r="E38" s="218"/>
      <c r="F38" s="218"/>
      <c r="G38" s="218"/>
      <c r="H38" s="218"/>
      <c r="I38" s="218"/>
    </row>
    <row r="39" spans="1:9" ht="18">
      <c r="A39" s="218"/>
      <c r="B39" s="218"/>
      <c r="C39" s="218"/>
      <c r="D39" s="218"/>
      <c r="E39" s="218"/>
      <c r="F39" s="218"/>
      <c r="G39" s="218"/>
      <c r="H39" s="218"/>
      <c r="I39" s="218"/>
    </row>
    <row r="40" spans="1:9" ht="18">
      <c r="A40" s="218"/>
      <c r="B40" s="218"/>
      <c r="C40" s="218"/>
      <c r="D40" s="218"/>
      <c r="E40" s="218"/>
      <c r="F40" s="218"/>
      <c r="G40" s="218"/>
      <c r="H40" s="218"/>
      <c r="I40" s="218"/>
    </row>
    <row r="41" spans="1:9" ht="18">
      <c r="A41" s="218"/>
      <c r="B41" s="218"/>
      <c r="C41" s="218"/>
      <c r="D41" s="218"/>
      <c r="E41" s="218"/>
      <c r="F41" s="218"/>
      <c r="G41" s="218"/>
      <c r="H41" s="218"/>
      <c r="I41" s="218"/>
    </row>
    <row r="42" spans="1:9" ht="18">
      <c r="A42" s="218"/>
      <c r="B42" s="218"/>
      <c r="C42" s="218"/>
      <c r="D42" s="218"/>
      <c r="E42" s="218"/>
      <c r="F42" s="218"/>
      <c r="G42" s="218"/>
      <c r="H42" s="218"/>
      <c r="I42" s="218"/>
    </row>
    <row r="43" spans="1:9" ht="18">
      <c r="A43" s="218"/>
      <c r="B43" s="218"/>
      <c r="C43" s="218"/>
      <c r="D43" s="218"/>
      <c r="E43" s="218"/>
      <c r="F43" s="218"/>
      <c r="G43" s="218"/>
      <c r="H43" s="218"/>
      <c r="I43" s="218"/>
    </row>
    <row r="44" spans="1:9" ht="18">
      <c r="A44" s="218"/>
      <c r="B44" s="218"/>
      <c r="C44" s="218"/>
      <c r="D44" s="218"/>
      <c r="E44" s="218"/>
      <c r="F44" s="218"/>
      <c r="G44" s="218"/>
      <c r="H44" s="218"/>
      <c r="I44" s="218"/>
    </row>
    <row r="45" spans="1:9" ht="18">
      <c r="A45" s="218"/>
      <c r="B45" s="218"/>
      <c r="C45" s="218"/>
      <c r="D45" s="218"/>
      <c r="E45" s="218"/>
      <c r="F45" s="218"/>
      <c r="G45" s="218"/>
      <c r="H45" s="218"/>
      <c r="I45" s="218"/>
    </row>
    <row r="46" spans="1:9" ht="18">
      <c r="A46" s="218"/>
      <c r="B46" s="218"/>
      <c r="C46" s="218"/>
      <c r="D46" s="218"/>
      <c r="E46" s="218"/>
      <c r="F46" s="218"/>
      <c r="G46" s="218"/>
      <c r="H46" s="218"/>
      <c r="I46" s="218"/>
    </row>
    <row r="47" spans="1:9" ht="18">
      <c r="A47" s="218"/>
      <c r="B47" s="218"/>
      <c r="C47" s="218"/>
      <c r="D47" s="218"/>
      <c r="E47" s="218"/>
      <c r="F47" s="218"/>
      <c r="G47" s="218"/>
      <c r="H47" s="218"/>
      <c r="I47" s="218"/>
    </row>
    <row r="48" spans="1:9" ht="18">
      <c r="A48" s="218"/>
      <c r="B48" s="218"/>
      <c r="C48" s="218"/>
      <c r="D48" s="218"/>
      <c r="E48" s="218"/>
      <c r="F48" s="218"/>
      <c r="G48" s="218"/>
      <c r="H48" s="218"/>
      <c r="I48" s="218"/>
    </row>
    <row r="49" spans="1:9" ht="18">
      <c r="A49" s="218"/>
      <c r="B49" s="218"/>
      <c r="C49" s="218"/>
      <c r="D49" s="218"/>
      <c r="E49" s="218"/>
      <c r="F49" s="218"/>
      <c r="G49" s="218"/>
      <c r="H49" s="218"/>
      <c r="I49" s="218"/>
    </row>
    <row r="50" spans="1:9" ht="18">
      <c r="A50" s="218"/>
      <c r="B50" s="218"/>
      <c r="C50" s="218"/>
      <c r="D50" s="218"/>
      <c r="E50" s="218"/>
      <c r="F50" s="218"/>
      <c r="G50" s="218"/>
      <c r="H50" s="218"/>
      <c r="I50" s="218"/>
    </row>
    <row r="51" spans="1:9" ht="18">
      <c r="A51" s="218"/>
      <c r="B51" s="218"/>
      <c r="C51" s="218"/>
      <c r="D51" s="218"/>
      <c r="E51" s="218"/>
      <c r="F51" s="218"/>
      <c r="G51" s="218"/>
      <c r="H51" s="218"/>
      <c r="I51" s="218"/>
    </row>
    <row r="52" spans="1:9" ht="18">
      <c r="A52" s="218"/>
      <c r="B52" s="218"/>
      <c r="C52" s="218"/>
      <c r="D52" s="218"/>
      <c r="E52" s="218"/>
      <c r="F52" s="218"/>
      <c r="G52" s="218"/>
      <c r="H52" s="218"/>
      <c r="I52" s="218"/>
    </row>
    <row r="53" spans="1:9" ht="18">
      <c r="A53" s="218"/>
      <c r="B53" s="218"/>
      <c r="C53" s="218"/>
      <c r="D53" s="218"/>
      <c r="E53" s="218"/>
      <c r="F53" s="218"/>
      <c r="G53" s="218"/>
      <c r="H53" s="218"/>
      <c r="I53" s="218"/>
    </row>
    <row r="54" spans="1:9" ht="18">
      <c r="A54" s="218"/>
      <c r="B54" s="218"/>
      <c r="C54" s="218"/>
      <c r="D54" s="218"/>
      <c r="E54" s="218"/>
      <c r="F54" s="218"/>
      <c r="G54" s="218"/>
      <c r="H54" s="218"/>
      <c r="I54" s="218"/>
    </row>
    <row r="55" spans="1:9" ht="18">
      <c r="A55" s="218"/>
      <c r="B55" s="218"/>
      <c r="C55" s="218"/>
      <c r="D55" s="218"/>
      <c r="E55" s="218"/>
      <c r="F55" s="218"/>
      <c r="G55" s="218"/>
      <c r="H55" s="218"/>
      <c r="I55" s="218"/>
    </row>
    <row r="56" spans="1:9" ht="18">
      <c r="A56" s="218"/>
      <c r="B56" s="218"/>
      <c r="C56" s="218"/>
      <c r="D56" s="218"/>
      <c r="E56" s="218"/>
      <c r="F56" s="218"/>
      <c r="G56" s="218"/>
      <c r="H56" s="218"/>
      <c r="I56" s="218"/>
    </row>
    <row r="57" spans="1:9" ht="18">
      <c r="A57" s="218"/>
      <c r="B57" s="218"/>
      <c r="C57" s="218"/>
      <c r="D57" s="218"/>
      <c r="E57" s="218"/>
      <c r="F57" s="218"/>
      <c r="G57" s="218"/>
      <c r="H57" s="218"/>
      <c r="I57" s="218"/>
    </row>
    <row r="58" spans="1:9" ht="18">
      <c r="A58" s="218"/>
      <c r="B58" s="218"/>
      <c r="C58" s="218"/>
      <c r="D58" s="218"/>
      <c r="E58" s="218"/>
      <c r="F58" s="218"/>
      <c r="G58" s="218"/>
      <c r="H58" s="218"/>
      <c r="I58" s="218"/>
    </row>
    <row r="59" spans="1:9" ht="18">
      <c r="A59" s="218"/>
      <c r="B59" s="218"/>
      <c r="C59" s="218"/>
      <c r="D59" s="218"/>
      <c r="E59" s="218"/>
      <c r="F59" s="218"/>
      <c r="G59" s="218"/>
      <c r="H59" s="218"/>
      <c r="I59" s="218"/>
    </row>
    <row r="60" spans="1:9" ht="18">
      <c r="A60" s="218"/>
      <c r="B60" s="218"/>
      <c r="C60" s="218"/>
      <c r="D60" s="218"/>
      <c r="E60" s="218"/>
      <c r="F60" s="218"/>
      <c r="G60" s="218"/>
      <c r="H60" s="218"/>
      <c r="I60" s="218"/>
    </row>
    <row r="61" spans="1:9" ht="18">
      <c r="A61" s="218"/>
      <c r="B61" s="218"/>
      <c r="C61" s="218"/>
      <c r="D61" s="218"/>
      <c r="E61" s="218"/>
      <c r="F61" s="218"/>
      <c r="G61" s="218"/>
      <c r="H61" s="218"/>
      <c r="I61" s="218"/>
    </row>
    <row r="62" spans="1:9" ht="18">
      <c r="A62" s="218"/>
      <c r="B62" s="218"/>
      <c r="C62" s="218"/>
      <c r="D62" s="218"/>
      <c r="E62" s="218"/>
      <c r="F62" s="218"/>
      <c r="G62" s="218"/>
      <c r="H62" s="218"/>
      <c r="I62" s="218"/>
    </row>
    <row r="63" spans="1:9" ht="18">
      <c r="A63" s="218"/>
      <c r="B63" s="218"/>
      <c r="C63" s="218"/>
      <c r="D63" s="218"/>
      <c r="E63" s="218"/>
      <c r="F63" s="218"/>
      <c r="G63" s="218"/>
      <c r="H63" s="218"/>
      <c r="I63" s="218"/>
    </row>
    <row r="64" spans="1:9" ht="18">
      <c r="A64" s="218"/>
      <c r="B64" s="218"/>
      <c r="C64" s="218"/>
      <c r="D64" s="218"/>
      <c r="E64" s="218"/>
      <c r="F64" s="218"/>
      <c r="G64" s="218"/>
      <c r="H64" s="218"/>
      <c r="I64" s="218"/>
    </row>
    <row r="65" spans="1:9" ht="18">
      <c r="A65" s="218"/>
      <c r="B65" s="218"/>
      <c r="C65" s="218"/>
      <c r="D65" s="218"/>
      <c r="E65" s="218"/>
      <c r="F65" s="218"/>
      <c r="G65" s="218"/>
      <c r="H65" s="218"/>
      <c r="I65" s="218"/>
    </row>
    <row r="66" spans="1:9" ht="18">
      <c r="A66" s="218"/>
      <c r="B66" s="218"/>
      <c r="C66" s="218"/>
      <c r="D66" s="218"/>
      <c r="E66" s="218"/>
      <c r="F66" s="218"/>
      <c r="G66" s="218"/>
      <c r="H66" s="218"/>
      <c r="I66" s="218"/>
    </row>
    <row r="67" spans="1:9" ht="18">
      <c r="A67" s="218"/>
      <c r="B67" s="218"/>
      <c r="C67" s="218"/>
      <c r="D67" s="218"/>
      <c r="E67" s="218"/>
      <c r="F67" s="218"/>
      <c r="G67" s="218"/>
      <c r="H67" s="218"/>
      <c r="I67" s="218"/>
    </row>
    <row r="68" spans="1:9" ht="18">
      <c r="A68" s="218"/>
      <c r="B68" s="218"/>
      <c r="C68" s="218"/>
      <c r="D68" s="218"/>
      <c r="E68" s="218"/>
      <c r="F68" s="218"/>
      <c r="G68" s="218"/>
      <c r="H68" s="218"/>
      <c r="I68" s="218"/>
    </row>
    <row r="69" spans="1:9" ht="18">
      <c r="A69" s="218"/>
      <c r="B69" s="218"/>
      <c r="C69" s="218"/>
      <c r="D69" s="218"/>
      <c r="E69" s="218"/>
      <c r="F69" s="218"/>
      <c r="G69" s="218"/>
      <c r="H69" s="218"/>
      <c r="I69" s="218"/>
    </row>
    <row r="70" spans="1:9" ht="18">
      <c r="A70" s="218"/>
      <c r="B70" s="218"/>
      <c r="C70" s="218"/>
      <c r="D70" s="218"/>
      <c r="E70" s="218"/>
      <c r="F70" s="218"/>
      <c r="G70" s="218"/>
      <c r="H70" s="218"/>
      <c r="I70" s="218"/>
    </row>
    <row r="71" spans="1:9" ht="18">
      <c r="A71" s="218"/>
      <c r="B71" s="218"/>
      <c r="C71" s="218"/>
      <c r="D71" s="218"/>
      <c r="E71" s="218"/>
      <c r="F71" s="218"/>
      <c r="G71" s="218"/>
      <c r="H71" s="218"/>
      <c r="I71" s="218"/>
    </row>
    <row r="72" spans="1:9" ht="18">
      <c r="A72" s="218"/>
      <c r="B72" s="218"/>
      <c r="C72" s="218"/>
      <c r="D72" s="218"/>
      <c r="E72" s="218"/>
      <c r="F72" s="218"/>
      <c r="G72" s="218"/>
      <c r="H72" s="218"/>
      <c r="I72" s="218"/>
    </row>
    <row r="73" spans="1:9" ht="18">
      <c r="A73" s="218"/>
      <c r="B73" s="218"/>
      <c r="C73" s="218"/>
      <c r="D73" s="218"/>
      <c r="E73" s="218"/>
      <c r="F73" s="218"/>
      <c r="G73" s="218"/>
      <c r="H73" s="218"/>
      <c r="I73" s="218"/>
    </row>
    <row r="74" spans="1:9" ht="18">
      <c r="A74" s="218"/>
      <c r="B74" s="218"/>
      <c r="C74" s="218"/>
      <c r="D74" s="218"/>
      <c r="E74" s="218"/>
      <c r="F74" s="218"/>
      <c r="G74" s="218"/>
      <c r="H74" s="218"/>
      <c r="I74" s="218"/>
    </row>
    <row r="75" spans="1:9" ht="18">
      <c r="A75" s="218"/>
      <c r="B75" s="218"/>
      <c r="C75" s="218"/>
      <c r="D75" s="218"/>
      <c r="E75" s="218"/>
      <c r="F75" s="218"/>
      <c r="G75" s="218"/>
      <c r="H75" s="218"/>
      <c r="I75" s="218"/>
    </row>
    <row r="76" spans="1:9" ht="18">
      <c r="A76" s="218"/>
      <c r="B76" s="218"/>
      <c r="C76" s="218"/>
      <c r="D76" s="218"/>
      <c r="E76" s="218"/>
      <c r="F76" s="218"/>
      <c r="G76" s="218"/>
      <c r="H76" s="218"/>
      <c r="I76" s="218"/>
    </row>
    <row r="77" spans="1:9" ht="18">
      <c r="A77" s="218"/>
      <c r="B77" s="218"/>
      <c r="C77" s="218"/>
      <c r="D77" s="218"/>
      <c r="E77" s="218"/>
      <c r="F77" s="218"/>
      <c r="G77" s="218"/>
      <c r="H77" s="218"/>
      <c r="I77" s="218"/>
    </row>
    <row r="78" spans="1:9" ht="18">
      <c r="A78" s="218"/>
      <c r="B78" s="218"/>
      <c r="C78" s="218"/>
      <c r="D78" s="218"/>
      <c r="E78" s="218"/>
      <c r="F78" s="218"/>
      <c r="G78" s="218"/>
      <c r="H78" s="218"/>
      <c r="I78" s="218"/>
    </row>
    <row r="79" spans="1:9" ht="18">
      <c r="A79" s="218"/>
      <c r="B79" s="218"/>
      <c r="C79" s="218"/>
      <c r="D79" s="218"/>
      <c r="E79" s="218"/>
      <c r="F79" s="218"/>
      <c r="G79" s="218"/>
      <c r="H79" s="218"/>
      <c r="I79" s="218"/>
    </row>
    <row r="80" spans="1:9" ht="18">
      <c r="A80" s="218"/>
      <c r="B80" s="218"/>
      <c r="C80" s="218"/>
      <c r="D80" s="218"/>
      <c r="E80" s="218"/>
      <c r="F80" s="218"/>
      <c r="G80" s="218"/>
      <c r="H80" s="218"/>
      <c r="I80" s="218"/>
    </row>
    <row r="81" spans="1:9" ht="18">
      <c r="A81" s="218"/>
      <c r="B81" s="218"/>
      <c r="C81" s="218"/>
      <c r="D81" s="218"/>
      <c r="E81" s="218"/>
      <c r="F81" s="218"/>
      <c r="G81" s="218"/>
      <c r="H81" s="218"/>
      <c r="I81" s="218"/>
    </row>
    <row r="82" spans="1:9" ht="18">
      <c r="A82" s="218"/>
      <c r="B82" s="218"/>
      <c r="C82" s="218"/>
      <c r="D82" s="218"/>
      <c r="E82" s="218"/>
      <c r="F82" s="218"/>
      <c r="G82" s="218"/>
      <c r="H82" s="218"/>
      <c r="I82" s="218"/>
    </row>
    <row r="83" spans="1:9" ht="18">
      <c r="A83" s="218"/>
      <c r="B83" s="218"/>
      <c r="C83" s="218"/>
      <c r="D83" s="218"/>
      <c r="E83" s="218"/>
      <c r="F83" s="218"/>
      <c r="G83" s="218"/>
      <c r="H83" s="218"/>
      <c r="I83" s="218"/>
    </row>
    <row r="84" spans="1:9" ht="18">
      <c r="A84" s="218"/>
      <c r="B84" s="218"/>
      <c r="C84" s="218"/>
      <c r="D84" s="218"/>
      <c r="E84" s="218"/>
      <c r="F84" s="218"/>
      <c r="G84" s="218"/>
      <c r="H84" s="218"/>
      <c r="I84" s="218"/>
    </row>
    <row r="85" spans="1:9" ht="18">
      <c r="A85" s="218"/>
      <c r="B85" s="218"/>
      <c r="C85" s="218"/>
      <c r="D85" s="218"/>
      <c r="E85" s="218"/>
      <c r="F85" s="218"/>
      <c r="G85" s="218"/>
      <c r="H85" s="218"/>
      <c r="I85" s="218"/>
    </row>
    <row r="86" spans="1:9" ht="18">
      <c r="A86" s="218"/>
      <c r="B86" s="218"/>
      <c r="C86" s="218"/>
      <c r="D86" s="218"/>
      <c r="E86" s="218"/>
      <c r="F86" s="218"/>
      <c r="G86" s="218"/>
      <c r="H86" s="218"/>
      <c r="I86" s="218"/>
    </row>
    <row r="87" spans="1:9" ht="18">
      <c r="A87" s="218"/>
      <c r="B87" s="218"/>
      <c r="C87" s="218"/>
      <c r="D87" s="218"/>
      <c r="E87" s="218"/>
      <c r="F87" s="218"/>
      <c r="G87" s="218"/>
      <c r="H87" s="218"/>
      <c r="I87" s="218"/>
    </row>
    <row r="88" spans="1:9" ht="18">
      <c r="A88" s="218"/>
      <c r="B88" s="218"/>
      <c r="C88" s="218"/>
      <c r="D88" s="218"/>
      <c r="E88" s="218"/>
      <c r="F88" s="218"/>
      <c r="G88" s="218"/>
      <c r="H88" s="218"/>
      <c r="I88" s="218"/>
    </row>
    <row r="89" spans="1:9" ht="18">
      <c r="A89" s="218"/>
      <c r="B89" s="218"/>
      <c r="C89" s="218"/>
      <c r="D89" s="218"/>
      <c r="E89" s="218"/>
      <c r="F89" s="218"/>
      <c r="G89" s="218"/>
      <c r="H89" s="218"/>
      <c r="I89" s="218"/>
    </row>
    <row r="90" spans="1:9" ht="18">
      <c r="A90" s="218"/>
      <c r="B90" s="218"/>
      <c r="C90" s="218"/>
      <c r="D90" s="218"/>
      <c r="E90" s="218"/>
      <c r="F90" s="218"/>
      <c r="G90" s="218"/>
      <c r="H90" s="218"/>
      <c r="I90" s="218"/>
    </row>
    <row r="91" spans="1:9" ht="18">
      <c r="A91" s="218"/>
      <c r="B91" s="218"/>
      <c r="C91" s="218"/>
      <c r="D91" s="218"/>
      <c r="E91" s="218"/>
      <c r="F91" s="218"/>
      <c r="G91" s="218"/>
      <c r="H91" s="218"/>
      <c r="I91" s="218"/>
    </row>
    <row r="92" spans="1:9" ht="18">
      <c r="A92" s="218"/>
      <c r="B92" s="218"/>
      <c r="C92" s="218"/>
      <c r="D92" s="218"/>
      <c r="E92" s="218"/>
      <c r="F92" s="218"/>
      <c r="G92" s="218"/>
      <c r="H92" s="218"/>
      <c r="I92" s="218"/>
    </row>
    <row r="93" spans="1:9" ht="18">
      <c r="A93" s="218"/>
      <c r="B93" s="218"/>
      <c r="C93" s="218"/>
      <c r="D93" s="218"/>
      <c r="E93" s="218"/>
      <c r="F93" s="218"/>
      <c r="G93" s="218"/>
      <c r="H93" s="218"/>
      <c r="I93" s="218"/>
    </row>
    <row r="94" spans="1:9" ht="18">
      <c r="A94" s="218"/>
      <c r="B94" s="218"/>
      <c r="C94" s="218"/>
      <c r="D94" s="218"/>
      <c r="E94" s="218"/>
      <c r="F94" s="218"/>
      <c r="G94" s="218"/>
      <c r="H94" s="218"/>
      <c r="I94" s="218"/>
    </row>
    <row r="95" spans="1:9" ht="18">
      <c r="A95" s="218"/>
      <c r="B95" s="218"/>
      <c r="C95" s="218"/>
      <c r="D95" s="218"/>
      <c r="E95" s="218"/>
      <c r="F95" s="218"/>
      <c r="G95" s="218"/>
      <c r="H95" s="218"/>
      <c r="I95" s="218"/>
    </row>
    <row r="96" spans="1:9" ht="18">
      <c r="A96" s="218"/>
      <c r="B96" s="218"/>
      <c r="C96" s="218"/>
      <c r="D96" s="218"/>
      <c r="E96" s="218"/>
      <c r="F96" s="218"/>
      <c r="G96" s="218"/>
      <c r="H96" s="218"/>
      <c r="I96" s="218"/>
    </row>
    <row r="97" spans="1:9" ht="18">
      <c r="A97" s="218"/>
      <c r="B97" s="218"/>
      <c r="C97" s="218"/>
      <c r="D97" s="218"/>
      <c r="E97" s="218"/>
      <c r="F97" s="218"/>
      <c r="G97" s="218"/>
      <c r="H97" s="218"/>
      <c r="I97" s="218"/>
    </row>
    <row r="98" spans="1:9" ht="18">
      <c r="A98" s="218"/>
      <c r="B98" s="218"/>
      <c r="C98" s="218"/>
      <c r="D98" s="218"/>
      <c r="E98" s="218"/>
      <c r="F98" s="218"/>
      <c r="G98" s="218"/>
      <c r="H98" s="218"/>
      <c r="I98" s="218"/>
    </row>
    <row r="99" spans="1:9" ht="18">
      <c r="A99" s="218"/>
      <c r="B99" s="218"/>
      <c r="C99" s="218"/>
      <c r="D99" s="218"/>
      <c r="E99" s="218"/>
      <c r="F99" s="218"/>
      <c r="G99" s="218"/>
      <c r="H99" s="218"/>
      <c r="I99" s="218"/>
    </row>
    <row r="100" spans="1:9" ht="18">
      <c r="A100" s="218"/>
      <c r="B100" s="218"/>
      <c r="C100" s="218"/>
      <c r="D100" s="218"/>
      <c r="E100" s="218"/>
      <c r="F100" s="218"/>
      <c r="G100" s="218"/>
      <c r="H100" s="218"/>
      <c r="I100" s="218"/>
    </row>
    <row r="101" spans="1:9" ht="18">
      <c r="A101" s="218"/>
      <c r="B101" s="218"/>
      <c r="C101" s="218"/>
      <c r="D101" s="218"/>
      <c r="E101" s="218"/>
      <c r="F101" s="218"/>
      <c r="G101" s="218"/>
      <c r="H101" s="218"/>
      <c r="I101" s="218"/>
    </row>
    <row r="102" spans="1:9" ht="18">
      <c r="A102" s="218"/>
      <c r="B102" s="218"/>
      <c r="C102" s="218"/>
      <c r="D102" s="218"/>
      <c r="E102" s="218"/>
      <c r="F102" s="218"/>
      <c r="G102" s="218"/>
      <c r="H102" s="218"/>
      <c r="I102" s="218"/>
    </row>
    <row r="103" spans="1:9" ht="18">
      <c r="A103" s="218"/>
      <c r="B103" s="218"/>
      <c r="C103" s="218"/>
      <c r="D103" s="218"/>
      <c r="E103" s="218"/>
      <c r="F103" s="218"/>
      <c r="G103" s="218"/>
      <c r="H103" s="218"/>
      <c r="I103" s="218"/>
    </row>
    <row r="104" spans="1:9" ht="18">
      <c r="A104" s="218"/>
      <c r="B104" s="218"/>
      <c r="C104" s="218"/>
      <c r="D104" s="218"/>
      <c r="E104" s="218"/>
      <c r="F104" s="218"/>
      <c r="G104" s="218"/>
      <c r="H104" s="218"/>
      <c r="I104" s="218"/>
    </row>
    <row r="105" spans="1:9" ht="18">
      <c r="A105" s="218"/>
      <c r="B105" s="218"/>
      <c r="C105" s="218"/>
      <c r="D105" s="218"/>
      <c r="E105" s="218"/>
      <c r="F105" s="218"/>
      <c r="G105" s="218"/>
      <c r="H105" s="218"/>
      <c r="I105" s="218"/>
    </row>
    <row r="106" spans="1:9" ht="18">
      <c r="A106" s="218"/>
      <c r="B106" s="218"/>
      <c r="C106" s="218"/>
      <c r="D106" s="218"/>
      <c r="E106" s="218"/>
      <c r="F106" s="218"/>
      <c r="G106" s="218"/>
      <c r="H106" s="218"/>
      <c r="I106" s="218"/>
    </row>
    <row r="107" spans="1:9" ht="18">
      <c r="A107" s="218"/>
      <c r="B107" s="218"/>
      <c r="C107" s="218"/>
      <c r="D107" s="218"/>
      <c r="E107" s="218"/>
      <c r="F107" s="218"/>
      <c r="G107" s="218"/>
      <c r="H107" s="218"/>
      <c r="I107" s="218"/>
    </row>
    <row r="108" spans="1:9" ht="18">
      <c r="A108" s="218"/>
      <c r="B108" s="218"/>
      <c r="C108" s="218"/>
      <c r="D108" s="218"/>
      <c r="E108" s="218"/>
      <c r="F108" s="218"/>
      <c r="G108" s="218"/>
      <c r="H108" s="218"/>
      <c r="I108" s="218"/>
    </row>
    <row r="109" spans="1:9" ht="18">
      <c r="A109" s="218"/>
      <c r="B109" s="218"/>
      <c r="C109" s="218"/>
      <c r="D109" s="218"/>
      <c r="E109" s="218"/>
      <c r="F109" s="218"/>
      <c r="G109" s="218"/>
      <c r="H109" s="218"/>
      <c r="I109" s="218"/>
    </row>
    <row r="110" spans="1:9" ht="18">
      <c r="A110" s="218"/>
      <c r="B110" s="218"/>
      <c r="C110" s="218"/>
      <c r="D110" s="218"/>
      <c r="E110" s="218"/>
      <c r="F110" s="218"/>
      <c r="G110" s="218"/>
      <c r="H110" s="218"/>
      <c r="I110" s="218"/>
    </row>
    <row r="111" spans="1:9" ht="18">
      <c r="A111" s="218"/>
      <c r="B111" s="218"/>
      <c r="C111" s="218"/>
      <c r="D111" s="218"/>
      <c r="E111" s="218"/>
      <c r="F111" s="218"/>
      <c r="G111" s="218"/>
      <c r="H111" s="218"/>
      <c r="I111" s="218"/>
    </row>
    <row r="112" spans="1:9" ht="18">
      <c r="A112" s="218"/>
      <c r="B112" s="218"/>
      <c r="C112" s="218"/>
      <c r="D112" s="218"/>
      <c r="E112" s="218"/>
      <c r="F112" s="218"/>
      <c r="G112" s="218"/>
      <c r="H112" s="218"/>
      <c r="I112" s="218"/>
    </row>
    <row r="113" spans="1:9" ht="18">
      <c r="A113" s="218"/>
      <c r="B113" s="218"/>
      <c r="C113" s="218"/>
      <c r="D113" s="218"/>
      <c r="E113" s="218"/>
      <c r="F113" s="218"/>
      <c r="G113" s="218"/>
      <c r="H113" s="218"/>
      <c r="I113" s="218"/>
    </row>
    <row r="114" spans="1:9" ht="18">
      <c r="A114" s="218"/>
      <c r="B114" s="218"/>
      <c r="C114" s="218"/>
      <c r="D114" s="218"/>
      <c r="E114" s="218"/>
      <c r="F114" s="218"/>
      <c r="G114" s="218"/>
      <c r="H114" s="218"/>
      <c r="I114" s="218"/>
    </row>
    <row r="115" spans="1:9" ht="18">
      <c r="A115" s="218"/>
      <c r="B115" s="218"/>
      <c r="C115" s="218"/>
      <c r="D115" s="218"/>
      <c r="E115" s="218"/>
      <c r="F115" s="218"/>
      <c r="G115" s="218"/>
      <c r="H115" s="218"/>
      <c r="I115" s="218"/>
    </row>
    <row r="116" spans="1:9" ht="18">
      <c r="A116" s="218"/>
      <c r="B116" s="218"/>
      <c r="C116" s="218"/>
      <c r="D116" s="218"/>
      <c r="E116" s="218"/>
      <c r="F116" s="218"/>
      <c r="G116" s="218"/>
      <c r="H116" s="218"/>
      <c r="I116" s="218"/>
    </row>
    <row r="117" spans="1:9" ht="18">
      <c r="A117" s="218"/>
      <c r="B117" s="218"/>
      <c r="C117" s="218"/>
      <c r="D117" s="218"/>
      <c r="E117" s="218"/>
      <c r="F117" s="218"/>
      <c r="G117" s="218"/>
      <c r="H117" s="218"/>
      <c r="I117" s="218"/>
    </row>
    <row r="118" spans="1:9" ht="18">
      <c r="A118" s="218"/>
      <c r="B118" s="218"/>
      <c r="C118" s="218"/>
      <c r="D118" s="218"/>
      <c r="E118" s="218"/>
      <c r="F118" s="218"/>
      <c r="G118" s="218"/>
      <c r="H118" s="218"/>
      <c r="I118" s="218"/>
    </row>
    <row r="119" spans="1:9" ht="18">
      <c r="A119" s="218"/>
      <c r="B119" s="218"/>
      <c r="C119" s="218"/>
      <c r="D119" s="218"/>
      <c r="E119" s="218"/>
      <c r="F119" s="218"/>
      <c r="G119" s="218"/>
      <c r="H119" s="218"/>
      <c r="I119" s="218"/>
    </row>
    <row r="120" spans="1:9" ht="18">
      <c r="A120" s="218"/>
      <c r="B120" s="218"/>
      <c r="C120" s="218"/>
      <c r="D120" s="218"/>
      <c r="E120" s="218"/>
      <c r="F120" s="218"/>
      <c r="G120" s="218"/>
      <c r="H120" s="218"/>
      <c r="I120" s="218"/>
    </row>
    <row r="121" spans="1:9" ht="18">
      <c r="A121" s="218"/>
      <c r="B121" s="218"/>
      <c r="C121" s="218"/>
      <c r="D121" s="218"/>
      <c r="E121" s="218"/>
      <c r="F121" s="218"/>
      <c r="G121" s="218"/>
      <c r="H121" s="218"/>
      <c r="I121" s="218"/>
    </row>
    <row r="122" spans="1:9" ht="18">
      <c r="A122" s="218"/>
      <c r="B122" s="218"/>
      <c r="C122" s="218"/>
      <c r="D122" s="218"/>
      <c r="E122" s="218"/>
      <c r="F122" s="218"/>
      <c r="G122" s="218"/>
      <c r="H122" s="218"/>
      <c r="I122" s="218"/>
    </row>
    <row r="123" spans="1:9" ht="18">
      <c r="A123" s="218"/>
      <c r="B123" s="218"/>
      <c r="C123" s="218"/>
      <c r="D123" s="218"/>
      <c r="E123" s="218"/>
      <c r="F123" s="218"/>
      <c r="G123" s="218"/>
      <c r="H123" s="218"/>
      <c r="I123" s="218"/>
    </row>
    <row r="124" spans="1:9" ht="18">
      <c r="A124" s="218"/>
      <c r="B124" s="218"/>
      <c r="C124" s="218"/>
      <c r="D124" s="218"/>
      <c r="E124" s="218"/>
      <c r="F124" s="218"/>
      <c r="G124" s="218"/>
      <c r="H124" s="218"/>
      <c r="I124" s="218"/>
    </row>
    <row r="125" spans="1:9" ht="18">
      <c r="A125" s="218"/>
      <c r="B125" s="218"/>
      <c r="C125" s="218"/>
      <c r="D125" s="218"/>
      <c r="E125" s="218"/>
      <c r="F125" s="218"/>
      <c r="G125" s="218"/>
      <c r="H125" s="218"/>
      <c r="I125" s="218"/>
    </row>
    <row r="126" spans="1:9" ht="18">
      <c r="A126" s="218"/>
      <c r="B126" s="218"/>
      <c r="C126" s="218"/>
      <c r="D126" s="218"/>
      <c r="E126" s="218"/>
      <c r="F126" s="218"/>
      <c r="G126" s="218"/>
      <c r="H126" s="218"/>
      <c r="I126" s="218"/>
    </row>
    <row r="127" spans="1:9" ht="18">
      <c r="A127" s="218"/>
      <c r="B127" s="218"/>
      <c r="C127" s="218"/>
      <c r="D127" s="218"/>
      <c r="E127" s="218"/>
      <c r="F127" s="218"/>
      <c r="G127" s="218"/>
      <c r="H127" s="218"/>
      <c r="I127" s="218"/>
    </row>
    <row r="128" spans="1:9" ht="18">
      <c r="A128" s="218"/>
      <c r="B128" s="218"/>
      <c r="C128" s="218"/>
      <c r="D128" s="218"/>
      <c r="E128" s="218"/>
      <c r="F128" s="218"/>
      <c r="G128" s="218"/>
      <c r="H128" s="218"/>
      <c r="I128" s="218"/>
    </row>
    <row r="129" spans="1:9" ht="18">
      <c r="A129" s="218"/>
      <c r="B129" s="218"/>
      <c r="C129" s="218"/>
      <c r="D129" s="218"/>
      <c r="E129" s="218"/>
      <c r="F129" s="218"/>
      <c r="G129" s="218"/>
      <c r="H129" s="218"/>
      <c r="I129" s="218"/>
    </row>
    <row r="130" spans="1:9" ht="18">
      <c r="A130" s="218"/>
      <c r="B130" s="218"/>
      <c r="C130" s="218"/>
      <c r="D130" s="218"/>
      <c r="E130" s="218"/>
      <c r="F130" s="218"/>
      <c r="G130" s="218"/>
      <c r="H130" s="218"/>
      <c r="I130" s="218"/>
    </row>
    <row r="131" spans="1:9" ht="18">
      <c r="A131" s="218"/>
      <c r="B131" s="218"/>
      <c r="C131" s="218"/>
      <c r="D131" s="218"/>
      <c r="E131" s="218"/>
      <c r="F131" s="218"/>
      <c r="G131" s="218"/>
      <c r="H131" s="218"/>
      <c r="I131" s="218"/>
    </row>
    <row r="132" spans="1:9" ht="18">
      <c r="A132" s="218"/>
      <c r="B132" s="218"/>
      <c r="C132" s="218"/>
      <c r="D132" s="218"/>
      <c r="E132" s="218"/>
      <c r="F132" s="218"/>
      <c r="G132" s="218"/>
      <c r="H132" s="218"/>
      <c r="I132" s="218"/>
    </row>
    <row r="133" spans="1:9" ht="18">
      <c r="A133" s="218"/>
      <c r="B133" s="218"/>
      <c r="C133" s="218"/>
      <c r="D133" s="218"/>
      <c r="E133" s="218"/>
      <c r="F133" s="218"/>
      <c r="G133" s="218"/>
      <c r="H133" s="218"/>
      <c r="I133" s="218"/>
    </row>
    <row r="134" spans="1:9" ht="18">
      <c r="A134" s="218"/>
      <c r="B134" s="218"/>
      <c r="C134" s="218"/>
      <c r="D134" s="218"/>
      <c r="E134" s="218"/>
      <c r="F134" s="218"/>
      <c r="G134" s="218"/>
      <c r="H134" s="218"/>
      <c r="I134" s="218"/>
    </row>
    <row r="135" spans="1:9" ht="18">
      <c r="A135" s="218"/>
      <c r="B135" s="218"/>
      <c r="C135" s="218"/>
      <c r="D135" s="218"/>
      <c r="E135" s="218"/>
      <c r="F135" s="218"/>
      <c r="G135" s="218"/>
      <c r="H135" s="218"/>
      <c r="I135" s="218"/>
    </row>
    <row r="136" spans="1:9" ht="18">
      <c r="A136" s="218"/>
      <c r="B136" s="218"/>
      <c r="C136" s="218"/>
      <c r="D136" s="218"/>
      <c r="E136" s="218"/>
      <c r="F136" s="218"/>
      <c r="G136" s="218"/>
      <c r="H136" s="218"/>
      <c r="I136" s="218"/>
    </row>
    <row r="137" spans="1:9" ht="18">
      <c r="A137" s="218"/>
      <c r="B137" s="218"/>
      <c r="C137" s="218"/>
      <c r="D137" s="218"/>
      <c r="E137" s="218"/>
      <c r="F137" s="218"/>
      <c r="G137" s="218"/>
      <c r="H137" s="218"/>
      <c r="I137" s="218"/>
    </row>
    <row r="138" spans="1:9" ht="18">
      <c r="A138" s="218"/>
      <c r="B138" s="218"/>
      <c r="C138" s="218"/>
      <c r="D138" s="218"/>
      <c r="E138" s="218"/>
      <c r="F138" s="218"/>
      <c r="G138" s="218"/>
      <c r="H138" s="218"/>
      <c r="I138" s="218"/>
    </row>
    <row r="139" spans="1:9" ht="18">
      <c r="A139" s="218"/>
      <c r="B139" s="218"/>
      <c r="C139" s="218"/>
      <c r="D139" s="218"/>
      <c r="E139" s="218"/>
      <c r="F139" s="218"/>
      <c r="G139" s="218"/>
      <c r="H139" s="218"/>
      <c r="I139" s="218"/>
    </row>
    <row r="140" spans="1:9" ht="18">
      <c r="A140" s="218"/>
      <c r="B140" s="218"/>
      <c r="C140" s="218"/>
      <c r="D140" s="218"/>
      <c r="E140" s="218"/>
      <c r="F140" s="218"/>
      <c r="G140" s="218"/>
      <c r="H140" s="218"/>
      <c r="I140" s="218"/>
    </row>
    <row r="141" spans="1:9" ht="18">
      <c r="A141" s="218"/>
      <c r="B141" s="218"/>
      <c r="C141" s="218"/>
      <c r="D141" s="218"/>
      <c r="E141" s="218"/>
      <c r="F141" s="218"/>
      <c r="G141" s="218"/>
      <c r="H141" s="218"/>
      <c r="I141" s="218"/>
    </row>
    <row r="142" spans="1:9" ht="18">
      <c r="A142" s="218"/>
      <c r="B142" s="218"/>
      <c r="C142" s="218"/>
      <c r="D142" s="218"/>
      <c r="E142" s="218"/>
      <c r="F142" s="218"/>
      <c r="G142" s="218"/>
      <c r="H142" s="218"/>
      <c r="I142" s="218"/>
    </row>
    <row r="143" spans="1:9" ht="18">
      <c r="A143" s="218"/>
      <c r="B143" s="218"/>
      <c r="C143" s="218"/>
      <c r="D143" s="218"/>
      <c r="E143" s="218"/>
      <c r="F143" s="218"/>
      <c r="G143" s="218"/>
      <c r="H143" s="218"/>
      <c r="I143" s="218"/>
    </row>
    <row r="144" spans="1:9" ht="18">
      <c r="A144" s="218"/>
      <c r="B144" s="218"/>
      <c r="C144" s="218"/>
      <c r="D144" s="218"/>
      <c r="E144" s="218"/>
      <c r="F144" s="218"/>
      <c r="G144" s="218"/>
      <c r="H144" s="218"/>
      <c r="I144" s="218"/>
    </row>
    <row r="145" spans="1:9" ht="18">
      <c r="A145" s="218"/>
      <c r="B145" s="218"/>
      <c r="C145" s="218"/>
      <c r="D145" s="218"/>
      <c r="E145" s="218"/>
      <c r="F145" s="218"/>
      <c r="G145" s="218"/>
      <c r="H145" s="218"/>
      <c r="I145" s="218"/>
    </row>
    <row r="146" spans="1:9" ht="18">
      <c r="A146" s="218"/>
      <c r="B146" s="218"/>
      <c r="C146" s="218"/>
      <c r="D146" s="218"/>
      <c r="E146" s="218"/>
      <c r="F146" s="218"/>
      <c r="G146" s="218"/>
      <c r="H146" s="218"/>
      <c r="I146" s="218"/>
    </row>
    <row r="147" spans="1:9" ht="18">
      <c r="A147" s="218"/>
      <c r="B147" s="218"/>
      <c r="C147" s="218"/>
      <c r="D147" s="218"/>
      <c r="E147" s="218"/>
      <c r="F147" s="218"/>
      <c r="G147" s="218"/>
      <c r="H147" s="218"/>
      <c r="I147" s="218"/>
    </row>
    <row r="148" spans="1:9" ht="18">
      <c r="A148" s="218"/>
      <c r="B148" s="218"/>
      <c r="C148" s="218"/>
      <c r="D148" s="218"/>
      <c r="E148" s="218"/>
      <c r="F148" s="218"/>
      <c r="G148" s="218"/>
      <c r="H148" s="218"/>
      <c r="I148" s="218"/>
    </row>
    <row r="149" spans="1:9" ht="18">
      <c r="A149" s="218"/>
      <c r="B149" s="218"/>
      <c r="C149" s="218"/>
      <c r="D149" s="218"/>
      <c r="E149" s="218"/>
      <c r="F149" s="218"/>
      <c r="G149" s="218"/>
      <c r="H149" s="218"/>
      <c r="I149" s="218"/>
    </row>
    <row r="150" spans="1:9" ht="18">
      <c r="A150" s="218"/>
      <c r="B150" s="218"/>
      <c r="C150" s="218"/>
      <c r="D150" s="218"/>
      <c r="E150" s="218"/>
      <c r="F150" s="218"/>
      <c r="G150" s="218"/>
      <c r="H150" s="218"/>
      <c r="I150" s="218"/>
    </row>
    <row r="151" spans="1:9" ht="18">
      <c r="A151" s="218"/>
      <c r="B151" s="218"/>
      <c r="C151" s="218"/>
      <c r="D151" s="218"/>
      <c r="E151" s="218"/>
      <c r="F151" s="218"/>
      <c r="G151" s="218"/>
      <c r="H151" s="218"/>
      <c r="I151" s="218"/>
    </row>
    <row r="152" spans="1:9" ht="18">
      <c r="A152" s="218"/>
      <c r="B152" s="218"/>
      <c r="C152" s="218"/>
      <c r="D152" s="218"/>
      <c r="E152" s="218"/>
      <c r="F152" s="218"/>
      <c r="G152" s="218"/>
      <c r="H152" s="218"/>
      <c r="I152" s="218"/>
    </row>
    <row r="153" spans="1:9" ht="18">
      <c r="A153" s="218"/>
      <c r="B153" s="218"/>
      <c r="C153" s="218"/>
      <c r="D153" s="218"/>
      <c r="E153" s="218"/>
      <c r="F153" s="218"/>
      <c r="G153" s="218"/>
      <c r="H153" s="218"/>
      <c r="I153" s="218"/>
    </row>
    <row r="154" spans="1:9" ht="18">
      <c r="A154" s="218"/>
      <c r="B154" s="218"/>
      <c r="C154" s="218"/>
      <c r="D154" s="218"/>
      <c r="E154" s="218"/>
      <c r="F154" s="218"/>
      <c r="G154" s="218"/>
      <c r="H154" s="218"/>
      <c r="I154" s="218"/>
    </row>
    <row r="155" spans="1:9" ht="18">
      <c r="A155" s="218"/>
      <c r="B155" s="218"/>
      <c r="C155" s="218"/>
      <c r="D155" s="218"/>
      <c r="E155" s="218"/>
      <c r="F155" s="218"/>
      <c r="G155" s="218"/>
      <c r="H155" s="218"/>
      <c r="I155" s="218"/>
    </row>
    <row r="156" spans="1:9" ht="18">
      <c r="A156" s="218"/>
      <c r="B156" s="218"/>
      <c r="C156" s="218"/>
      <c r="D156" s="218"/>
      <c r="E156" s="218"/>
      <c r="F156" s="218"/>
      <c r="G156" s="218"/>
      <c r="H156" s="218"/>
      <c r="I156" s="218"/>
    </row>
    <row r="157" spans="1:9" ht="18">
      <c r="A157" s="218"/>
      <c r="B157" s="218"/>
      <c r="C157" s="218"/>
      <c r="D157" s="218"/>
      <c r="E157" s="218"/>
      <c r="F157" s="218"/>
      <c r="G157" s="218"/>
      <c r="H157" s="218"/>
      <c r="I157" s="218"/>
    </row>
    <row r="158" spans="1:9" ht="18">
      <c r="A158" s="218"/>
      <c r="B158" s="218"/>
      <c r="C158" s="218"/>
      <c r="D158" s="218"/>
      <c r="E158" s="218"/>
      <c r="F158" s="218"/>
      <c r="G158" s="218"/>
      <c r="H158" s="218"/>
      <c r="I158" s="218"/>
    </row>
    <row r="159" spans="1:9" ht="18">
      <c r="A159" s="218"/>
      <c r="B159" s="218"/>
      <c r="C159" s="218"/>
      <c r="D159" s="218"/>
      <c r="E159" s="218"/>
      <c r="F159" s="218"/>
      <c r="G159" s="218"/>
      <c r="H159" s="218"/>
      <c r="I159" s="218"/>
    </row>
    <row r="160" spans="1:9" ht="18">
      <c r="A160" s="218"/>
      <c r="B160" s="218"/>
      <c r="C160" s="218"/>
      <c r="D160" s="218"/>
      <c r="E160" s="218"/>
      <c r="F160" s="218"/>
      <c r="G160" s="218"/>
      <c r="H160" s="218"/>
      <c r="I160" s="218"/>
    </row>
    <row r="161" spans="1:9" ht="18">
      <c r="A161" s="218"/>
      <c r="B161" s="218"/>
      <c r="C161" s="218"/>
      <c r="D161" s="218"/>
      <c r="E161" s="218"/>
      <c r="F161" s="218"/>
      <c r="G161" s="218"/>
      <c r="H161" s="218"/>
      <c r="I161" s="218"/>
    </row>
    <row r="162" spans="1:9" ht="18">
      <c r="A162" s="218"/>
      <c r="B162" s="218"/>
      <c r="C162" s="218"/>
      <c r="D162" s="218"/>
      <c r="E162" s="218"/>
      <c r="F162" s="218"/>
      <c r="G162" s="218"/>
      <c r="H162" s="218"/>
      <c r="I162" s="218"/>
    </row>
    <row r="163" spans="1:9" ht="18">
      <c r="A163" s="218"/>
      <c r="B163" s="218"/>
      <c r="C163" s="218"/>
      <c r="D163" s="218"/>
      <c r="E163" s="218"/>
      <c r="F163" s="218"/>
      <c r="G163" s="218"/>
      <c r="H163" s="218"/>
      <c r="I163" s="218"/>
    </row>
    <row r="164" spans="1:9" ht="18">
      <c r="A164" s="218"/>
      <c r="B164" s="218"/>
      <c r="C164" s="218"/>
      <c r="D164" s="218"/>
      <c r="E164" s="218"/>
      <c r="F164" s="218"/>
      <c r="G164" s="218"/>
      <c r="H164" s="218"/>
      <c r="I164" s="218"/>
    </row>
    <row r="165" spans="1:9" ht="18">
      <c r="A165" s="218"/>
      <c r="B165" s="218"/>
      <c r="C165" s="218"/>
      <c r="D165" s="218"/>
      <c r="E165" s="218"/>
      <c r="F165" s="218"/>
      <c r="G165" s="218"/>
      <c r="H165" s="218"/>
      <c r="I165" s="218"/>
    </row>
    <row r="166" spans="1:9" ht="18">
      <c r="A166" s="218"/>
      <c r="B166" s="218"/>
      <c r="C166" s="218"/>
      <c r="D166" s="218"/>
      <c r="E166" s="218"/>
      <c r="F166" s="218"/>
      <c r="G166" s="218"/>
      <c r="H166" s="218"/>
      <c r="I166" s="218"/>
    </row>
    <row r="167" spans="1:9" ht="18">
      <c r="A167" s="218"/>
      <c r="B167" s="218"/>
      <c r="C167" s="218"/>
      <c r="D167" s="218"/>
      <c r="E167" s="218"/>
      <c r="F167" s="218"/>
      <c r="G167" s="218"/>
      <c r="H167" s="218"/>
      <c r="I167" s="218"/>
    </row>
    <row r="168" spans="1:9" ht="18">
      <c r="A168" s="218"/>
      <c r="B168" s="218"/>
      <c r="C168" s="218"/>
      <c r="D168" s="218"/>
      <c r="E168" s="218"/>
      <c r="F168" s="218"/>
      <c r="G168" s="218"/>
      <c r="H168" s="218"/>
      <c r="I168" s="218"/>
    </row>
    <row r="169" spans="1:9" ht="18">
      <c r="A169" s="218"/>
      <c r="B169" s="218"/>
      <c r="C169" s="218"/>
      <c r="D169" s="218"/>
      <c r="E169" s="218"/>
      <c r="F169" s="218"/>
      <c r="G169" s="218"/>
      <c r="H169" s="218"/>
      <c r="I169" s="218"/>
    </row>
    <row r="170" spans="1:9" ht="18">
      <c r="A170" s="218"/>
      <c r="B170" s="218"/>
      <c r="C170" s="218"/>
      <c r="D170" s="218"/>
      <c r="E170" s="218"/>
      <c r="F170" s="218"/>
      <c r="G170" s="218"/>
      <c r="H170" s="218"/>
      <c r="I170" s="218"/>
    </row>
    <row r="171" spans="1:9" ht="18">
      <c r="A171" s="218"/>
      <c r="B171" s="218"/>
      <c r="C171" s="218"/>
      <c r="D171" s="218"/>
      <c r="E171" s="218"/>
      <c r="F171" s="218"/>
      <c r="G171" s="218"/>
      <c r="H171" s="218"/>
      <c r="I171" s="218"/>
    </row>
    <row r="172" spans="1:9" ht="18">
      <c r="A172" s="218"/>
      <c r="B172" s="218"/>
      <c r="C172" s="218"/>
      <c r="D172" s="218"/>
      <c r="E172" s="218"/>
      <c r="F172" s="218"/>
      <c r="G172" s="218"/>
      <c r="H172" s="218"/>
      <c r="I172" s="218"/>
    </row>
    <row r="173" spans="1:9" ht="18">
      <c r="A173" s="218"/>
      <c r="B173" s="218"/>
      <c r="C173" s="218"/>
      <c r="D173" s="218"/>
      <c r="E173" s="218"/>
      <c r="F173" s="218"/>
      <c r="G173" s="218"/>
      <c r="H173" s="218"/>
      <c r="I173" s="218"/>
    </row>
    <row r="174" spans="1:9" ht="18">
      <c r="A174" s="218"/>
      <c r="B174" s="218"/>
      <c r="C174" s="218"/>
      <c r="D174" s="218"/>
      <c r="E174" s="218"/>
      <c r="F174" s="218"/>
      <c r="G174" s="218"/>
      <c r="H174" s="218"/>
      <c r="I174" s="218"/>
    </row>
    <row r="175" spans="1:9" ht="18">
      <c r="A175" s="218"/>
      <c r="B175" s="218"/>
      <c r="C175" s="218"/>
      <c r="D175" s="218"/>
      <c r="E175" s="218"/>
      <c r="F175" s="218"/>
      <c r="G175" s="218"/>
      <c r="H175" s="218"/>
      <c r="I175" s="218"/>
    </row>
    <row r="176" spans="1:9" ht="18">
      <c r="A176" s="218"/>
      <c r="B176" s="218"/>
      <c r="C176" s="218"/>
      <c r="D176" s="218"/>
      <c r="E176" s="218"/>
      <c r="F176" s="218"/>
      <c r="G176" s="218"/>
      <c r="H176" s="218"/>
      <c r="I176" s="218"/>
    </row>
    <row r="177" spans="1:9" ht="18">
      <c r="A177" s="218"/>
      <c r="B177" s="218"/>
      <c r="C177" s="218"/>
      <c r="D177" s="218"/>
      <c r="E177" s="218"/>
      <c r="F177" s="218"/>
      <c r="G177" s="218"/>
      <c r="H177" s="218"/>
      <c r="I177" s="218"/>
    </row>
    <row r="178" spans="1:9" ht="18">
      <c r="A178" s="218"/>
      <c r="B178" s="218"/>
      <c r="C178" s="218"/>
      <c r="D178" s="218"/>
      <c r="E178" s="218"/>
      <c r="F178" s="218"/>
      <c r="G178" s="218"/>
      <c r="H178" s="218"/>
      <c r="I178" s="218"/>
    </row>
    <row r="179" spans="1:9" ht="18">
      <c r="A179" s="218"/>
      <c r="B179" s="218"/>
      <c r="C179" s="218"/>
      <c r="D179" s="218"/>
      <c r="E179" s="218"/>
      <c r="F179" s="218"/>
      <c r="G179" s="218"/>
      <c r="H179" s="218"/>
      <c r="I179" s="218"/>
    </row>
    <row r="180" spans="1:9" ht="18">
      <c r="A180" s="218"/>
      <c r="B180" s="218"/>
      <c r="C180" s="218"/>
      <c r="D180" s="218"/>
      <c r="E180" s="218"/>
      <c r="F180" s="218"/>
      <c r="G180" s="218"/>
      <c r="H180" s="218"/>
      <c r="I180" s="218"/>
    </row>
    <row r="181" spans="1:9" ht="18">
      <c r="A181" s="218"/>
      <c r="B181" s="218"/>
      <c r="C181" s="218"/>
      <c r="D181" s="218"/>
      <c r="E181" s="218"/>
      <c r="F181" s="218"/>
      <c r="G181" s="218"/>
      <c r="H181" s="218"/>
      <c r="I181" s="218"/>
    </row>
    <row r="182" spans="1:9" ht="18">
      <c r="A182" s="218"/>
      <c r="B182" s="218"/>
      <c r="C182" s="218"/>
      <c r="D182" s="218"/>
      <c r="E182" s="218"/>
      <c r="F182" s="218"/>
      <c r="G182" s="218"/>
      <c r="H182" s="218"/>
      <c r="I182" s="218"/>
    </row>
    <row r="183" spans="1:9" ht="18">
      <c r="A183" s="218"/>
      <c r="B183" s="218"/>
      <c r="C183" s="218"/>
      <c r="D183" s="218"/>
      <c r="E183" s="218"/>
      <c r="F183" s="218"/>
      <c r="G183" s="218"/>
      <c r="H183" s="218"/>
      <c r="I183" s="218"/>
    </row>
    <row r="184" spans="1:9" ht="18">
      <c r="A184" s="218"/>
      <c r="B184" s="218"/>
      <c r="C184" s="218"/>
      <c r="D184" s="218"/>
      <c r="E184" s="218"/>
      <c r="F184" s="218"/>
      <c r="G184" s="218"/>
      <c r="H184" s="218"/>
      <c r="I184" s="218"/>
    </row>
    <row r="185" spans="1:9" ht="18">
      <c r="A185" s="218"/>
      <c r="B185" s="218"/>
      <c r="C185" s="218"/>
      <c r="D185" s="218"/>
      <c r="E185" s="218"/>
      <c r="F185" s="218"/>
      <c r="G185" s="218"/>
      <c r="H185" s="218"/>
      <c r="I185" s="218"/>
    </row>
    <row r="186" spans="1:9" ht="18">
      <c r="A186" s="218"/>
      <c r="B186" s="218"/>
      <c r="C186" s="218"/>
      <c r="D186" s="218"/>
      <c r="E186" s="218"/>
      <c r="F186" s="218"/>
      <c r="G186" s="218"/>
      <c r="H186" s="218"/>
      <c r="I186" s="218"/>
    </row>
    <row r="187" spans="1:9" ht="18">
      <c r="A187" s="218"/>
      <c r="B187" s="218"/>
      <c r="C187" s="218"/>
      <c r="D187" s="218"/>
      <c r="E187" s="218"/>
      <c r="F187" s="218"/>
      <c r="G187" s="218"/>
      <c r="H187" s="218"/>
      <c r="I187" s="21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03D27-AE3D-374E-8D56-024C0C8D9202}">
  <sheetPr codeName="Sheet2">
    <tabColor theme="7"/>
  </sheetPr>
  <dimension ref="D4:BC69"/>
  <sheetViews>
    <sheetView showGridLines="0" tabSelected="1" workbookViewId="0">
      <selection activeCell="K23" sqref="K23"/>
    </sheetView>
  </sheetViews>
  <sheetFormatPr baseColWidth="10" defaultRowHeight="14"/>
  <cols>
    <col min="1" max="1" width="10.83203125" style="22"/>
    <col min="2" max="2" width="2.33203125" style="22" customWidth="1"/>
    <col min="3" max="3" width="3.5" style="22" customWidth="1"/>
    <col min="4" max="4" width="2.33203125" style="22" hidden="1" customWidth="1"/>
    <col min="5" max="5" width="10.83203125" style="22"/>
    <col min="6" max="6" width="2.33203125" style="22" customWidth="1"/>
    <col min="7" max="7" width="12.83203125" style="22" customWidth="1"/>
    <col min="8" max="8" width="2.33203125" style="22" customWidth="1"/>
    <col min="9" max="9" width="12.5" style="22" customWidth="1"/>
    <col min="10" max="10" width="2.33203125" style="22" customWidth="1"/>
    <col min="11" max="11" width="24" style="22" customWidth="1"/>
    <col min="12" max="12" width="2.33203125" style="22" customWidth="1"/>
    <col min="13" max="13" width="11.5" style="22" bestFit="1" customWidth="1"/>
    <col min="14" max="14" width="2.33203125" style="22" customWidth="1"/>
    <col min="15" max="15" width="9.1640625" style="22" customWidth="1"/>
    <col min="16" max="16" width="4.1640625" style="22" customWidth="1"/>
    <col min="17" max="17" width="10.83203125" style="22"/>
    <col min="18" max="18" width="2.33203125" style="22" customWidth="1"/>
    <col min="19" max="19" width="10.83203125" style="22"/>
    <col min="20" max="20" width="2.33203125" style="22" customWidth="1"/>
    <col min="21" max="21" width="10.83203125" style="22"/>
    <col min="22" max="22" width="2.33203125" style="22" customWidth="1"/>
    <col min="23" max="23" width="10.83203125" style="22"/>
    <col min="24" max="24" width="2.33203125" style="22" customWidth="1"/>
    <col min="25" max="25" width="10.83203125" style="22"/>
    <col min="26" max="26" width="2.33203125" style="22" customWidth="1"/>
    <col min="27" max="27" width="10.83203125" style="22"/>
    <col min="28" max="28" width="13.6640625" style="22" customWidth="1"/>
    <col min="29" max="30" width="10.83203125" style="22"/>
    <col min="31" max="31" width="20.6640625" style="22" customWidth="1"/>
    <col min="32" max="16384" width="10.83203125" style="22"/>
  </cols>
  <sheetData>
    <row r="4" spans="7:29" ht="18">
      <c r="AA4" s="47"/>
    </row>
    <row r="7" spans="7:29" ht="18">
      <c r="AA7" s="244">
        <v>127</v>
      </c>
    </row>
    <row r="13" spans="7:29" ht="18">
      <c r="AA13" s="266" t="s">
        <v>464</v>
      </c>
      <c r="AB13" s="267"/>
      <c r="AC13" s="268">
        <v>3</v>
      </c>
    </row>
    <row r="14" spans="7:29" ht="18">
      <c r="AA14" s="266" t="s">
        <v>460</v>
      </c>
      <c r="AB14" s="267"/>
      <c r="AC14" s="268">
        <v>0</v>
      </c>
    </row>
    <row r="15" spans="7:29" ht="18">
      <c r="G15" s="481" t="s">
        <v>591</v>
      </c>
      <c r="H15" s="482"/>
      <c r="I15" s="482"/>
      <c r="J15" s="245"/>
      <c r="K15" s="259">
        <f ca="1">costs_current_prog*($AA$7/100)*('Disease Projections'!$X$20+2-2020)</f>
        <v>85586539.898835063</v>
      </c>
      <c r="AA15" s="266" t="s">
        <v>571</v>
      </c>
      <c r="AB15" s="267"/>
      <c r="AC15" s="268">
        <v>2022</v>
      </c>
    </row>
    <row r="16" spans="7:29" ht="18">
      <c r="G16" s="246" t="s">
        <v>592</v>
      </c>
      <c r="H16" s="247"/>
      <c r="I16" s="247"/>
      <c r="J16" s="245"/>
      <c r="K16" s="259">
        <f ca="1">K15/((1+discount_cost)^yearly_horizon)</f>
        <v>83093728.057121411</v>
      </c>
      <c r="AA16" s="266" t="s">
        <v>465</v>
      </c>
      <c r="AB16" s="267"/>
      <c r="AC16" s="268">
        <v>2049</v>
      </c>
    </row>
    <row r="17" spans="7:29" ht="18">
      <c r="G17" s="246" t="s">
        <v>456</v>
      </c>
      <c r="H17" s="247"/>
      <c r="I17" s="247"/>
      <c r="J17" s="245"/>
      <c r="K17" s="260">
        <f>-(100-AA7)/100</f>
        <v>0.27</v>
      </c>
      <c r="AA17" s="266" t="s">
        <v>570</v>
      </c>
      <c r="AB17" s="267"/>
      <c r="AC17" s="268">
        <v>2035</v>
      </c>
    </row>
    <row r="18" spans="7:29" ht="18">
      <c r="G18" s="246" t="s">
        <v>465</v>
      </c>
      <c r="H18" s="247"/>
      <c r="I18" s="247"/>
      <c r="J18" s="245"/>
      <c r="K18" s="261">
        <f>'Disease Projections'!X20+2</f>
        <v>2041</v>
      </c>
      <c r="AA18" s="218"/>
      <c r="AB18" s="218"/>
    </row>
    <row r="19" spans="7:29" ht="18">
      <c r="G19" s="246" t="s">
        <v>590</v>
      </c>
      <c r="H19" s="247"/>
      <c r="I19" s="247"/>
      <c r="J19" s="245"/>
      <c r="K19" s="262">
        <f>pop_calc!C24</f>
        <v>4758781</v>
      </c>
    </row>
    <row r="20" spans="7:29" ht="19" customHeight="1">
      <c r="G20" s="246" t="s">
        <v>457</v>
      </c>
      <c r="H20" s="247"/>
      <c r="I20" s="247"/>
      <c r="J20" s="248"/>
      <c r="K20" s="259">
        <f ca="1">K16/(pop_calc!C20*('Disease Projections'!$X$20+2-2020))</f>
        <v>0.49603254778544248</v>
      </c>
      <c r="L20" s="48"/>
      <c r="M20" s="249"/>
      <c r="N20" s="48"/>
      <c r="O20" s="249"/>
      <c r="P20" s="48"/>
      <c r="Q20" s="48"/>
    </row>
    <row r="21" spans="7:29" ht="18">
      <c r="G21" s="246" t="s">
        <v>580</v>
      </c>
      <c r="H21" s="247"/>
      <c r="I21" s="250"/>
      <c r="J21" s="248"/>
      <c r="K21" s="263">
        <f ca="1">SUM('Economic Costs'!C4:C84)</f>
        <v>29942298.469537102</v>
      </c>
      <c r="L21" s="48"/>
      <c r="M21" s="48"/>
      <c r="N21" s="48"/>
      <c r="O21" s="48"/>
      <c r="P21" s="48"/>
      <c r="Q21" s="48"/>
    </row>
    <row r="22" spans="7:29" ht="18">
      <c r="G22" s="246" t="s">
        <v>581</v>
      </c>
      <c r="H22" s="247"/>
      <c r="I22" s="250"/>
      <c r="J22" s="248"/>
      <c r="K22" s="263">
        <f ca="1">SUM('Economic Costs'!D4:D84)</f>
        <v>20936844.40402288</v>
      </c>
      <c r="L22" s="48"/>
      <c r="M22" s="48"/>
      <c r="N22" s="48"/>
      <c r="O22" s="48"/>
      <c r="P22" s="48"/>
      <c r="Q22" s="48"/>
    </row>
    <row r="23" spans="7:29" ht="18">
      <c r="G23" s="251" t="s">
        <v>950</v>
      </c>
      <c r="H23" s="218"/>
      <c r="I23" s="218"/>
      <c r="J23" s="67"/>
      <c r="K23" s="262">
        <f ca="1">SUM('Economic Costs'!O4:O84)</f>
        <v>4071477.0010054172</v>
      </c>
    </row>
    <row r="24" spans="7:29" ht="18">
      <c r="G24" s="246" t="s">
        <v>513</v>
      </c>
      <c r="H24" s="247"/>
      <c r="I24" s="247"/>
      <c r="J24" s="245"/>
      <c r="K24" s="259">
        <f ca="1">IF(study_perspective=1,0,SUM('Economic Costs'!E4:E84))</f>
        <v>18258580.792738795</v>
      </c>
    </row>
    <row r="25" spans="7:29" ht="18">
      <c r="G25" s="252" t="s">
        <v>554</v>
      </c>
      <c r="H25" s="253"/>
      <c r="I25" s="253"/>
      <c r="J25" s="73"/>
      <c r="K25" s="259">
        <f ca="1">IF(study_perspective=1,0,SUM('Economic Costs'!F4:F84))</f>
        <v>12767124.924787482</v>
      </c>
    </row>
    <row r="26" spans="7:29" ht="18">
      <c r="G26" s="252" t="s">
        <v>532</v>
      </c>
      <c r="H26" s="253"/>
      <c r="I26" s="253"/>
      <c r="J26" s="73"/>
      <c r="K26" s="262">
        <f ca="1">IF(study_perspective=1,0,SUM('Economic Costs'!J4:J84))</f>
        <v>29912722.4859869</v>
      </c>
    </row>
    <row r="27" spans="7:29" ht="18">
      <c r="G27" s="246" t="s">
        <v>533</v>
      </c>
      <c r="H27" s="247"/>
      <c r="I27" s="247"/>
      <c r="J27" s="245"/>
      <c r="K27" s="263">
        <f ca="1">K26*min_daily_wage</f>
        <v>78560415.697605401</v>
      </c>
    </row>
    <row r="28" spans="7:29" ht="18">
      <c r="G28" s="246" t="s">
        <v>534</v>
      </c>
      <c r="H28" s="247"/>
      <c r="I28" s="247"/>
      <c r="J28" s="245"/>
      <c r="K28" s="264">
        <f ca="1">K27/((1+discount_cost)^yearly_horizon)</f>
        <v>76272248.250102326</v>
      </c>
    </row>
    <row r="29" spans="7:29" ht="18">
      <c r="G29" s="254" t="s">
        <v>536</v>
      </c>
      <c r="H29" s="255"/>
      <c r="I29" s="255"/>
      <c r="J29" s="256"/>
      <c r="K29" s="263">
        <f ca="1">IF(study_perspective=1,(K15+K21),(K15+K21+K24+K27+SUM('Economic Costs'!G4:G84)+SUM('Economic Costs'!M4:M84)+SUM('Economic Costs'!P4:P84)))</f>
        <v>256602585.93008056</v>
      </c>
    </row>
    <row r="30" spans="7:29" ht="18">
      <c r="G30" s="254" t="s">
        <v>568</v>
      </c>
      <c r="H30" s="257"/>
      <c r="I30" s="257"/>
      <c r="J30" s="256"/>
      <c r="K30" s="265">
        <f ca="1">IF(study_perspective=1,(K16+K22),(K16+K22+K25+K28+SUM('Economic Costs'!H4:H84)+SUM('Economic Costs'!N4:N84)+SUM('Economic Costs'!Q4:Q84)))</f>
        <v>224014625.39275292</v>
      </c>
    </row>
    <row r="31" spans="7:29" ht="18">
      <c r="G31" s="254" t="s">
        <v>458</v>
      </c>
      <c r="H31" s="257"/>
      <c r="I31" s="257"/>
      <c r="J31" s="256"/>
      <c r="K31" s="222">
        <f ca="1">IF(K30='Additional Calculations'!A44,0,((K30-'Additional Calculations'!A44)/'Additional Calculations'!A44)*100)</f>
        <v>378.27054918049748</v>
      </c>
    </row>
    <row r="32" spans="7:29" ht="18">
      <c r="G32" s="254" t="s">
        <v>610</v>
      </c>
      <c r="H32" s="257"/>
      <c r="I32" s="257"/>
      <c r="J32" s="256"/>
      <c r="K32" s="275">
        <f ca="1">'Additional Calculations'!B17</f>
        <v>-656.26316468763707</v>
      </c>
      <c r="M32" s="22" t="s">
        <v>951</v>
      </c>
    </row>
    <row r="33" spans="7:55" ht="16">
      <c r="G33" s="258"/>
      <c r="H33" s="483"/>
      <c r="I33" s="483"/>
    </row>
    <row r="34" spans="7:55" ht="16">
      <c r="G34" s="258"/>
      <c r="H34" s="483"/>
      <c r="I34" s="483"/>
    </row>
    <row r="35" spans="7:55" ht="16">
      <c r="G35" s="258"/>
      <c r="H35" s="483"/>
      <c r="I35" s="483"/>
    </row>
    <row r="36" spans="7:55" ht="16">
      <c r="G36" s="258"/>
      <c r="H36" s="483"/>
      <c r="I36" s="483"/>
    </row>
    <row r="37" spans="7:55" ht="16">
      <c r="G37" s="258"/>
      <c r="H37" s="483"/>
      <c r="I37" s="483"/>
    </row>
    <row r="38" spans="7:55" ht="16">
      <c r="G38" s="258"/>
      <c r="H38" s="483"/>
      <c r="I38" s="483"/>
    </row>
    <row r="45" spans="7:55">
      <c r="BB45" s="22">
        <v>0</v>
      </c>
      <c r="BC45" s="22">
        <v>0</v>
      </c>
    </row>
    <row r="46" spans="7:55">
      <c r="BB46" s="22">
        <v>10940</v>
      </c>
      <c r="BC46" s="22">
        <v>20</v>
      </c>
    </row>
    <row r="47" spans="7:55">
      <c r="BB47" s="22">
        <v>32820</v>
      </c>
      <c r="BC47" s="22">
        <v>20</v>
      </c>
    </row>
    <row r="69" spans="54:54">
      <c r="BB69" s="22">
        <f>547*20*3</f>
        <v>32820</v>
      </c>
    </row>
  </sheetData>
  <mergeCells count="7">
    <mergeCell ref="G15:I15"/>
    <mergeCell ref="H36:I36"/>
    <mergeCell ref="H37:I37"/>
    <mergeCell ref="H38:I38"/>
    <mergeCell ref="H33:I33"/>
    <mergeCell ref="H34:I34"/>
    <mergeCell ref="H35:I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Drop Down 1">
              <controlPr defaultSize="0" autoLine="0" autoPict="0">
                <anchor moveWithCells="1">
                  <from>
                    <xdr:col>8</xdr:col>
                    <xdr:colOff>876300</xdr:colOff>
                    <xdr:row>5</xdr:row>
                    <xdr:rowOff>165100</xdr:rowOff>
                  </from>
                  <to>
                    <xdr:col>10</xdr:col>
                    <xdr:colOff>1231900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Drop Down 2">
              <controlPr defaultSize="0" autoLine="0" autoPict="0">
                <anchor moveWithCells="1">
                  <from>
                    <xdr:col>12</xdr:col>
                    <xdr:colOff>38100</xdr:colOff>
                    <xdr:row>6</xdr:row>
                    <xdr:rowOff>12700</xdr:rowOff>
                  </from>
                  <to>
                    <xdr:col>14</xdr:col>
                    <xdr:colOff>342900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Drop Down 3">
              <controlPr defaultSize="0" autoLine="0" autoPict="0">
                <anchor moveWithCells="1">
                  <from>
                    <xdr:col>15</xdr:col>
                    <xdr:colOff>266700</xdr:colOff>
                    <xdr:row>5</xdr:row>
                    <xdr:rowOff>152400</xdr:rowOff>
                  </from>
                  <to>
                    <xdr:col>18</xdr:col>
                    <xdr:colOff>241300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Drop Down 4">
              <controlPr defaultSize="0" autoLine="0" autoPict="0">
                <anchor moveWithCells="1">
                  <from>
                    <xdr:col>19</xdr:col>
                    <xdr:colOff>12700</xdr:colOff>
                    <xdr:row>6</xdr:row>
                    <xdr:rowOff>0</xdr:rowOff>
                  </from>
                  <to>
                    <xdr:col>22</xdr:col>
                    <xdr:colOff>596900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Scroll Bar 5">
              <controlPr defaultSize="0" autoPict="0">
                <anchor moveWithCells="1">
                  <from>
                    <xdr:col>27</xdr:col>
                    <xdr:colOff>127000</xdr:colOff>
                    <xdr:row>5</xdr:row>
                    <xdr:rowOff>152400</xdr:rowOff>
                  </from>
                  <to>
                    <xdr:col>28</xdr:col>
                    <xdr:colOff>165100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Scroll Bar 6">
              <controlPr defaultSize="0" autoPict="0">
                <anchor moveWithCells="1">
                  <from>
                    <xdr:col>29</xdr:col>
                    <xdr:colOff>393700</xdr:colOff>
                    <xdr:row>11</xdr:row>
                    <xdr:rowOff>165100</xdr:rowOff>
                  </from>
                  <to>
                    <xdr:col>30</xdr:col>
                    <xdr:colOff>914400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Scroll Bar 7">
              <controlPr defaultSize="0" autoPict="0">
                <anchor moveWithCells="1">
                  <from>
                    <xdr:col>29</xdr:col>
                    <xdr:colOff>393700</xdr:colOff>
                    <xdr:row>13</xdr:row>
                    <xdr:rowOff>38100</xdr:rowOff>
                  </from>
                  <to>
                    <xdr:col>30</xdr:col>
                    <xdr:colOff>914400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Scroll Bar 8">
              <controlPr defaultSize="0" autoPict="0">
                <anchor moveWithCells="1">
                  <from>
                    <xdr:col>29</xdr:col>
                    <xdr:colOff>393700</xdr:colOff>
                    <xdr:row>14</xdr:row>
                    <xdr:rowOff>76200</xdr:rowOff>
                  </from>
                  <to>
                    <xdr:col>30</xdr:col>
                    <xdr:colOff>914400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Scroll Bar 9">
              <controlPr defaultSize="0" autoPict="0">
                <anchor moveWithCells="1">
                  <from>
                    <xdr:col>29</xdr:col>
                    <xdr:colOff>393700</xdr:colOff>
                    <xdr:row>15</xdr:row>
                    <xdr:rowOff>25400</xdr:rowOff>
                  </from>
                  <to>
                    <xdr:col>30</xdr:col>
                    <xdr:colOff>914400</xdr:colOff>
                    <xdr:row>15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2" name="Scroll Bar 15">
              <controlPr defaultSize="0" autoPict="0">
                <anchor moveWithCells="1">
                  <from>
                    <xdr:col>29</xdr:col>
                    <xdr:colOff>368300</xdr:colOff>
                    <xdr:row>16</xdr:row>
                    <xdr:rowOff>0</xdr:rowOff>
                  </from>
                  <to>
                    <xdr:col>30</xdr:col>
                    <xdr:colOff>889000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Drop Down 17">
              <controlPr defaultSize="0" autoLine="0" autoPict="0">
                <anchor moveWithCells="1">
                  <from>
                    <xdr:col>6</xdr:col>
                    <xdr:colOff>38100</xdr:colOff>
                    <xdr:row>6</xdr:row>
                    <xdr:rowOff>25400</xdr:rowOff>
                  </from>
                  <to>
                    <xdr:col>8</xdr:col>
                    <xdr:colOff>508000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21C2D-DB60-D048-90A8-18D1255CB66A}">
  <sheetPr codeName="Sheet15">
    <tabColor theme="7"/>
  </sheetPr>
  <dimension ref="A1:M52"/>
  <sheetViews>
    <sheetView showGridLines="0" workbookViewId="0">
      <selection activeCell="C54" sqref="C54"/>
    </sheetView>
  </sheetViews>
  <sheetFormatPr baseColWidth="10" defaultColWidth="9.1640625" defaultRowHeight="13"/>
  <cols>
    <col min="1" max="1" width="9.1640625" style="24"/>
    <col min="2" max="2" width="43.83203125" style="24" customWidth="1"/>
    <col min="3" max="3" width="30.83203125" style="24" customWidth="1"/>
    <col min="4" max="4" width="27" style="25" customWidth="1"/>
    <col min="5" max="5" width="40.5" style="24" customWidth="1"/>
    <col min="6" max="16384" width="9.1640625" style="24"/>
  </cols>
  <sheetData>
    <row r="1" spans="1:13" ht="19">
      <c r="A1" s="218"/>
      <c r="B1" s="218"/>
      <c r="C1" s="218"/>
      <c r="D1" s="218"/>
      <c r="E1" s="218"/>
      <c r="F1" s="218"/>
      <c r="G1" s="218"/>
      <c r="H1" s="219" t="s">
        <v>99</v>
      </c>
      <c r="I1" s="218"/>
      <c r="J1" s="218"/>
      <c r="K1" s="218"/>
      <c r="L1" s="218"/>
      <c r="M1" s="218"/>
    </row>
    <row r="2" spans="1:13" ht="18">
      <c r="A2" s="218"/>
      <c r="B2" s="47" t="s">
        <v>0</v>
      </c>
      <c r="C2" s="218"/>
      <c r="D2" s="220"/>
      <c r="E2" s="218"/>
      <c r="F2" s="218"/>
      <c r="G2" s="218"/>
      <c r="H2" s="218"/>
      <c r="I2" s="218"/>
      <c r="J2" s="218"/>
      <c r="K2" s="218"/>
      <c r="L2" s="218"/>
      <c r="M2" s="218"/>
    </row>
    <row r="3" spans="1:13" ht="18">
      <c r="A3" s="218"/>
      <c r="B3" s="218"/>
      <c r="C3" s="218"/>
      <c r="D3" s="220"/>
      <c r="E3" s="221"/>
      <c r="F3" s="218"/>
      <c r="G3" s="218"/>
      <c r="H3" s="218"/>
      <c r="I3" s="218"/>
      <c r="J3" s="218"/>
      <c r="K3" s="218"/>
      <c r="L3" s="218"/>
      <c r="M3" s="218"/>
    </row>
    <row r="4" spans="1:13" ht="18">
      <c r="A4" s="218"/>
      <c r="B4" s="230" t="s">
        <v>1</v>
      </c>
      <c r="C4" s="231" t="s">
        <v>8</v>
      </c>
      <c r="D4" s="232" t="s">
        <v>3</v>
      </c>
      <c r="E4" s="218"/>
      <c r="F4" s="218"/>
      <c r="G4" s="218"/>
      <c r="H4" s="218"/>
      <c r="I4" s="218"/>
      <c r="J4" s="218"/>
      <c r="K4" s="218"/>
      <c r="L4" s="218"/>
      <c r="M4" s="218"/>
    </row>
    <row r="5" spans="1:13" ht="18">
      <c r="A5" s="218"/>
      <c r="B5" s="222" t="s">
        <v>5</v>
      </c>
      <c r="C5" s="225" t="str">
        <f>INDEX([1]World_Data!W4:W224,MATCH($C$4,[1]World_Data!A4:A224,0))</f>
        <v>Leone</v>
      </c>
      <c r="D5" s="233"/>
      <c r="E5" s="218"/>
      <c r="F5" s="218"/>
      <c r="G5" s="218"/>
      <c r="H5" s="218"/>
      <c r="I5" s="218"/>
      <c r="J5" s="218"/>
      <c r="K5" s="218"/>
      <c r="L5" s="218"/>
      <c r="M5" s="218"/>
    </row>
    <row r="6" spans="1:13" ht="18">
      <c r="A6" s="218"/>
      <c r="B6" s="222" t="s">
        <v>4</v>
      </c>
      <c r="C6" s="226">
        <v>10000</v>
      </c>
      <c r="D6" s="234" t="s">
        <v>266</v>
      </c>
      <c r="E6" s="218"/>
      <c r="F6" s="218"/>
      <c r="G6" s="218"/>
      <c r="H6" s="218"/>
      <c r="I6" s="218"/>
      <c r="J6" s="218"/>
      <c r="K6" s="218"/>
      <c r="L6" s="218"/>
      <c r="M6" s="218"/>
    </row>
    <row r="7" spans="1:13" ht="18">
      <c r="A7" s="218"/>
      <c r="B7" s="222" t="s">
        <v>6</v>
      </c>
      <c r="C7" s="227">
        <v>548.19000000000005</v>
      </c>
      <c r="D7" s="233" t="s">
        <v>9</v>
      </c>
      <c r="E7" s="218"/>
      <c r="F7" s="218"/>
      <c r="G7" s="218"/>
      <c r="H7" s="218"/>
      <c r="I7" s="218"/>
      <c r="J7" s="218"/>
      <c r="K7" s="218"/>
      <c r="L7" s="218"/>
      <c r="M7" s="218"/>
    </row>
    <row r="8" spans="1:13" ht="18">
      <c r="A8" s="218"/>
      <c r="B8" s="222" t="s">
        <v>7</v>
      </c>
      <c r="C8" s="237">
        <f>pop_calc!C20</f>
        <v>7976985</v>
      </c>
      <c r="D8" s="233"/>
      <c r="E8" s="236" t="s">
        <v>11</v>
      </c>
      <c r="F8" s="218"/>
      <c r="G8" s="218"/>
      <c r="H8" s="218"/>
      <c r="I8" s="218"/>
      <c r="J8" s="218"/>
      <c r="K8" s="218"/>
      <c r="L8" s="218"/>
      <c r="M8" s="218"/>
    </row>
    <row r="9" spans="1:13" ht="18">
      <c r="A9" s="218"/>
      <c r="B9" s="222" t="s">
        <v>10</v>
      </c>
      <c r="C9" s="228">
        <f>INDEX([1]World_Data!Z4:Z224,MATCH($C$4,[1]World_Data!A4:A224,0))</f>
        <v>2.12</v>
      </c>
      <c r="D9" s="233"/>
      <c r="E9" s="218"/>
      <c r="F9" s="218"/>
      <c r="G9" s="218"/>
      <c r="H9" s="218"/>
      <c r="I9" s="218"/>
      <c r="J9" s="218"/>
      <c r="K9" s="218"/>
      <c r="L9" s="218"/>
      <c r="M9" s="218"/>
    </row>
    <row r="10" spans="1:13" ht="18">
      <c r="A10" s="218"/>
      <c r="B10" s="222" t="s">
        <v>44</v>
      </c>
      <c r="C10" s="228"/>
      <c r="D10" s="233"/>
      <c r="E10" s="218"/>
      <c r="F10" s="218"/>
      <c r="G10" s="218"/>
      <c r="H10" s="218"/>
      <c r="I10" s="218"/>
      <c r="J10" s="218"/>
      <c r="K10" s="218"/>
      <c r="L10" s="218"/>
      <c r="M10" s="218"/>
    </row>
    <row r="11" spans="1:13" ht="18">
      <c r="A11" s="218"/>
      <c r="B11" s="222" t="s">
        <v>24</v>
      </c>
      <c r="C11" s="229">
        <v>0.03</v>
      </c>
      <c r="D11" s="235"/>
      <c r="E11" s="218"/>
      <c r="F11" s="218"/>
      <c r="G11" s="218"/>
      <c r="H11" s="218"/>
      <c r="I11" s="218"/>
      <c r="J11" s="218"/>
      <c r="K11" s="218"/>
      <c r="L11" s="218"/>
      <c r="M11" s="218"/>
    </row>
    <row r="12" spans="1:13" ht="18">
      <c r="A12" s="218"/>
      <c r="B12" s="218"/>
      <c r="C12" s="218"/>
      <c r="D12" s="220"/>
      <c r="E12" s="218"/>
      <c r="F12" s="218"/>
      <c r="G12" s="218"/>
      <c r="H12" s="218"/>
      <c r="I12" s="218"/>
      <c r="J12" s="218"/>
      <c r="K12" s="218"/>
      <c r="L12" s="218"/>
      <c r="M12" s="218"/>
    </row>
    <row r="13" spans="1:13" ht="18">
      <c r="A13" s="218"/>
      <c r="B13" s="218" t="s">
        <v>574</v>
      </c>
      <c r="C13" s="218"/>
      <c r="D13" s="220"/>
      <c r="E13" s="218"/>
      <c r="F13" s="218"/>
      <c r="G13" s="218"/>
      <c r="H13" s="218"/>
      <c r="I13" s="218"/>
      <c r="J13" s="218"/>
      <c r="K13" s="218"/>
      <c r="L13" s="218"/>
      <c r="M13" s="218"/>
    </row>
    <row r="14" spans="1:13" ht="18">
      <c r="A14" s="218"/>
      <c r="B14" s="223" t="s">
        <v>45</v>
      </c>
      <c r="C14" s="224" t="s">
        <v>572</v>
      </c>
      <c r="D14" s="224" t="s">
        <v>573</v>
      </c>
      <c r="E14" s="218"/>
      <c r="F14" s="218"/>
      <c r="G14" s="218"/>
      <c r="H14" s="218"/>
      <c r="I14" s="218"/>
      <c r="J14" s="218"/>
      <c r="K14" s="218"/>
      <c r="L14" s="218"/>
      <c r="M14" s="218"/>
    </row>
    <row r="15" spans="1:13" ht="18">
      <c r="A15" s="218"/>
      <c r="B15" s="269" t="s">
        <v>481</v>
      </c>
      <c r="C15" s="270">
        <v>580904</v>
      </c>
      <c r="D15" s="270">
        <v>577747</v>
      </c>
      <c r="E15" s="218" t="s">
        <v>809</v>
      </c>
      <c r="F15" s="218"/>
      <c r="G15" s="218"/>
      <c r="H15" s="218"/>
      <c r="I15" s="218"/>
      <c r="J15" s="218"/>
      <c r="K15" s="218"/>
      <c r="L15" s="218"/>
      <c r="M15" s="218"/>
    </row>
    <row r="16" spans="1:13" ht="18">
      <c r="A16" s="218"/>
      <c r="B16" s="271" t="s">
        <v>480</v>
      </c>
      <c r="C16" s="270">
        <v>534486</v>
      </c>
      <c r="D16" s="270">
        <v>532748</v>
      </c>
      <c r="E16" s="218"/>
      <c r="F16" s="218"/>
      <c r="G16" s="218"/>
      <c r="H16" s="218"/>
      <c r="I16" s="218"/>
      <c r="J16" s="218"/>
      <c r="K16" s="218"/>
      <c r="L16" s="218"/>
      <c r="M16" s="218"/>
    </row>
    <row r="17" spans="1:13" ht="18">
      <c r="A17" s="218"/>
      <c r="B17" s="271" t="s">
        <v>482</v>
      </c>
      <c r="C17" s="270">
        <v>496964</v>
      </c>
      <c r="D17" s="270">
        <v>495355</v>
      </c>
      <c r="E17" s="218"/>
      <c r="F17" s="218"/>
      <c r="G17" s="218"/>
      <c r="H17" s="218"/>
      <c r="I17" s="218"/>
      <c r="J17" s="218"/>
      <c r="K17" s="218"/>
      <c r="L17" s="218"/>
      <c r="M17" s="218"/>
    </row>
    <row r="18" spans="1:13" ht="18">
      <c r="A18" s="218"/>
      <c r="B18" s="269" t="s">
        <v>483</v>
      </c>
      <c r="C18" s="270">
        <v>438908</v>
      </c>
      <c r="D18" s="270">
        <v>435969</v>
      </c>
      <c r="E18" s="218"/>
      <c r="F18" s="218"/>
      <c r="G18" s="218"/>
      <c r="H18" s="218"/>
      <c r="I18" s="218"/>
      <c r="J18" s="218"/>
      <c r="K18" s="218"/>
      <c r="L18" s="218"/>
      <c r="M18" s="218"/>
    </row>
    <row r="19" spans="1:13" ht="18">
      <c r="A19" s="218"/>
      <c r="B19" s="269" t="s">
        <v>484</v>
      </c>
      <c r="C19" s="270">
        <v>378242</v>
      </c>
      <c r="D19" s="270">
        <v>375779</v>
      </c>
      <c r="E19" s="218"/>
      <c r="F19" s="218"/>
      <c r="G19" s="218"/>
      <c r="H19" s="218"/>
      <c r="I19" s="218"/>
      <c r="J19" s="218"/>
      <c r="K19" s="218"/>
      <c r="L19" s="218"/>
      <c r="M19" s="218"/>
    </row>
    <row r="20" spans="1:13" ht="18">
      <c r="A20" s="218"/>
      <c r="B20" s="269" t="s">
        <v>485</v>
      </c>
      <c r="C20" s="270">
        <v>328581</v>
      </c>
      <c r="D20" s="270">
        <v>322912</v>
      </c>
      <c r="E20" s="218"/>
      <c r="F20" s="218"/>
      <c r="G20" s="218"/>
      <c r="H20" s="218"/>
      <c r="I20" s="218"/>
      <c r="J20" s="218"/>
      <c r="K20" s="218"/>
      <c r="L20" s="218"/>
      <c r="M20" s="218"/>
    </row>
    <row r="21" spans="1:13" ht="18">
      <c r="A21" s="218"/>
      <c r="B21" s="269" t="s">
        <v>486</v>
      </c>
      <c r="C21" s="270">
        <v>281481</v>
      </c>
      <c r="D21" s="270">
        <v>272412</v>
      </c>
      <c r="E21" s="218"/>
      <c r="F21" s="218"/>
      <c r="G21" s="218"/>
      <c r="H21" s="218"/>
      <c r="I21" s="218"/>
      <c r="J21" s="218"/>
      <c r="K21" s="218"/>
      <c r="L21" s="218"/>
      <c r="M21" s="218"/>
    </row>
    <row r="22" spans="1:13" ht="18">
      <c r="A22" s="218"/>
      <c r="B22" s="269" t="s">
        <v>487</v>
      </c>
      <c r="C22" s="270">
        <v>236247</v>
      </c>
      <c r="D22" s="270">
        <v>226910</v>
      </c>
      <c r="E22" s="218"/>
      <c r="F22" s="218"/>
      <c r="G22" s="218"/>
      <c r="H22" s="218"/>
      <c r="I22" s="218"/>
      <c r="J22" s="218"/>
      <c r="K22" s="218"/>
      <c r="L22" s="218"/>
      <c r="M22" s="218"/>
    </row>
    <row r="23" spans="1:13" ht="18">
      <c r="A23" s="218"/>
      <c r="B23" s="269" t="s">
        <v>488</v>
      </c>
      <c r="C23" s="270">
        <v>189857</v>
      </c>
      <c r="D23" s="270">
        <v>183262</v>
      </c>
      <c r="E23" s="218"/>
      <c r="F23" s="218"/>
      <c r="G23" s="218"/>
      <c r="H23" s="218"/>
      <c r="I23" s="218"/>
      <c r="J23" s="218"/>
      <c r="K23" s="218"/>
      <c r="L23" s="218"/>
      <c r="M23" s="218"/>
    </row>
    <row r="24" spans="1:13" ht="18">
      <c r="A24" s="218"/>
      <c r="B24" s="269" t="s">
        <v>489</v>
      </c>
      <c r="C24" s="270">
        <v>150419</v>
      </c>
      <c r="D24" s="270">
        <v>149356</v>
      </c>
      <c r="E24" s="218"/>
      <c r="F24" s="218"/>
      <c r="G24" s="218"/>
      <c r="H24" s="218"/>
      <c r="I24" s="218"/>
      <c r="J24" s="218"/>
      <c r="K24" s="218"/>
      <c r="L24" s="218"/>
      <c r="M24" s="218"/>
    </row>
    <row r="25" spans="1:13" ht="18">
      <c r="A25" s="218"/>
      <c r="B25" s="269" t="s">
        <v>490</v>
      </c>
      <c r="C25" s="270">
        <v>116214</v>
      </c>
      <c r="D25" s="270">
        <v>120179</v>
      </c>
      <c r="E25" s="218"/>
      <c r="F25" s="218"/>
      <c r="G25" s="218"/>
      <c r="H25" s="218"/>
      <c r="I25" s="218"/>
      <c r="J25" s="218"/>
      <c r="K25" s="218"/>
      <c r="L25" s="218"/>
      <c r="M25" s="218"/>
    </row>
    <row r="26" spans="1:13" ht="18">
      <c r="A26" s="218"/>
      <c r="B26" s="269" t="s">
        <v>491</v>
      </c>
      <c r="C26" s="270">
        <v>87252</v>
      </c>
      <c r="D26" s="270">
        <v>95488</v>
      </c>
      <c r="E26" s="218"/>
      <c r="F26" s="218"/>
      <c r="G26" s="218"/>
      <c r="H26" s="218"/>
      <c r="I26" s="218"/>
      <c r="J26" s="218"/>
      <c r="K26" s="218"/>
      <c r="L26" s="218"/>
      <c r="M26" s="218"/>
    </row>
    <row r="27" spans="1:13" ht="18">
      <c r="A27" s="218"/>
      <c r="B27" s="269" t="s">
        <v>492</v>
      </c>
      <c r="C27" s="270">
        <v>62380</v>
      </c>
      <c r="D27" s="270">
        <v>73419</v>
      </c>
      <c r="E27" s="218"/>
      <c r="F27" s="218"/>
      <c r="G27" s="218"/>
      <c r="H27" s="218"/>
      <c r="I27" s="218"/>
      <c r="J27" s="218"/>
      <c r="K27" s="218"/>
      <c r="L27" s="218"/>
      <c r="M27" s="218"/>
    </row>
    <row r="28" spans="1:13" ht="18">
      <c r="A28" s="218"/>
      <c r="B28" s="269" t="s">
        <v>493</v>
      </c>
      <c r="C28" s="270">
        <v>43161</v>
      </c>
      <c r="D28" s="270">
        <v>55065</v>
      </c>
      <c r="E28" s="218"/>
      <c r="F28" s="218"/>
      <c r="G28" s="218"/>
      <c r="H28" s="218"/>
      <c r="I28" s="218"/>
      <c r="J28" s="218"/>
      <c r="K28" s="218"/>
      <c r="L28" s="218"/>
      <c r="M28" s="218"/>
    </row>
    <row r="29" spans="1:13" ht="18">
      <c r="A29" s="218"/>
      <c r="B29" s="269" t="s">
        <v>494</v>
      </c>
      <c r="C29" s="270">
        <v>29315</v>
      </c>
      <c r="D29" s="270">
        <v>39024</v>
      </c>
      <c r="E29" s="218"/>
      <c r="F29" s="218"/>
      <c r="G29" s="218"/>
      <c r="H29" s="218"/>
      <c r="I29" s="218"/>
      <c r="J29" s="218"/>
      <c r="K29" s="218"/>
      <c r="L29" s="218"/>
      <c r="M29" s="218"/>
    </row>
    <row r="30" spans="1:13" ht="18">
      <c r="A30" s="218"/>
      <c r="B30" s="269" t="s">
        <v>495</v>
      </c>
      <c r="C30" s="270">
        <v>16678</v>
      </c>
      <c r="D30" s="270">
        <v>23792</v>
      </c>
      <c r="E30" s="218"/>
      <c r="F30" s="218"/>
      <c r="G30" s="218"/>
      <c r="H30" s="218"/>
      <c r="I30" s="218"/>
      <c r="J30" s="218"/>
      <c r="K30" s="218"/>
      <c r="L30" s="218"/>
      <c r="M30" s="218"/>
    </row>
    <row r="31" spans="1:13" ht="18">
      <c r="A31" s="218"/>
      <c r="B31" s="269" t="s">
        <v>496</v>
      </c>
      <c r="C31" s="270">
        <v>7283</v>
      </c>
      <c r="D31" s="270">
        <v>11291</v>
      </c>
      <c r="E31" s="218"/>
      <c r="F31" s="218"/>
      <c r="G31" s="218"/>
      <c r="H31" s="218"/>
      <c r="I31" s="218"/>
      <c r="J31" s="218"/>
      <c r="K31" s="218"/>
      <c r="L31" s="218"/>
      <c r="M31" s="218"/>
    </row>
    <row r="32" spans="1:13" ht="18">
      <c r="A32" s="218"/>
      <c r="B32" s="269" t="s">
        <v>497</v>
      </c>
      <c r="C32" s="270">
        <v>2312</v>
      </c>
      <c r="D32" s="270">
        <v>3952</v>
      </c>
      <c r="E32" s="218"/>
      <c r="F32" s="218"/>
      <c r="G32" s="218"/>
      <c r="H32" s="218"/>
      <c r="I32" s="218"/>
      <c r="J32" s="218"/>
      <c r="K32" s="218"/>
      <c r="L32" s="218"/>
      <c r="M32" s="218"/>
    </row>
    <row r="33" spans="1:13" ht="18">
      <c r="A33" s="218"/>
      <c r="B33" s="269" t="s">
        <v>498</v>
      </c>
      <c r="C33" s="270">
        <v>488</v>
      </c>
      <c r="D33" s="270">
        <v>938</v>
      </c>
      <c r="E33" s="218"/>
      <c r="F33" s="218"/>
      <c r="G33" s="218"/>
      <c r="H33" s="218"/>
      <c r="I33" s="218"/>
      <c r="J33" s="218"/>
      <c r="K33" s="218"/>
      <c r="L33" s="218"/>
      <c r="M33" s="218"/>
    </row>
    <row r="34" spans="1:13" ht="18">
      <c r="A34" s="218"/>
      <c r="B34" s="269" t="s">
        <v>499</v>
      </c>
      <c r="C34" s="270">
        <v>62</v>
      </c>
      <c r="D34" s="270">
        <v>136</v>
      </c>
      <c r="E34" s="218"/>
      <c r="F34" s="218"/>
      <c r="G34" s="218"/>
      <c r="H34" s="218"/>
      <c r="I34" s="218"/>
      <c r="J34" s="218"/>
      <c r="K34" s="218"/>
      <c r="L34" s="218"/>
      <c r="M34" s="218"/>
    </row>
    <row r="35" spans="1:13" ht="18">
      <c r="B35" s="269" t="s">
        <v>500</v>
      </c>
      <c r="C35" s="270">
        <v>5</v>
      </c>
      <c r="D35" s="270">
        <v>12</v>
      </c>
    </row>
    <row r="38" spans="1:13" ht="18">
      <c r="B38" s="218" t="s">
        <v>850</v>
      </c>
      <c r="C38" s="218"/>
    </row>
    <row r="39" spans="1:13" ht="18">
      <c r="B39" s="426" t="s">
        <v>31</v>
      </c>
      <c r="C39" s="426" t="s">
        <v>448</v>
      </c>
      <c r="D39" s="427" t="s">
        <v>854</v>
      </c>
    </row>
    <row r="40" spans="1:13" ht="18">
      <c r="B40" s="222" t="s">
        <v>859</v>
      </c>
      <c r="C40" s="238">
        <f>Personnel!K56</f>
        <v>407000000</v>
      </c>
      <c r="D40" s="479">
        <f>Personnel!L56</f>
        <v>40700</v>
      </c>
    </row>
    <row r="41" spans="1:13" ht="18">
      <c r="B41" s="222" t="s">
        <v>852</v>
      </c>
      <c r="C41" s="238">
        <f>'Capital Costs'!H35</f>
        <v>1523000000</v>
      </c>
      <c r="D41" s="479">
        <f>'Capital Costs'!I35</f>
        <v>152300</v>
      </c>
    </row>
    <row r="42" spans="1:13" ht="18">
      <c r="B42" s="222" t="s">
        <v>860</v>
      </c>
      <c r="C42" s="238">
        <f>Consumables!H12</f>
        <v>25126363680.000004</v>
      </c>
      <c r="D42" s="479">
        <f>Consumables!I12</f>
        <v>2512636.3680000007</v>
      </c>
    </row>
    <row r="43" spans="1:13" ht="18">
      <c r="B43" s="222" t="s">
        <v>855</v>
      </c>
      <c r="C43" s="238">
        <f>Meetings!L29</f>
        <v>0</v>
      </c>
      <c r="D43" s="480">
        <f>Meetings!M29</f>
        <v>0</v>
      </c>
    </row>
    <row r="44" spans="1:13" ht="18">
      <c r="B44" s="222" t="s">
        <v>947</v>
      </c>
      <c r="C44" s="238">
        <f>Meetings!L7</f>
        <v>0</v>
      </c>
      <c r="D44" s="480">
        <f>Meetings!M7</f>
        <v>0</v>
      </c>
    </row>
    <row r="45" spans="1:13" ht="18">
      <c r="B45" s="222" t="s">
        <v>28</v>
      </c>
      <c r="C45" s="238">
        <f>Meetings!L20+Consumables!H42</f>
        <v>31507548.250847463</v>
      </c>
      <c r="D45" s="480">
        <f>Meetings!M20+Consumables!I42</f>
        <v>3150.7548250847467</v>
      </c>
    </row>
    <row r="46" spans="1:13" ht="18">
      <c r="B46" s="222" t="s">
        <v>856</v>
      </c>
      <c r="C46" s="238">
        <f>Operations!G16+Operations!G28</f>
        <v>244080000</v>
      </c>
      <c r="D46" s="480">
        <f>Operations!H16+Operations!H28</f>
        <v>24408</v>
      </c>
    </row>
    <row r="47" spans="1:13" ht="18">
      <c r="B47" s="222" t="s">
        <v>450</v>
      </c>
      <c r="C47" s="238">
        <f>Operations!G49+Operations!G53+Operations!G57</f>
        <v>211000000</v>
      </c>
      <c r="D47" s="480">
        <f>Operations!H49+Operations!H53+Operations!H57</f>
        <v>21100</v>
      </c>
    </row>
    <row r="48" spans="1:13" ht="18">
      <c r="B48" s="222" t="s">
        <v>946</v>
      </c>
      <c r="C48" s="238">
        <v>1300000000</v>
      </c>
      <c r="D48" s="480"/>
    </row>
    <row r="49" spans="2:5" ht="18">
      <c r="B49" s="222" t="s">
        <v>451</v>
      </c>
      <c r="C49" s="238">
        <f>Operations!G37+Meetings!L36</f>
        <v>60000000</v>
      </c>
      <c r="D49" s="480">
        <f>Operations!H37+Meetings!M36</f>
        <v>6000</v>
      </c>
    </row>
    <row r="50" spans="2:5" ht="18">
      <c r="B50" s="222" t="s">
        <v>858</v>
      </c>
      <c r="C50" s="238">
        <f>TAS!G80</f>
        <v>623130000</v>
      </c>
      <c r="D50" s="480">
        <f>TAS!H80</f>
        <v>62313</v>
      </c>
    </row>
    <row r="51" spans="2:5" ht="18">
      <c r="B51" s="222" t="s">
        <v>857</v>
      </c>
      <c r="C51" s="238">
        <v>0</v>
      </c>
      <c r="D51" s="480">
        <f>IF(C51=0,0,C51/exchange_rate)</f>
        <v>0</v>
      </c>
      <c r="E51" s="24" t="s">
        <v>930</v>
      </c>
    </row>
    <row r="52" spans="2:5" ht="18">
      <c r="B52" s="222" t="s">
        <v>949</v>
      </c>
      <c r="C52" s="428">
        <f>Consumables!H18+Operations!G44</f>
        <v>3832447953.3898306</v>
      </c>
      <c r="D52" s="479">
        <f>Consumables!I18+Operations!H44</f>
        <v>383244.79533898307</v>
      </c>
    </row>
  </sheetData>
  <hyperlinks>
    <hyperlink ref="H1" location="Personnel!A1" display="Next &gt;" xr:uid="{D3D2F1B0-358B-CC49-B564-56B6AF7D506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5A02E-F7C0-D54E-94C9-1B017F7CC5D2}">
  <dimension ref="A1:L65"/>
  <sheetViews>
    <sheetView showGridLines="0" workbookViewId="0">
      <pane ySplit="3" topLeftCell="A29" activePane="bottomLeft" state="frozen"/>
      <selection pane="bottomLeft" activeCell="K48" sqref="K48"/>
    </sheetView>
  </sheetViews>
  <sheetFormatPr baseColWidth="10" defaultColWidth="8.83203125" defaultRowHeight="14"/>
  <cols>
    <col min="2" max="2" width="34.33203125" customWidth="1"/>
    <col min="3" max="3" width="12.33203125" customWidth="1"/>
    <col min="4" max="4" width="18.1640625" customWidth="1"/>
    <col min="5" max="5" width="17.83203125" customWidth="1"/>
    <col min="6" max="6" width="12.5" customWidth="1"/>
    <col min="7" max="7" width="13.33203125" customWidth="1"/>
    <col min="8" max="8" width="19" customWidth="1"/>
    <col min="9" max="9" width="13.6640625" customWidth="1"/>
    <col min="11" max="11" width="20.83203125" customWidth="1"/>
    <col min="12" max="12" width="16.6640625" customWidth="1"/>
  </cols>
  <sheetData>
    <row r="1" spans="1:12" ht="15">
      <c r="A1" s="276" t="s">
        <v>611</v>
      </c>
    </row>
    <row r="2" spans="1:12" ht="15">
      <c r="B2" s="277" t="s">
        <v>612</v>
      </c>
    </row>
    <row r="3" spans="1:12" ht="30">
      <c r="B3" s="278"/>
      <c r="C3" s="279" t="s">
        <v>613</v>
      </c>
      <c r="D3" s="279" t="s">
        <v>614</v>
      </c>
      <c r="E3" s="279" t="s">
        <v>615</v>
      </c>
      <c r="F3" s="279" t="s">
        <v>616</v>
      </c>
      <c r="G3" s="279" t="s">
        <v>617</v>
      </c>
      <c r="H3" s="279" t="s">
        <v>846</v>
      </c>
      <c r="I3" s="279" t="s">
        <v>847</v>
      </c>
      <c r="J3" s="279" t="s">
        <v>819</v>
      </c>
      <c r="K3" s="279" t="s">
        <v>848</v>
      </c>
      <c r="L3" s="280" t="s">
        <v>849</v>
      </c>
    </row>
    <row r="4" spans="1:12">
      <c r="B4" s="8" t="s">
        <v>618</v>
      </c>
      <c r="L4" s="9"/>
    </row>
    <row r="5" spans="1:12">
      <c r="B5" s="281" t="s">
        <v>619</v>
      </c>
      <c r="C5" s="282">
        <v>1</v>
      </c>
      <c r="D5" s="283">
        <v>10000000</v>
      </c>
      <c r="E5" s="283">
        <v>1000000</v>
      </c>
      <c r="F5" s="284">
        <f>IF(D5=0,0,D5/'[1]Country details'!$C$6)</f>
        <v>1000</v>
      </c>
      <c r="G5" s="284">
        <f t="shared" ref="G5:G17" si="0">IF(E5=0,0,E5/exchange_rate)</f>
        <v>100</v>
      </c>
      <c r="H5" s="285">
        <f t="shared" ref="H5:H53" si="1">IF(C5=0,0,C5*(D5+E5))</f>
        <v>11000000</v>
      </c>
      <c r="I5" s="284">
        <f t="shared" ref="I5:I17" si="2">H5/exchange_rate</f>
        <v>1100</v>
      </c>
      <c r="J5" s="282">
        <v>1</v>
      </c>
      <c r="K5" s="285">
        <f t="shared" ref="K5:K53" si="3">H5*J5</f>
        <v>11000000</v>
      </c>
      <c r="L5" s="286">
        <f t="shared" ref="L5:L53" si="4">I5*J5</f>
        <v>1100</v>
      </c>
    </row>
    <row r="6" spans="1:12">
      <c r="B6" s="10" t="s">
        <v>620</v>
      </c>
      <c r="C6" s="287">
        <v>1</v>
      </c>
      <c r="D6" s="288">
        <v>10000000</v>
      </c>
      <c r="E6" s="288">
        <v>1000000</v>
      </c>
      <c r="F6" s="289">
        <f>IF(D6=0,0,D6/'[1]Country details'!$C$6)</f>
        <v>1000</v>
      </c>
      <c r="G6" s="289">
        <f t="shared" si="0"/>
        <v>100</v>
      </c>
      <c r="H6" s="290">
        <f t="shared" si="1"/>
        <v>11000000</v>
      </c>
      <c r="I6" s="289">
        <f t="shared" si="2"/>
        <v>1100</v>
      </c>
      <c r="J6" s="287">
        <v>1</v>
      </c>
      <c r="K6" s="290">
        <f t="shared" si="3"/>
        <v>11000000</v>
      </c>
      <c r="L6" s="291">
        <f t="shared" si="4"/>
        <v>1100</v>
      </c>
    </row>
    <row r="7" spans="1:12">
      <c r="B7" s="10" t="s">
        <v>621</v>
      </c>
      <c r="C7" s="287">
        <v>1</v>
      </c>
      <c r="D7" s="288">
        <v>10000000</v>
      </c>
      <c r="E7" s="288">
        <v>1000000</v>
      </c>
      <c r="F7" s="289">
        <f>IF(D7=0,0,D7/'[1]Country details'!$C$6)</f>
        <v>1000</v>
      </c>
      <c r="G7" s="289">
        <f t="shared" si="0"/>
        <v>100</v>
      </c>
      <c r="H7" s="290">
        <f t="shared" si="1"/>
        <v>11000000</v>
      </c>
      <c r="I7" s="289">
        <f t="shared" si="2"/>
        <v>1100</v>
      </c>
      <c r="J7" s="287">
        <v>1</v>
      </c>
      <c r="K7" s="290">
        <f t="shared" si="3"/>
        <v>11000000</v>
      </c>
      <c r="L7" s="291">
        <f t="shared" si="4"/>
        <v>1100</v>
      </c>
    </row>
    <row r="8" spans="1:12">
      <c r="B8" s="10" t="s">
        <v>622</v>
      </c>
      <c r="C8" s="287">
        <v>1</v>
      </c>
      <c r="D8" s="288">
        <v>10000000</v>
      </c>
      <c r="E8" s="288">
        <v>1000000</v>
      </c>
      <c r="F8" s="289">
        <f>IF(D8=0,0,D8/'[1]Country details'!$C$6)</f>
        <v>1000</v>
      </c>
      <c r="G8" s="289">
        <f t="shared" si="0"/>
        <v>100</v>
      </c>
      <c r="H8" s="290">
        <f t="shared" si="1"/>
        <v>11000000</v>
      </c>
      <c r="I8" s="289">
        <f t="shared" si="2"/>
        <v>1100</v>
      </c>
      <c r="J8" s="287">
        <v>1</v>
      </c>
      <c r="K8" s="290">
        <f t="shared" si="3"/>
        <v>11000000</v>
      </c>
      <c r="L8" s="291">
        <f t="shared" si="4"/>
        <v>1100</v>
      </c>
    </row>
    <row r="9" spans="1:12">
      <c r="B9" s="10" t="s">
        <v>623</v>
      </c>
      <c r="C9" s="287">
        <v>1</v>
      </c>
      <c r="D9" s="288">
        <v>10000000</v>
      </c>
      <c r="E9" s="288">
        <v>1000000</v>
      </c>
      <c r="F9" s="289">
        <f>IF(D9=0,0,D9/'[1]Country details'!$C$6)</f>
        <v>1000</v>
      </c>
      <c r="G9" s="289">
        <f t="shared" si="0"/>
        <v>100</v>
      </c>
      <c r="H9" s="290">
        <f t="shared" si="1"/>
        <v>11000000</v>
      </c>
      <c r="I9" s="289">
        <f t="shared" si="2"/>
        <v>1100</v>
      </c>
      <c r="J9" s="287">
        <v>1</v>
      </c>
      <c r="K9" s="290">
        <f t="shared" si="3"/>
        <v>11000000</v>
      </c>
      <c r="L9" s="291">
        <f t="shared" si="4"/>
        <v>1100</v>
      </c>
    </row>
    <row r="10" spans="1:12">
      <c r="B10" s="10" t="s">
        <v>624</v>
      </c>
      <c r="C10" s="287">
        <v>1</v>
      </c>
      <c r="D10" s="288">
        <v>10000000</v>
      </c>
      <c r="E10" s="288">
        <v>1000000</v>
      </c>
      <c r="F10" s="289">
        <f>IF(D10=0,0,D10/'[1]Country details'!$C$6)</f>
        <v>1000</v>
      </c>
      <c r="G10" s="289">
        <f t="shared" si="0"/>
        <v>100</v>
      </c>
      <c r="H10" s="290">
        <f t="shared" si="1"/>
        <v>11000000</v>
      </c>
      <c r="I10" s="289">
        <f t="shared" si="2"/>
        <v>1100</v>
      </c>
      <c r="J10" s="287">
        <v>1</v>
      </c>
      <c r="K10" s="290">
        <f t="shared" si="3"/>
        <v>11000000</v>
      </c>
      <c r="L10" s="291">
        <f t="shared" si="4"/>
        <v>1100</v>
      </c>
    </row>
    <row r="11" spans="1:12">
      <c r="B11" s="10" t="s">
        <v>625</v>
      </c>
      <c r="C11" s="287">
        <v>1</v>
      </c>
      <c r="D11" s="288">
        <v>10000000</v>
      </c>
      <c r="E11" s="288">
        <v>1000000</v>
      </c>
      <c r="F11" s="289">
        <f>IF(D11=0,0,D11/'[1]Country details'!$C$6)</f>
        <v>1000</v>
      </c>
      <c r="G11" s="289">
        <f t="shared" si="0"/>
        <v>100</v>
      </c>
      <c r="H11" s="290">
        <f t="shared" si="1"/>
        <v>11000000</v>
      </c>
      <c r="I11" s="289">
        <f t="shared" si="2"/>
        <v>1100</v>
      </c>
      <c r="J11" s="287">
        <v>1</v>
      </c>
      <c r="K11" s="290">
        <f t="shared" si="3"/>
        <v>11000000</v>
      </c>
      <c r="L11" s="291">
        <f t="shared" si="4"/>
        <v>1100</v>
      </c>
    </row>
    <row r="12" spans="1:12">
      <c r="B12" s="10" t="s">
        <v>626</v>
      </c>
      <c r="C12" s="287">
        <v>1</v>
      </c>
      <c r="D12" s="288">
        <v>10000000</v>
      </c>
      <c r="E12" s="288">
        <v>1000000</v>
      </c>
      <c r="F12" s="289">
        <f>IF(D12=0,0,D12/'[1]Country details'!$C$6)</f>
        <v>1000</v>
      </c>
      <c r="G12" s="289">
        <f t="shared" si="0"/>
        <v>100</v>
      </c>
      <c r="H12" s="290">
        <f t="shared" si="1"/>
        <v>11000000</v>
      </c>
      <c r="I12" s="289">
        <f t="shared" si="2"/>
        <v>1100</v>
      </c>
      <c r="J12" s="287">
        <v>1</v>
      </c>
      <c r="K12" s="290">
        <f t="shared" si="3"/>
        <v>11000000</v>
      </c>
      <c r="L12" s="291">
        <f t="shared" si="4"/>
        <v>1100</v>
      </c>
    </row>
    <row r="13" spans="1:12">
      <c r="B13" s="10" t="s">
        <v>627</v>
      </c>
      <c r="C13" s="287">
        <v>1</v>
      </c>
      <c r="D13" s="288">
        <v>10000000</v>
      </c>
      <c r="E13" s="288">
        <v>1000000</v>
      </c>
      <c r="F13" s="289">
        <f>IF(D13=0,0,D13/exchange_rate)</f>
        <v>1000</v>
      </c>
      <c r="G13" s="289">
        <f t="shared" si="0"/>
        <v>100</v>
      </c>
      <c r="H13" s="290">
        <f t="shared" si="1"/>
        <v>11000000</v>
      </c>
      <c r="I13" s="289">
        <f t="shared" si="2"/>
        <v>1100</v>
      </c>
      <c r="J13" s="287">
        <v>1</v>
      </c>
      <c r="K13" s="290">
        <f t="shared" si="3"/>
        <v>11000000</v>
      </c>
      <c r="L13" s="291">
        <f t="shared" si="4"/>
        <v>1100</v>
      </c>
    </row>
    <row r="14" spans="1:12">
      <c r="B14" s="10" t="s">
        <v>628</v>
      </c>
      <c r="C14" s="287">
        <v>1</v>
      </c>
      <c r="D14" s="288">
        <v>10000000</v>
      </c>
      <c r="E14" s="288">
        <v>1000000</v>
      </c>
      <c r="F14" s="289">
        <f>IF(D14=0,0,D14/exchange_rate)</f>
        <v>1000</v>
      </c>
      <c r="G14" s="289">
        <f t="shared" si="0"/>
        <v>100</v>
      </c>
      <c r="H14" s="290">
        <f t="shared" si="1"/>
        <v>11000000</v>
      </c>
      <c r="I14" s="289">
        <f t="shared" si="2"/>
        <v>1100</v>
      </c>
      <c r="J14" s="287">
        <v>1</v>
      </c>
      <c r="K14" s="290">
        <f t="shared" si="3"/>
        <v>11000000</v>
      </c>
      <c r="L14" s="291">
        <f t="shared" si="4"/>
        <v>1100</v>
      </c>
    </row>
    <row r="15" spans="1:12">
      <c r="B15" s="10" t="s">
        <v>629</v>
      </c>
      <c r="C15" s="287">
        <v>1</v>
      </c>
      <c r="D15" s="288">
        <v>10000000</v>
      </c>
      <c r="E15" s="288">
        <v>1000000</v>
      </c>
      <c r="F15" s="289">
        <f>IF(D15=0,0,D15/exchange_rate)</f>
        <v>1000</v>
      </c>
      <c r="G15" s="289">
        <f t="shared" si="0"/>
        <v>100</v>
      </c>
      <c r="H15" s="290">
        <f t="shared" si="1"/>
        <v>11000000</v>
      </c>
      <c r="I15" s="289">
        <f t="shared" si="2"/>
        <v>1100</v>
      </c>
      <c r="J15" s="287">
        <v>1</v>
      </c>
      <c r="K15" s="290">
        <f t="shared" si="3"/>
        <v>11000000</v>
      </c>
      <c r="L15" s="291">
        <f t="shared" si="4"/>
        <v>1100</v>
      </c>
    </row>
    <row r="16" spans="1:12">
      <c r="B16" s="10" t="s">
        <v>630</v>
      </c>
      <c r="C16" s="287">
        <v>1</v>
      </c>
      <c r="D16" s="288">
        <v>10000000</v>
      </c>
      <c r="E16" s="288">
        <v>1000000</v>
      </c>
      <c r="F16" s="289">
        <f>IF(D16=0,0,D16/exchange_rate)</f>
        <v>1000</v>
      </c>
      <c r="G16" s="289">
        <f t="shared" si="0"/>
        <v>100</v>
      </c>
      <c r="H16" s="290">
        <f t="shared" si="1"/>
        <v>11000000</v>
      </c>
      <c r="I16" s="289">
        <f t="shared" si="2"/>
        <v>1100</v>
      </c>
      <c r="J16" s="287">
        <v>1</v>
      </c>
      <c r="K16" s="290">
        <f t="shared" si="3"/>
        <v>11000000</v>
      </c>
      <c r="L16" s="291">
        <f t="shared" si="4"/>
        <v>1100</v>
      </c>
    </row>
    <row r="17" spans="2:12">
      <c r="B17" s="11" t="s">
        <v>631</v>
      </c>
      <c r="C17" s="287">
        <v>1</v>
      </c>
      <c r="D17" s="288">
        <v>10000000</v>
      </c>
      <c r="E17" s="288">
        <v>1000000</v>
      </c>
      <c r="F17" s="289">
        <f>IF(D17=0,0,D17/exchange_rate)</f>
        <v>1000</v>
      </c>
      <c r="G17" s="289">
        <f t="shared" si="0"/>
        <v>100</v>
      </c>
      <c r="H17" s="295">
        <f t="shared" si="1"/>
        <v>11000000</v>
      </c>
      <c r="I17" s="289">
        <f t="shared" si="2"/>
        <v>1100</v>
      </c>
      <c r="J17" s="292">
        <v>1</v>
      </c>
      <c r="K17" s="295">
        <f t="shared" si="3"/>
        <v>11000000</v>
      </c>
      <c r="L17" s="296">
        <f t="shared" si="4"/>
        <v>1100</v>
      </c>
    </row>
    <row r="18" spans="2:12">
      <c r="B18" s="19" t="s">
        <v>632</v>
      </c>
      <c r="C18" s="297"/>
      <c r="D18" s="298"/>
      <c r="E18" s="298"/>
      <c r="F18" s="299"/>
      <c r="G18" s="299"/>
      <c r="H18" s="298">
        <f>SUM(H5:H17)</f>
        <v>143000000</v>
      </c>
      <c r="I18" s="299">
        <f>SUM(I5:I17)</f>
        <v>14300</v>
      </c>
      <c r="J18" s="297"/>
      <c r="K18" s="298">
        <f>SUM(K5:K17)</f>
        <v>143000000</v>
      </c>
      <c r="L18" s="300">
        <f>SUM(L5:L17)</f>
        <v>14300</v>
      </c>
    </row>
    <row r="19" spans="2:12">
      <c r="B19" s="8"/>
      <c r="C19" s="58"/>
      <c r="D19" s="301"/>
      <c r="E19" s="301"/>
      <c r="F19" s="302"/>
      <c r="G19" s="302"/>
      <c r="H19" s="301"/>
      <c r="I19" s="302"/>
      <c r="J19" s="58"/>
      <c r="K19" s="301"/>
      <c r="L19" s="302"/>
    </row>
    <row r="20" spans="2:12">
      <c r="B20" s="19" t="s">
        <v>633</v>
      </c>
      <c r="C20" s="297"/>
      <c r="D20" s="298"/>
      <c r="E20" s="298"/>
      <c r="F20" s="299"/>
      <c r="G20" s="299"/>
      <c r="H20" s="298"/>
      <c r="I20" s="299"/>
      <c r="J20" s="297"/>
      <c r="K20" s="298"/>
      <c r="L20" s="300"/>
    </row>
    <row r="21" spans="2:12">
      <c r="B21" s="281" t="s">
        <v>634</v>
      </c>
      <c r="C21" s="282">
        <v>1</v>
      </c>
      <c r="D21" s="283">
        <v>10000000</v>
      </c>
      <c r="E21" s="283">
        <v>1000000</v>
      </c>
      <c r="F21" s="284">
        <f t="shared" ref="F21:G27" si="5">IF(D21=0,0,D21/exchange_rate)</f>
        <v>1000</v>
      </c>
      <c r="G21" s="284">
        <f t="shared" si="5"/>
        <v>100</v>
      </c>
      <c r="H21" s="285">
        <f t="shared" si="1"/>
        <v>11000000</v>
      </c>
      <c r="I21" s="284">
        <f t="shared" ref="I21:I27" si="6">H21/exchange_rate</f>
        <v>1100</v>
      </c>
      <c r="J21" s="282">
        <v>1</v>
      </c>
      <c r="K21" s="285">
        <f t="shared" si="3"/>
        <v>11000000</v>
      </c>
      <c r="L21" s="286">
        <f t="shared" si="4"/>
        <v>1100</v>
      </c>
    </row>
    <row r="22" spans="2:12">
      <c r="B22" s="10" t="s">
        <v>635</v>
      </c>
      <c r="C22" s="287">
        <v>1</v>
      </c>
      <c r="D22" s="288">
        <v>10000000</v>
      </c>
      <c r="E22" s="288">
        <v>1000000</v>
      </c>
      <c r="F22" s="289">
        <f t="shared" si="5"/>
        <v>1000</v>
      </c>
      <c r="G22" s="289">
        <f t="shared" si="5"/>
        <v>100</v>
      </c>
      <c r="H22" s="290">
        <f t="shared" si="1"/>
        <v>11000000</v>
      </c>
      <c r="I22" s="289">
        <f t="shared" si="6"/>
        <v>1100</v>
      </c>
      <c r="J22" s="287">
        <v>1</v>
      </c>
      <c r="K22" s="290">
        <f t="shared" si="3"/>
        <v>11000000</v>
      </c>
      <c r="L22" s="291">
        <f t="shared" si="4"/>
        <v>1100</v>
      </c>
    </row>
    <row r="23" spans="2:12">
      <c r="B23" s="10" t="s">
        <v>636</v>
      </c>
      <c r="C23" s="287">
        <v>1</v>
      </c>
      <c r="D23" s="288">
        <v>10000000</v>
      </c>
      <c r="E23" s="288">
        <v>1000000</v>
      </c>
      <c r="F23" s="289">
        <f t="shared" si="5"/>
        <v>1000</v>
      </c>
      <c r="G23" s="289">
        <f t="shared" si="5"/>
        <v>100</v>
      </c>
      <c r="H23" s="290">
        <f t="shared" si="1"/>
        <v>11000000</v>
      </c>
      <c r="I23" s="289">
        <f t="shared" si="6"/>
        <v>1100</v>
      </c>
      <c r="J23" s="287">
        <v>1</v>
      </c>
      <c r="K23" s="290">
        <f t="shared" si="3"/>
        <v>11000000</v>
      </c>
      <c r="L23" s="291">
        <f t="shared" si="4"/>
        <v>1100</v>
      </c>
    </row>
    <row r="24" spans="2:12">
      <c r="B24" s="10" t="s">
        <v>637</v>
      </c>
      <c r="C24" s="287">
        <v>1</v>
      </c>
      <c r="D24" s="288">
        <v>10000000</v>
      </c>
      <c r="E24" s="288">
        <v>1000000</v>
      </c>
      <c r="F24" s="289">
        <f t="shared" si="5"/>
        <v>1000</v>
      </c>
      <c r="G24" s="289">
        <f t="shared" si="5"/>
        <v>100</v>
      </c>
      <c r="H24" s="290">
        <f t="shared" si="1"/>
        <v>11000000</v>
      </c>
      <c r="I24" s="289">
        <f t="shared" si="6"/>
        <v>1100</v>
      </c>
      <c r="J24" s="287">
        <v>1</v>
      </c>
      <c r="K24" s="290">
        <f t="shared" si="3"/>
        <v>11000000</v>
      </c>
      <c r="L24" s="291">
        <f t="shared" si="4"/>
        <v>1100</v>
      </c>
    </row>
    <row r="25" spans="2:12">
      <c r="B25" s="10" t="s">
        <v>638</v>
      </c>
      <c r="C25" s="287">
        <v>1</v>
      </c>
      <c r="D25" s="288">
        <v>10000000</v>
      </c>
      <c r="E25" s="288">
        <v>1000000</v>
      </c>
      <c r="F25" s="289">
        <f t="shared" si="5"/>
        <v>1000</v>
      </c>
      <c r="G25" s="289">
        <f t="shared" si="5"/>
        <v>100</v>
      </c>
      <c r="H25" s="290">
        <f t="shared" si="1"/>
        <v>11000000</v>
      </c>
      <c r="I25" s="289">
        <f t="shared" si="6"/>
        <v>1100</v>
      </c>
      <c r="J25" s="287">
        <v>1</v>
      </c>
      <c r="K25" s="290">
        <f t="shared" si="3"/>
        <v>11000000</v>
      </c>
      <c r="L25" s="291">
        <f t="shared" si="4"/>
        <v>1100</v>
      </c>
    </row>
    <row r="26" spans="2:12">
      <c r="B26" s="10" t="s">
        <v>639</v>
      </c>
      <c r="C26" s="287">
        <v>1</v>
      </c>
      <c r="D26" s="288">
        <v>10000000</v>
      </c>
      <c r="E26" s="288">
        <v>1000000</v>
      </c>
      <c r="F26" s="289">
        <f t="shared" si="5"/>
        <v>1000</v>
      </c>
      <c r="G26" s="289">
        <f t="shared" si="5"/>
        <v>100</v>
      </c>
      <c r="H26" s="290">
        <f t="shared" si="1"/>
        <v>11000000</v>
      </c>
      <c r="I26" s="289">
        <f t="shared" si="6"/>
        <v>1100</v>
      </c>
      <c r="J26" s="287">
        <v>1</v>
      </c>
      <c r="K26" s="290">
        <f t="shared" si="3"/>
        <v>11000000</v>
      </c>
      <c r="L26" s="291">
        <f t="shared" si="4"/>
        <v>1100</v>
      </c>
    </row>
    <row r="27" spans="2:12">
      <c r="B27" s="11" t="s">
        <v>622</v>
      </c>
      <c r="C27" s="287">
        <v>1</v>
      </c>
      <c r="D27" s="288">
        <v>10000000</v>
      </c>
      <c r="E27" s="288">
        <v>1000000</v>
      </c>
      <c r="F27" s="289">
        <f t="shared" si="5"/>
        <v>1000</v>
      </c>
      <c r="G27" s="289">
        <f t="shared" si="5"/>
        <v>100</v>
      </c>
      <c r="H27" s="295">
        <f t="shared" si="1"/>
        <v>11000000</v>
      </c>
      <c r="I27" s="289">
        <f t="shared" si="6"/>
        <v>1100</v>
      </c>
      <c r="J27" s="287">
        <v>1</v>
      </c>
      <c r="K27" s="295">
        <f t="shared" si="3"/>
        <v>11000000</v>
      </c>
      <c r="L27" s="296">
        <f t="shared" si="4"/>
        <v>1100</v>
      </c>
    </row>
    <row r="28" spans="2:12">
      <c r="B28" s="19" t="s">
        <v>632</v>
      </c>
      <c r="C28" s="297"/>
      <c r="D28" s="298"/>
      <c r="E28" s="298"/>
      <c r="F28" s="299"/>
      <c r="G28" s="299"/>
      <c r="H28" s="298">
        <f>SUM(H21:H27)</f>
        <v>77000000</v>
      </c>
      <c r="I28" s="299">
        <f>SUM(I21:I27)</f>
        <v>7700</v>
      </c>
      <c r="J28" s="297"/>
      <c r="K28" s="298">
        <f>SUM(K21:K27)</f>
        <v>77000000</v>
      </c>
      <c r="L28" s="300">
        <f>SUM(L21:L27)</f>
        <v>7700</v>
      </c>
    </row>
    <row r="29" spans="2:12">
      <c r="B29" s="8"/>
      <c r="C29" s="58"/>
      <c r="D29" s="301"/>
      <c r="E29" s="301"/>
      <c r="F29" s="302"/>
      <c r="G29" s="302"/>
      <c r="H29" s="301"/>
      <c r="I29" s="302"/>
      <c r="J29" s="58"/>
      <c r="K29" s="301"/>
      <c r="L29" s="302"/>
    </row>
    <row r="30" spans="2:12">
      <c r="B30" s="19" t="s">
        <v>640</v>
      </c>
      <c r="C30" s="297"/>
      <c r="D30" s="298"/>
      <c r="E30" s="298"/>
      <c r="F30" s="299"/>
      <c r="G30" s="299"/>
      <c r="H30" s="298"/>
      <c r="I30" s="299"/>
      <c r="J30" s="297"/>
      <c r="K30" s="298"/>
      <c r="L30" s="300"/>
    </row>
    <row r="31" spans="2:12">
      <c r="B31" s="281" t="s">
        <v>641</v>
      </c>
      <c r="C31" s="282">
        <v>1</v>
      </c>
      <c r="D31" s="283">
        <v>10000000</v>
      </c>
      <c r="E31" s="283">
        <v>1000000</v>
      </c>
      <c r="F31" s="284">
        <f t="shared" ref="F31:G36" si="7">IF(D31=0,0,D31/exchange_rate)</f>
        <v>1000</v>
      </c>
      <c r="G31" s="284">
        <f t="shared" si="7"/>
        <v>100</v>
      </c>
      <c r="H31" s="285">
        <f t="shared" si="1"/>
        <v>11000000</v>
      </c>
      <c r="I31" s="284">
        <f t="shared" ref="I31:I36" si="8">H31/exchange_rate</f>
        <v>1100</v>
      </c>
      <c r="J31" s="282">
        <v>1</v>
      </c>
      <c r="K31" s="285">
        <f t="shared" si="3"/>
        <v>11000000</v>
      </c>
      <c r="L31" s="286">
        <f t="shared" si="4"/>
        <v>1100</v>
      </c>
    </row>
    <row r="32" spans="2:12">
      <c r="B32" s="10" t="s">
        <v>642</v>
      </c>
      <c r="C32" s="287">
        <v>1</v>
      </c>
      <c r="D32" s="288">
        <v>10000000</v>
      </c>
      <c r="E32" s="288">
        <v>1000000</v>
      </c>
      <c r="F32" s="289">
        <f t="shared" si="7"/>
        <v>1000</v>
      </c>
      <c r="G32" s="289">
        <f t="shared" si="7"/>
        <v>100</v>
      </c>
      <c r="H32" s="290">
        <f t="shared" si="1"/>
        <v>11000000</v>
      </c>
      <c r="I32" s="289">
        <f t="shared" si="8"/>
        <v>1100</v>
      </c>
      <c r="J32" s="287">
        <v>1</v>
      </c>
      <c r="K32" s="290">
        <f t="shared" si="3"/>
        <v>11000000</v>
      </c>
      <c r="L32" s="291">
        <f t="shared" si="4"/>
        <v>1100</v>
      </c>
    </row>
    <row r="33" spans="2:12">
      <c r="B33" s="10" t="s">
        <v>643</v>
      </c>
      <c r="C33" s="287">
        <v>1</v>
      </c>
      <c r="D33" s="288">
        <v>10000000</v>
      </c>
      <c r="E33" s="288">
        <v>1000000</v>
      </c>
      <c r="F33" s="289">
        <f t="shared" si="7"/>
        <v>1000</v>
      </c>
      <c r="G33" s="289">
        <f t="shared" si="7"/>
        <v>100</v>
      </c>
      <c r="H33" s="290">
        <f t="shared" si="1"/>
        <v>11000000</v>
      </c>
      <c r="I33" s="289">
        <f t="shared" si="8"/>
        <v>1100</v>
      </c>
      <c r="J33" s="287">
        <v>1</v>
      </c>
      <c r="K33" s="290">
        <f t="shared" si="3"/>
        <v>11000000</v>
      </c>
      <c r="L33" s="291">
        <f t="shared" si="4"/>
        <v>1100</v>
      </c>
    </row>
    <row r="34" spans="2:12">
      <c r="B34" s="10" t="s">
        <v>644</v>
      </c>
      <c r="C34" s="287">
        <v>1</v>
      </c>
      <c r="D34" s="288">
        <v>10000000</v>
      </c>
      <c r="E34" s="288">
        <v>1000000</v>
      </c>
      <c r="F34" s="289">
        <f t="shared" si="7"/>
        <v>1000</v>
      </c>
      <c r="G34" s="289">
        <f t="shared" si="7"/>
        <v>100</v>
      </c>
      <c r="H34" s="290">
        <f t="shared" si="1"/>
        <v>11000000</v>
      </c>
      <c r="I34" s="289">
        <f t="shared" si="8"/>
        <v>1100</v>
      </c>
      <c r="J34" s="287">
        <v>1</v>
      </c>
      <c r="K34" s="290">
        <f t="shared" si="3"/>
        <v>11000000</v>
      </c>
      <c r="L34" s="291">
        <f t="shared" si="4"/>
        <v>1100</v>
      </c>
    </row>
    <row r="35" spans="2:12">
      <c r="B35" s="10" t="s">
        <v>645</v>
      </c>
      <c r="C35" s="287">
        <v>1</v>
      </c>
      <c r="D35" s="288">
        <v>10000000</v>
      </c>
      <c r="E35" s="288">
        <v>1000000</v>
      </c>
      <c r="F35" s="289">
        <f t="shared" si="7"/>
        <v>1000</v>
      </c>
      <c r="G35" s="289">
        <f t="shared" si="7"/>
        <v>100</v>
      </c>
      <c r="H35" s="290">
        <f t="shared" si="1"/>
        <v>11000000</v>
      </c>
      <c r="I35" s="289">
        <f t="shared" si="8"/>
        <v>1100</v>
      </c>
      <c r="J35" s="287">
        <v>1</v>
      </c>
      <c r="K35" s="290">
        <f t="shared" si="3"/>
        <v>11000000</v>
      </c>
      <c r="L35" s="291">
        <f t="shared" si="4"/>
        <v>1100</v>
      </c>
    </row>
    <row r="36" spans="2:12">
      <c r="B36" s="11" t="s">
        <v>634</v>
      </c>
      <c r="C36" s="287">
        <v>1</v>
      </c>
      <c r="D36" s="288">
        <v>10000000</v>
      </c>
      <c r="E36" s="288">
        <v>1000000</v>
      </c>
      <c r="F36" s="289">
        <f t="shared" si="7"/>
        <v>1000</v>
      </c>
      <c r="G36" s="289">
        <f t="shared" si="7"/>
        <v>100</v>
      </c>
      <c r="H36" s="295">
        <f t="shared" si="1"/>
        <v>11000000</v>
      </c>
      <c r="I36" s="289">
        <f t="shared" si="8"/>
        <v>1100</v>
      </c>
      <c r="J36" s="287">
        <v>1</v>
      </c>
      <c r="K36" s="295">
        <f t="shared" si="3"/>
        <v>11000000</v>
      </c>
      <c r="L36" s="296">
        <f t="shared" si="4"/>
        <v>1100</v>
      </c>
    </row>
    <row r="37" spans="2:12">
      <c r="B37" s="19" t="s">
        <v>632</v>
      </c>
      <c r="C37" s="303"/>
      <c r="D37" s="303"/>
      <c r="E37" s="303"/>
      <c r="F37" s="304"/>
      <c r="G37" s="304"/>
      <c r="H37" s="298">
        <f>SUM(H31:H36)</f>
        <v>66000000</v>
      </c>
      <c r="I37" s="299">
        <f>SUM(I31:I36)</f>
        <v>6600</v>
      </c>
      <c r="J37" s="305"/>
      <c r="K37" s="298">
        <f>SUM(K31:K36)</f>
        <v>66000000</v>
      </c>
      <c r="L37" s="300">
        <f>SUM(L31:L36)</f>
        <v>6600</v>
      </c>
    </row>
    <row r="38" spans="2:12">
      <c r="B38" s="10"/>
      <c r="K38" s="301"/>
    </row>
    <row r="39" spans="2:12">
      <c r="B39" s="19" t="s">
        <v>646</v>
      </c>
      <c r="C39" s="303"/>
      <c r="D39" s="303"/>
      <c r="E39" s="303"/>
      <c r="F39" s="304"/>
      <c r="G39" s="304"/>
      <c r="H39" s="304"/>
      <c r="I39" s="304"/>
      <c r="J39" s="303"/>
      <c r="K39" s="298"/>
      <c r="L39" s="17"/>
    </row>
    <row r="40" spans="2:12">
      <c r="B40" s="281" t="s">
        <v>647</v>
      </c>
      <c r="C40" s="282">
        <v>1</v>
      </c>
      <c r="D40" s="283">
        <v>10000000</v>
      </c>
      <c r="E40" s="283">
        <v>1000000</v>
      </c>
      <c r="F40" s="284">
        <f t="shared" ref="F40:G45" si="9">IF(D40=0,0,D40/exchange_rate)</f>
        <v>1000</v>
      </c>
      <c r="G40" s="284">
        <f t="shared" si="9"/>
        <v>100</v>
      </c>
      <c r="H40" s="285">
        <f t="shared" si="1"/>
        <v>11000000</v>
      </c>
      <c r="I40" s="284">
        <f t="shared" ref="I40:I45" si="10">H40/exchange_rate</f>
        <v>1100</v>
      </c>
      <c r="J40" s="282">
        <v>1</v>
      </c>
      <c r="K40" s="285">
        <f t="shared" si="3"/>
        <v>11000000</v>
      </c>
      <c r="L40" s="286">
        <f t="shared" si="4"/>
        <v>1100</v>
      </c>
    </row>
    <row r="41" spans="2:12">
      <c r="B41" s="10" t="s">
        <v>648</v>
      </c>
      <c r="C41" s="287">
        <v>1</v>
      </c>
      <c r="D41" s="288">
        <v>10000000</v>
      </c>
      <c r="E41" s="288">
        <v>1000000</v>
      </c>
      <c r="F41" s="289">
        <f t="shared" si="9"/>
        <v>1000</v>
      </c>
      <c r="G41" s="289">
        <f t="shared" si="9"/>
        <v>100</v>
      </c>
      <c r="H41" s="290">
        <f t="shared" si="1"/>
        <v>11000000</v>
      </c>
      <c r="I41" s="289">
        <f t="shared" si="10"/>
        <v>1100</v>
      </c>
      <c r="J41" s="287">
        <v>1</v>
      </c>
      <c r="K41" s="290">
        <f t="shared" si="3"/>
        <v>11000000</v>
      </c>
      <c r="L41" s="291">
        <f t="shared" si="4"/>
        <v>1100</v>
      </c>
    </row>
    <row r="42" spans="2:12">
      <c r="B42" s="10" t="s">
        <v>645</v>
      </c>
      <c r="C42" s="287">
        <v>1</v>
      </c>
      <c r="D42" s="288">
        <v>10000000</v>
      </c>
      <c r="E42" s="288">
        <v>1000000</v>
      </c>
      <c r="F42" s="289">
        <f t="shared" si="9"/>
        <v>1000</v>
      </c>
      <c r="G42" s="289">
        <f t="shared" si="9"/>
        <v>100</v>
      </c>
      <c r="H42" s="290">
        <f t="shared" si="1"/>
        <v>11000000</v>
      </c>
      <c r="I42" s="289">
        <f t="shared" si="10"/>
        <v>1100</v>
      </c>
      <c r="J42" s="287">
        <v>1</v>
      </c>
      <c r="K42" s="290">
        <f t="shared" si="3"/>
        <v>11000000</v>
      </c>
      <c r="L42" s="291">
        <f t="shared" si="4"/>
        <v>1100</v>
      </c>
    </row>
    <row r="43" spans="2:12">
      <c r="B43" s="10" t="s">
        <v>649</v>
      </c>
      <c r="C43" s="287">
        <v>1</v>
      </c>
      <c r="D43" s="288">
        <v>10000000</v>
      </c>
      <c r="E43" s="288">
        <v>1000000</v>
      </c>
      <c r="F43" s="289">
        <f t="shared" si="9"/>
        <v>1000</v>
      </c>
      <c r="G43" s="289">
        <f t="shared" si="9"/>
        <v>100</v>
      </c>
      <c r="H43" s="290">
        <f t="shared" si="1"/>
        <v>11000000</v>
      </c>
      <c r="I43" s="289">
        <f t="shared" si="10"/>
        <v>1100</v>
      </c>
      <c r="J43" s="287">
        <v>1</v>
      </c>
      <c r="K43" s="290">
        <f t="shared" si="3"/>
        <v>11000000</v>
      </c>
      <c r="L43" s="291">
        <f t="shared" si="4"/>
        <v>1100</v>
      </c>
    </row>
    <row r="44" spans="2:12">
      <c r="B44" s="10" t="s">
        <v>650</v>
      </c>
      <c r="C44" s="287">
        <v>1</v>
      </c>
      <c r="D44" s="288">
        <v>10000000</v>
      </c>
      <c r="E44" s="288">
        <v>1000000</v>
      </c>
      <c r="F44" s="289">
        <f t="shared" si="9"/>
        <v>1000</v>
      </c>
      <c r="G44" s="289">
        <f t="shared" si="9"/>
        <v>100</v>
      </c>
      <c r="H44" s="290">
        <f t="shared" si="1"/>
        <v>11000000</v>
      </c>
      <c r="I44" s="289">
        <f t="shared" si="10"/>
        <v>1100</v>
      </c>
      <c r="J44" s="287">
        <v>1</v>
      </c>
      <c r="K44" s="290">
        <f t="shared" si="3"/>
        <v>11000000</v>
      </c>
      <c r="L44" s="291">
        <f t="shared" si="4"/>
        <v>1100</v>
      </c>
    </row>
    <row r="45" spans="2:12">
      <c r="B45" s="11" t="s">
        <v>651</v>
      </c>
      <c r="C45" s="287">
        <v>1</v>
      </c>
      <c r="D45" s="288">
        <v>10000000</v>
      </c>
      <c r="E45" s="288">
        <v>1000000</v>
      </c>
      <c r="F45" s="289">
        <f t="shared" si="9"/>
        <v>1000</v>
      </c>
      <c r="G45" s="289">
        <f t="shared" si="9"/>
        <v>100</v>
      </c>
      <c r="H45" s="295">
        <f t="shared" si="1"/>
        <v>11000000</v>
      </c>
      <c r="I45" s="289">
        <f t="shared" si="10"/>
        <v>1100</v>
      </c>
      <c r="J45" s="287">
        <v>1</v>
      </c>
      <c r="K45" s="295">
        <f t="shared" si="3"/>
        <v>11000000</v>
      </c>
      <c r="L45" s="296">
        <f t="shared" si="4"/>
        <v>1100</v>
      </c>
    </row>
    <row r="46" spans="2:12">
      <c r="B46" s="19" t="s">
        <v>632</v>
      </c>
      <c r="C46" s="303"/>
      <c r="D46" s="298"/>
      <c r="E46" s="298"/>
      <c r="F46" s="297"/>
      <c r="G46" s="297"/>
      <c r="H46" s="298">
        <f>SUM(H40:H45)</f>
        <v>66000000</v>
      </c>
      <c r="I46" s="299">
        <f>SUM(I40:I45)</f>
        <v>6600</v>
      </c>
      <c r="J46" s="305"/>
      <c r="K46" s="298">
        <f>SUM(K40:K45)</f>
        <v>66000000</v>
      </c>
      <c r="L46" s="300">
        <f>SUM(L40:L45)</f>
        <v>6600</v>
      </c>
    </row>
    <row r="47" spans="2:12">
      <c r="B47" s="10"/>
      <c r="D47" s="301"/>
      <c r="E47" s="301"/>
      <c r="F47" s="58"/>
      <c r="G47" s="58"/>
      <c r="H47" s="301"/>
      <c r="I47" s="58"/>
      <c r="J47" s="58"/>
      <c r="K47" s="301"/>
      <c r="L47" s="58"/>
    </row>
    <row r="48" spans="2:12">
      <c r="B48" s="19" t="s">
        <v>652</v>
      </c>
      <c r="C48" s="304"/>
      <c r="D48" s="298"/>
      <c r="E48" s="298"/>
      <c r="F48" s="297"/>
      <c r="G48" s="297"/>
      <c r="H48" s="298"/>
      <c r="I48" s="297"/>
      <c r="J48" s="297"/>
      <c r="K48" s="298"/>
      <c r="L48" s="306"/>
    </row>
    <row r="49" spans="2:12">
      <c r="B49" s="281" t="s">
        <v>653</v>
      </c>
      <c r="C49" s="282">
        <v>1</v>
      </c>
      <c r="D49" s="283">
        <v>10000000</v>
      </c>
      <c r="E49" s="283">
        <v>1000000</v>
      </c>
      <c r="F49" s="284">
        <f t="shared" ref="F49:G53" si="11">IF(D49=0,0,D49/exchange_rate)</f>
        <v>1000</v>
      </c>
      <c r="G49" s="284">
        <f t="shared" si="11"/>
        <v>100</v>
      </c>
      <c r="H49" s="285">
        <f t="shared" si="1"/>
        <v>11000000</v>
      </c>
      <c r="I49" s="284">
        <f>H49/exchange_rate</f>
        <v>1100</v>
      </c>
      <c r="J49" s="282">
        <v>1</v>
      </c>
      <c r="K49" s="285">
        <f t="shared" si="3"/>
        <v>11000000</v>
      </c>
      <c r="L49" s="286">
        <f t="shared" si="4"/>
        <v>1100</v>
      </c>
    </row>
    <row r="50" spans="2:12">
      <c r="B50" s="10" t="s">
        <v>654</v>
      </c>
      <c r="C50" s="287">
        <v>1</v>
      </c>
      <c r="D50" s="288">
        <v>10000000</v>
      </c>
      <c r="E50" s="288">
        <v>1000000</v>
      </c>
      <c r="F50" s="289">
        <f t="shared" si="11"/>
        <v>1000</v>
      </c>
      <c r="G50" s="289">
        <f t="shared" si="11"/>
        <v>100</v>
      </c>
      <c r="H50" s="290">
        <f t="shared" si="1"/>
        <v>11000000</v>
      </c>
      <c r="I50" s="289">
        <f>H50/exchange_rate</f>
        <v>1100</v>
      </c>
      <c r="J50" s="287">
        <v>1</v>
      </c>
      <c r="K50" s="290">
        <f t="shared" si="3"/>
        <v>11000000</v>
      </c>
      <c r="L50" s="291">
        <f t="shared" si="4"/>
        <v>1100</v>
      </c>
    </row>
    <row r="51" spans="2:12">
      <c r="B51" s="10" t="s">
        <v>655</v>
      </c>
      <c r="C51" s="287">
        <v>1</v>
      </c>
      <c r="D51" s="288">
        <v>10000000</v>
      </c>
      <c r="E51" s="288">
        <v>1000000</v>
      </c>
      <c r="F51" s="289">
        <f t="shared" si="11"/>
        <v>1000</v>
      </c>
      <c r="G51" s="289">
        <f t="shared" si="11"/>
        <v>100</v>
      </c>
      <c r="H51" s="290">
        <f t="shared" si="1"/>
        <v>11000000</v>
      </c>
      <c r="I51" s="289">
        <f>H51/exchange_rate</f>
        <v>1100</v>
      </c>
      <c r="J51" s="287">
        <v>1</v>
      </c>
      <c r="K51" s="290">
        <f t="shared" si="3"/>
        <v>11000000</v>
      </c>
      <c r="L51" s="291">
        <f t="shared" si="4"/>
        <v>1100</v>
      </c>
    </row>
    <row r="52" spans="2:12">
      <c r="B52" s="10" t="s">
        <v>656</v>
      </c>
      <c r="C52" s="287">
        <v>1</v>
      </c>
      <c r="D52" s="288">
        <v>10000000</v>
      </c>
      <c r="E52" s="288">
        <v>1000000</v>
      </c>
      <c r="F52" s="289">
        <f t="shared" si="11"/>
        <v>1000</v>
      </c>
      <c r="G52" s="289">
        <f t="shared" si="11"/>
        <v>100</v>
      </c>
      <c r="H52" s="290">
        <f t="shared" si="1"/>
        <v>11000000</v>
      </c>
      <c r="I52" s="289">
        <f>H52/exchange_rate</f>
        <v>1100</v>
      </c>
      <c r="J52" s="287">
        <v>1</v>
      </c>
      <c r="K52" s="290">
        <f t="shared" si="3"/>
        <v>11000000</v>
      </c>
      <c r="L52" s="291">
        <f t="shared" si="4"/>
        <v>1100</v>
      </c>
    </row>
    <row r="53" spans="2:12">
      <c r="B53" s="11" t="s">
        <v>657</v>
      </c>
      <c r="C53" s="287">
        <v>1</v>
      </c>
      <c r="D53" s="288">
        <v>10000000</v>
      </c>
      <c r="E53" s="288">
        <v>1000000</v>
      </c>
      <c r="F53" s="289">
        <f t="shared" si="11"/>
        <v>1000</v>
      </c>
      <c r="G53" s="289">
        <f t="shared" si="11"/>
        <v>100</v>
      </c>
      <c r="H53" s="295">
        <f t="shared" si="1"/>
        <v>11000000</v>
      </c>
      <c r="I53" s="289">
        <f>H53/exchange_rate</f>
        <v>1100</v>
      </c>
      <c r="J53" s="287">
        <v>1</v>
      </c>
      <c r="K53" s="295">
        <f t="shared" si="3"/>
        <v>11000000</v>
      </c>
      <c r="L53" s="296">
        <f t="shared" si="4"/>
        <v>1100</v>
      </c>
    </row>
    <row r="54" spans="2:12">
      <c r="B54" s="19" t="s">
        <v>632</v>
      </c>
      <c r="C54" s="303"/>
      <c r="D54" s="303"/>
      <c r="E54" s="303"/>
      <c r="F54" s="304"/>
      <c r="G54" s="304"/>
      <c r="H54" s="298">
        <f>SUM(H49:H53)</f>
        <v>55000000</v>
      </c>
      <c r="I54" s="299">
        <f>SUM(I49:I53)</f>
        <v>5500</v>
      </c>
      <c r="J54" s="305"/>
      <c r="K54" s="298">
        <f>SUM(K49:K53)</f>
        <v>55000000</v>
      </c>
      <c r="L54" s="300">
        <f>SUM(L49:L53)</f>
        <v>5500</v>
      </c>
    </row>
    <row r="55" spans="2:12">
      <c r="B55" s="10"/>
      <c r="H55" s="301"/>
      <c r="I55" s="58"/>
      <c r="J55" s="58"/>
      <c r="K55" s="301"/>
    </row>
    <row r="56" spans="2:12">
      <c r="B56" s="19" t="s">
        <v>501</v>
      </c>
      <c r="C56" s="303"/>
      <c r="D56" s="303"/>
      <c r="E56" s="303"/>
      <c r="F56" s="304"/>
      <c r="G56" s="304"/>
      <c r="H56" s="307">
        <f>H18+H28+H37+H46+H54</f>
        <v>407000000</v>
      </c>
      <c r="I56" s="308">
        <f>I18+I28+I37+I46+I54</f>
        <v>40700</v>
      </c>
      <c r="J56" s="303"/>
      <c r="K56" s="307">
        <f>K18+K28+K37+K46+K54</f>
        <v>407000000</v>
      </c>
      <c r="L56" s="309">
        <f>L18+L28+L37+L46+L54</f>
        <v>40700</v>
      </c>
    </row>
    <row r="57" spans="2:12">
      <c r="B57" s="4"/>
    </row>
    <row r="59" spans="2:12">
      <c r="B59" t="s">
        <v>25</v>
      </c>
    </row>
    <row r="60" spans="2:12">
      <c r="B60" t="s">
        <v>810</v>
      </c>
    </row>
    <row r="61" spans="2:12">
      <c r="B61" t="s">
        <v>811</v>
      </c>
    </row>
    <row r="62" spans="2:12">
      <c r="B62" t="s">
        <v>812</v>
      </c>
    </row>
    <row r="63" spans="2:12">
      <c r="B63" t="s">
        <v>813</v>
      </c>
    </row>
    <row r="64" spans="2:12">
      <c r="B64" t="s">
        <v>820</v>
      </c>
    </row>
    <row r="65" spans="2:2">
      <c r="B65" t="s">
        <v>823</v>
      </c>
    </row>
  </sheetData>
  <hyperlinks>
    <hyperlink ref="B2" location="Menu!A1" display="Personnel" xr:uid="{044DCBB1-0E36-8440-87F3-AED9F56D736F}"/>
    <hyperlink ref="A1" location="'Country details'!A1" display="&lt; Back" xr:uid="{7079B6C0-DD0A-8247-94F6-29F6CFA627A4}"/>
  </hyperlinks>
  <pageMargins left="0.7" right="0.7" top="0.75" bottom="0.75" header="0.3" footer="0.3"/>
  <ignoredErrors>
    <ignoredError sqref="H5:H43 H44:H53" emptyCellReferenc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6B7D1-A8E9-8A49-8F3F-9FD864AABE17}">
  <dimension ref="B2:K35"/>
  <sheetViews>
    <sheetView showGridLines="0" workbookViewId="0">
      <pane ySplit="3" topLeftCell="A4" activePane="bottomLeft" state="frozen"/>
      <selection pane="bottomLeft" activeCell="H40" sqref="H40"/>
    </sheetView>
  </sheetViews>
  <sheetFormatPr baseColWidth="10" defaultColWidth="8.83203125" defaultRowHeight="14"/>
  <cols>
    <col min="2" max="2" width="21" customWidth="1"/>
    <col min="4" max="4" width="21.1640625" customWidth="1"/>
    <col min="5" max="5" width="13.83203125" customWidth="1"/>
    <col min="6" max="6" width="9.6640625" customWidth="1"/>
    <col min="7" max="7" width="14.1640625" customWidth="1"/>
    <col min="8" max="8" width="20.5" bestFit="1" customWidth="1"/>
    <col min="9" max="9" width="16.33203125" customWidth="1"/>
    <col min="11" max="11" width="63.1640625" customWidth="1"/>
  </cols>
  <sheetData>
    <row r="2" spans="2:11" ht="19">
      <c r="B2" s="411" t="s">
        <v>612</v>
      </c>
    </row>
    <row r="3" spans="2:11" ht="30">
      <c r="B3" s="278" t="s">
        <v>658</v>
      </c>
      <c r="C3" s="310" t="s">
        <v>659</v>
      </c>
      <c r="D3" s="279" t="s">
        <v>660</v>
      </c>
      <c r="E3" s="279" t="s">
        <v>661</v>
      </c>
      <c r="F3" s="279" t="s">
        <v>816</v>
      </c>
      <c r="G3" s="279" t="s">
        <v>662</v>
      </c>
      <c r="H3" s="279" t="s">
        <v>663</v>
      </c>
      <c r="I3" s="280" t="s">
        <v>664</v>
      </c>
      <c r="K3" s="104" t="s">
        <v>25</v>
      </c>
    </row>
    <row r="4" spans="2:11">
      <c r="B4" s="8" t="s">
        <v>665</v>
      </c>
      <c r="C4" s="4"/>
      <c r="D4" s="104"/>
      <c r="E4" s="104"/>
      <c r="F4" s="4"/>
      <c r="G4" s="104"/>
      <c r="H4" s="104"/>
      <c r="I4" s="311"/>
    </row>
    <row r="5" spans="2:11">
      <c r="B5" s="312" t="s">
        <v>666</v>
      </c>
      <c r="C5" s="281">
        <v>1</v>
      </c>
      <c r="D5" s="283">
        <v>1000000000</v>
      </c>
      <c r="E5" s="284">
        <f>IF(D5=0,0,D5/exchange_rate)</f>
        <v>100000</v>
      </c>
      <c r="F5" s="282">
        <v>1</v>
      </c>
      <c r="G5" s="282">
        <v>1</v>
      </c>
      <c r="H5" s="285">
        <f t="shared" ref="H5:H27" si="0">IF(C5=0,0,C5*D5*F5/G5)</f>
        <v>1000000000</v>
      </c>
      <c r="I5" s="286">
        <f>IF(C5=0,0,C5*E5*F5/G5)</f>
        <v>100000</v>
      </c>
      <c r="K5" t="s">
        <v>814</v>
      </c>
    </row>
    <row r="6" spans="2:11">
      <c r="B6" s="15" t="s">
        <v>667</v>
      </c>
      <c r="C6" s="10">
        <v>1</v>
      </c>
      <c r="D6" s="288">
        <v>50000000</v>
      </c>
      <c r="E6" s="289">
        <f>IF(D6=0,0,D6/exchange_rate)</f>
        <v>5000</v>
      </c>
      <c r="F6" s="287">
        <v>1</v>
      </c>
      <c r="G6" s="287">
        <v>1</v>
      </c>
      <c r="H6" s="290">
        <f t="shared" si="0"/>
        <v>50000000</v>
      </c>
      <c r="I6" s="291">
        <f t="shared" ref="I6:I32" si="1">IF(C6=0,0,C6*E6*F6/G6)</f>
        <v>5000</v>
      </c>
      <c r="K6" t="s">
        <v>817</v>
      </c>
    </row>
    <row r="7" spans="2:11">
      <c r="B7" s="16" t="s">
        <v>668</v>
      </c>
      <c r="C7" s="11">
        <v>1</v>
      </c>
      <c r="D7" s="293">
        <v>5000000</v>
      </c>
      <c r="E7" s="289">
        <f>IF(D7=0,0,D7/exchange_rate)</f>
        <v>500</v>
      </c>
      <c r="F7" s="292">
        <v>1</v>
      </c>
      <c r="G7" s="292">
        <v>1</v>
      </c>
      <c r="H7" s="295">
        <f t="shared" si="0"/>
        <v>5000000</v>
      </c>
      <c r="I7" s="296">
        <f t="shared" si="1"/>
        <v>500</v>
      </c>
      <c r="K7" t="s">
        <v>822</v>
      </c>
    </row>
    <row r="8" spans="2:11">
      <c r="B8" s="19" t="s">
        <v>669</v>
      </c>
      <c r="C8" s="303"/>
      <c r="D8" s="313"/>
      <c r="E8" s="314"/>
      <c r="F8" s="305"/>
      <c r="G8" s="305"/>
      <c r="H8" s="315">
        <f>SUM(H5:H7)</f>
        <v>1055000000</v>
      </c>
      <c r="I8" s="309">
        <f>SUM(I5:I7)</f>
        <v>105500</v>
      </c>
      <c r="K8" t="s">
        <v>824</v>
      </c>
    </row>
    <row r="9" spans="2:11">
      <c r="B9" s="10"/>
      <c r="H9" s="316"/>
      <c r="K9" t="s">
        <v>825</v>
      </c>
    </row>
    <row r="10" spans="2:11">
      <c r="B10" s="19" t="s">
        <v>670</v>
      </c>
      <c r="C10" s="27"/>
      <c r="D10" s="304"/>
      <c r="E10" s="304"/>
      <c r="F10" s="304"/>
      <c r="G10" s="304"/>
      <c r="H10" s="317"/>
      <c r="I10" s="17"/>
    </row>
    <row r="11" spans="2:11">
      <c r="B11" s="15" t="s">
        <v>671</v>
      </c>
      <c r="C11">
        <v>1</v>
      </c>
      <c r="D11" s="288">
        <v>50000000</v>
      </c>
      <c r="E11" s="284">
        <f>IF(D11=0,0,D11/exchange_rate)</f>
        <v>5000</v>
      </c>
      <c r="F11" s="287">
        <v>1</v>
      </c>
      <c r="G11" s="287">
        <v>1</v>
      </c>
      <c r="H11" s="290">
        <f t="shared" si="0"/>
        <v>50000000</v>
      </c>
      <c r="I11" s="291">
        <f t="shared" si="1"/>
        <v>5000</v>
      </c>
    </row>
    <row r="12" spans="2:11">
      <c r="B12" s="15" t="s">
        <v>672</v>
      </c>
      <c r="C12">
        <v>1</v>
      </c>
      <c r="D12" s="288">
        <v>50000000</v>
      </c>
      <c r="E12" s="289">
        <f>IF(D12=0,0,D12/exchange_rate)</f>
        <v>5000</v>
      </c>
      <c r="F12" s="287">
        <v>1</v>
      </c>
      <c r="G12" s="287">
        <v>1</v>
      </c>
      <c r="H12" s="290">
        <f t="shared" si="0"/>
        <v>50000000</v>
      </c>
      <c r="I12" s="291">
        <f t="shared" si="1"/>
        <v>5000</v>
      </c>
    </row>
    <row r="13" spans="2:11">
      <c r="B13" s="16" t="s">
        <v>673</v>
      </c>
      <c r="C13" s="165">
        <v>1</v>
      </c>
      <c r="D13" s="293">
        <v>3000000</v>
      </c>
      <c r="E13" s="289">
        <f>IF(D13=0,0,D13/exchange_rate)</f>
        <v>300</v>
      </c>
      <c r="F13" s="292">
        <v>1</v>
      </c>
      <c r="G13" s="292">
        <v>1</v>
      </c>
      <c r="H13" s="295">
        <f t="shared" si="0"/>
        <v>3000000</v>
      </c>
      <c r="I13" s="296">
        <f t="shared" si="1"/>
        <v>300</v>
      </c>
    </row>
    <row r="14" spans="2:11">
      <c r="B14" s="19" t="s">
        <v>669</v>
      </c>
      <c r="C14" s="303"/>
      <c r="D14" s="318"/>
      <c r="E14" s="319"/>
      <c r="F14" s="303"/>
      <c r="G14" s="303"/>
      <c r="H14" s="315">
        <f>SUM(H11:H13)</f>
        <v>103000000</v>
      </c>
      <c r="I14" s="309">
        <f>SUM(I11:I13)</f>
        <v>10300</v>
      </c>
    </row>
    <row r="15" spans="2:11">
      <c r="B15" s="10"/>
      <c r="H15" s="316"/>
    </row>
    <row r="16" spans="2:11">
      <c r="B16" s="19" t="s">
        <v>674</v>
      </c>
      <c r="C16" s="304"/>
      <c r="D16" s="304"/>
      <c r="E16" s="304"/>
      <c r="F16" s="304"/>
      <c r="G16" s="304"/>
      <c r="H16" s="317"/>
      <c r="I16" s="17"/>
    </row>
    <row r="17" spans="2:11">
      <c r="B17" s="15" t="s">
        <v>675</v>
      </c>
      <c r="C17" s="281">
        <v>1</v>
      </c>
      <c r="D17" s="283">
        <v>20000000</v>
      </c>
      <c r="E17" s="284">
        <f>IF(D17=0,0,D17/exchange_rate)</f>
        <v>2000</v>
      </c>
      <c r="F17" s="282">
        <v>1</v>
      </c>
      <c r="G17" s="282">
        <v>1</v>
      </c>
      <c r="H17" s="285">
        <f t="shared" si="0"/>
        <v>20000000</v>
      </c>
      <c r="I17" s="286">
        <f t="shared" si="1"/>
        <v>2000</v>
      </c>
      <c r="K17" t="s">
        <v>815</v>
      </c>
    </row>
    <row r="18" spans="2:11">
      <c r="B18" s="15" t="s">
        <v>676</v>
      </c>
      <c r="C18" s="10">
        <v>1</v>
      </c>
      <c r="D18" s="288">
        <v>5000000</v>
      </c>
      <c r="E18" s="289">
        <f>IF(D18=0,0,D18/exchange_rate)</f>
        <v>500</v>
      </c>
      <c r="F18" s="287">
        <v>1</v>
      </c>
      <c r="G18" s="287">
        <v>1</v>
      </c>
      <c r="H18" s="290">
        <f t="shared" si="0"/>
        <v>5000000</v>
      </c>
      <c r="I18" s="291">
        <f t="shared" si="1"/>
        <v>500</v>
      </c>
    </row>
    <row r="19" spans="2:11">
      <c r="B19" s="15" t="s">
        <v>677</v>
      </c>
      <c r="C19" s="10">
        <v>1</v>
      </c>
      <c r="D19" s="288">
        <v>30000000</v>
      </c>
      <c r="E19" s="289">
        <f>IF(D19=0,0,D19/exchange_rate)</f>
        <v>3000</v>
      </c>
      <c r="F19" s="287">
        <v>1</v>
      </c>
      <c r="G19" s="287">
        <v>1</v>
      </c>
      <c r="H19" s="290">
        <f t="shared" si="0"/>
        <v>30000000</v>
      </c>
      <c r="I19" s="291">
        <f t="shared" si="1"/>
        <v>3000</v>
      </c>
    </row>
    <row r="20" spans="2:11">
      <c r="B20" s="16" t="s">
        <v>678</v>
      </c>
      <c r="C20" s="11">
        <v>1</v>
      </c>
      <c r="D20" s="293">
        <v>50000000</v>
      </c>
      <c r="E20" s="289">
        <f>IF(D20=0,0,D20/exchange_rate)</f>
        <v>5000</v>
      </c>
      <c r="F20" s="292">
        <v>1</v>
      </c>
      <c r="G20" s="292">
        <v>1</v>
      </c>
      <c r="H20" s="295">
        <f t="shared" si="0"/>
        <v>50000000</v>
      </c>
      <c r="I20" s="296">
        <f t="shared" si="1"/>
        <v>5000</v>
      </c>
    </row>
    <row r="21" spans="2:11">
      <c r="B21" s="19" t="s">
        <v>669</v>
      </c>
      <c r="C21" s="303"/>
      <c r="D21" s="318"/>
      <c r="E21" s="319"/>
      <c r="F21" s="303"/>
      <c r="G21" s="303"/>
      <c r="H21" s="315">
        <f>SUM(H17:H20)</f>
        <v>105000000</v>
      </c>
      <c r="I21" s="309">
        <f>SUM(I17:I20)</f>
        <v>10500</v>
      </c>
    </row>
    <row r="22" spans="2:11">
      <c r="B22" s="10"/>
      <c r="H22" s="316"/>
    </row>
    <row r="23" spans="2:11">
      <c r="B23" s="19" t="s">
        <v>679</v>
      </c>
      <c r="C23" s="304"/>
      <c r="D23" s="304"/>
      <c r="E23" s="304"/>
      <c r="F23" s="304"/>
      <c r="G23" s="304"/>
      <c r="H23" s="317"/>
      <c r="I23" s="17"/>
    </row>
    <row r="24" spans="2:11">
      <c r="B24" s="15" t="s">
        <v>680</v>
      </c>
      <c r="C24" s="281">
        <v>1</v>
      </c>
      <c r="D24" s="283">
        <v>5000000</v>
      </c>
      <c r="E24" s="284">
        <f>IF(D24=0,0,D24/exchange_rate)</f>
        <v>500</v>
      </c>
      <c r="F24" s="282">
        <v>1</v>
      </c>
      <c r="G24" s="282">
        <v>1</v>
      </c>
      <c r="H24" s="285">
        <f t="shared" si="0"/>
        <v>5000000</v>
      </c>
      <c r="I24" s="286">
        <f t="shared" si="1"/>
        <v>500</v>
      </c>
    </row>
    <row r="25" spans="2:11">
      <c r="B25" s="15" t="s">
        <v>681</v>
      </c>
      <c r="C25" s="10">
        <v>1</v>
      </c>
      <c r="D25" s="288">
        <v>5000000</v>
      </c>
      <c r="E25" s="289">
        <f>IF(D25=0,0,D25/exchange_rate)</f>
        <v>500</v>
      </c>
      <c r="F25" s="287">
        <v>1</v>
      </c>
      <c r="G25" s="287">
        <v>1</v>
      </c>
      <c r="H25" s="290">
        <f t="shared" si="0"/>
        <v>5000000</v>
      </c>
      <c r="I25" s="291">
        <f t="shared" si="1"/>
        <v>500</v>
      </c>
    </row>
    <row r="26" spans="2:11">
      <c r="B26" s="15" t="s">
        <v>682</v>
      </c>
      <c r="C26" s="10">
        <v>1</v>
      </c>
      <c r="D26" s="288">
        <v>50000000</v>
      </c>
      <c r="E26" s="289">
        <f>IF(D26=0,0,D26/exchange_rate)</f>
        <v>5000</v>
      </c>
      <c r="F26" s="287">
        <v>1</v>
      </c>
      <c r="G26" s="287">
        <v>1</v>
      </c>
      <c r="H26" s="290">
        <f t="shared" si="0"/>
        <v>50000000</v>
      </c>
      <c r="I26" s="291">
        <f t="shared" si="1"/>
        <v>5000</v>
      </c>
    </row>
    <row r="27" spans="2:11">
      <c r="B27" s="16" t="s">
        <v>683</v>
      </c>
      <c r="C27" s="11">
        <v>1</v>
      </c>
      <c r="D27" s="293">
        <v>50000000</v>
      </c>
      <c r="E27" s="289">
        <f>IF(D27=0,0,D27/exchange_rate)</f>
        <v>5000</v>
      </c>
      <c r="F27" s="292">
        <v>1</v>
      </c>
      <c r="G27" s="292">
        <v>1</v>
      </c>
      <c r="H27" s="295">
        <f t="shared" si="0"/>
        <v>50000000</v>
      </c>
      <c r="I27" s="296">
        <f t="shared" si="1"/>
        <v>5000</v>
      </c>
    </row>
    <row r="28" spans="2:11">
      <c r="B28" s="19" t="s">
        <v>669</v>
      </c>
      <c r="C28" s="303"/>
      <c r="D28" s="318"/>
      <c r="E28" s="319"/>
      <c r="F28" s="303"/>
      <c r="G28" s="303"/>
      <c r="H28" s="315">
        <f>SUM(H24:H27)</f>
        <v>110000000</v>
      </c>
      <c r="I28" s="309">
        <f>SUM(I24:I27)</f>
        <v>11000</v>
      </c>
    </row>
    <row r="29" spans="2:11">
      <c r="B29" s="10"/>
      <c r="H29" s="320"/>
    </row>
    <row r="30" spans="2:11">
      <c r="B30" s="19" t="s">
        <v>26</v>
      </c>
      <c r="C30" s="163"/>
      <c r="D30" s="163"/>
      <c r="E30" s="163"/>
      <c r="F30" s="163"/>
      <c r="G30" s="163"/>
      <c r="H30" s="320"/>
      <c r="I30" s="272"/>
    </row>
    <row r="31" spans="2:11">
      <c r="B31" s="321" t="s">
        <v>684</v>
      </c>
      <c r="C31" s="163">
        <v>1</v>
      </c>
      <c r="D31" s="322">
        <v>50000000</v>
      </c>
      <c r="E31" s="284">
        <f>IF(D31=0,0,D31/exchange_rate)</f>
        <v>5000</v>
      </c>
      <c r="F31" s="324">
        <v>1</v>
      </c>
      <c r="G31" s="324">
        <v>1</v>
      </c>
      <c r="H31" s="290">
        <f>IF(C31=0,0,C31*D31*F31/G31)</f>
        <v>50000000</v>
      </c>
      <c r="I31" s="325">
        <f t="shared" si="1"/>
        <v>5000</v>
      </c>
    </row>
    <row r="32" spans="2:11">
      <c r="B32" s="2" t="s">
        <v>685</v>
      </c>
      <c r="C32" s="27">
        <v>1</v>
      </c>
      <c r="D32" s="322">
        <v>100000000</v>
      </c>
      <c r="E32" s="284">
        <f>IF(D32=0,0,D32/exchange_rate)</f>
        <v>10000</v>
      </c>
      <c r="F32" s="324">
        <v>1</v>
      </c>
      <c r="G32" s="324">
        <v>1</v>
      </c>
      <c r="H32" s="290">
        <f>IF(C32=0,0,C32*D32*F32/G32)</f>
        <v>100000000</v>
      </c>
      <c r="I32" s="325">
        <f t="shared" si="1"/>
        <v>10000</v>
      </c>
    </row>
    <row r="33" spans="2:11">
      <c r="B33" s="19" t="s">
        <v>669</v>
      </c>
      <c r="C33" s="304"/>
      <c r="D33" s="317"/>
      <c r="E33" s="326"/>
      <c r="F33" s="304"/>
      <c r="G33" s="304"/>
      <c r="H33" s="307">
        <f>SUM(H31:H32)</f>
        <v>150000000</v>
      </c>
      <c r="I33" s="325">
        <f>SUM(I31:I32)</f>
        <v>15000</v>
      </c>
      <c r="K33" t="s">
        <v>821</v>
      </c>
    </row>
    <row r="34" spans="2:11">
      <c r="B34" s="10"/>
      <c r="I34" s="9"/>
    </row>
    <row r="35" spans="2:11">
      <c r="B35" s="19" t="s">
        <v>501</v>
      </c>
      <c r="C35" s="303"/>
      <c r="D35" s="303"/>
      <c r="E35" s="303"/>
      <c r="F35" s="303"/>
      <c r="G35" s="303"/>
      <c r="H35" s="315">
        <f>H8+H14+H21+H28+H33</f>
        <v>1523000000</v>
      </c>
      <c r="I35" s="327">
        <f>I8+I14+I21+I28+I33</f>
        <v>152300</v>
      </c>
    </row>
  </sheetData>
  <hyperlinks>
    <hyperlink ref="B2" location="Menu!A1" display="Capital Costs" xr:uid="{BD4AC7FC-B7EA-D44E-9237-556E639C483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9AD05-5EFB-454F-BB72-51049E3EEBC1}">
  <dimension ref="B2:K44"/>
  <sheetViews>
    <sheetView showGridLines="0" workbookViewId="0">
      <pane ySplit="3" topLeftCell="A4" activePane="bottomLeft" state="frozen"/>
      <selection pane="bottomLeft" activeCell="N24" sqref="N24"/>
    </sheetView>
  </sheetViews>
  <sheetFormatPr baseColWidth="10" defaultColWidth="8.83203125" defaultRowHeight="14"/>
  <cols>
    <col min="2" max="2" width="23.5" customWidth="1"/>
    <col min="4" max="4" width="12.5" customWidth="1"/>
    <col min="5" max="5" width="22.6640625" customWidth="1"/>
    <col min="6" max="6" width="10.5" customWidth="1"/>
    <col min="8" max="8" width="27.1640625" customWidth="1"/>
    <col min="9" max="9" width="18.5" customWidth="1"/>
  </cols>
  <sheetData>
    <row r="2" spans="2:11" ht="19">
      <c r="B2" s="411" t="s">
        <v>612</v>
      </c>
    </row>
    <row r="3" spans="2:11" ht="30">
      <c r="B3" s="328" t="s">
        <v>686</v>
      </c>
      <c r="C3" s="329" t="s">
        <v>687</v>
      </c>
      <c r="D3" s="330" t="s">
        <v>688</v>
      </c>
      <c r="E3" s="330" t="s">
        <v>689</v>
      </c>
      <c r="F3" s="330" t="s">
        <v>690</v>
      </c>
      <c r="G3" s="330" t="s">
        <v>691</v>
      </c>
      <c r="H3" s="330" t="s">
        <v>692</v>
      </c>
      <c r="I3" s="331" t="s">
        <v>664</v>
      </c>
      <c r="K3" s="21" t="s">
        <v>3</v>
      </c>
    </row>
    <row r="4" spans="2:11">
      <c r="B4" s="312" t="s">
        <v>693</v>
      </c>
      <c r="C4" s="163" t="s">
        <v>694</v>
      </c>
      <c r="D4" s="465">
        <f t="shared" ref="D4:D11" si="0">Target_Population</f>
        <v>2855268.6</v>
      </c>
      <c r="E4" s="333">
        <v>1000</v>
      </c>
      <c r="F4" s="334">
        <f>E4/'[1]Country details'!$C$6</f>
        <v>0.1</v>
      </c>
      <c r="G4" s="332">
        <v>0.1</v>
      </c>
      <c r="H4" s="335">
        <f>D4*E4*(1+G4)</f>
        <v>3140795460.0000005</v>
      </c>
      <c r="I4" s="336">
        <f>D4*F4*(1+G4)</f>
        <v>314079.54600000009</v>
      </c>
      <c r="K4" t="s">
        <v>695</v>
      </c>
    </row>
    <row r="5" spans="2:11">
      <c r="B5" s="15" t="s">
        <v>696</v>
      </c>
      <c r="C5" t="s">
        <v>697</v>
      </c>
      <c r="D5" s="466">
        <f t="shared" si="0"/>
        <v>2855268.6</v>
      </c>
      <c r="E5" s="338">
        <v>1000</v>
      </c>
      <c r="F5" s="339">
        <f>E5/'[1]Country details'!$C$6</f>
        <v>0.1</v>
      </c>
      <c r="G5" s="337">
        <v>0.1</v>
      </c>
      <c r="H5" s="340">
        <f t="shared" ref="H5:H23" si="1">D5*E5*(1+G5)</f>
        <v>3140795460.0000005</v>
      </c>
      <c r="I5" s="341">
        <f t="shared" ref="I5:I11" si="2">D5*F5*(1+G5)</f>
        <v>314079.54600000009</v>
      </c>
      <c r="K5" t="s">
        <v>841</v>
      </c>
    </row>
    <row r="6" spans="2:11">
      <c r="B6" s="15" t="s">
        <v>696</v>
      </c>
      <c r="C6" t="s">
        <v>694</v>
      </c>
      <c r="D6" s="466">
        <f t="shared" si="0"/>
        <v>2855268.6</v>
      </c>
      <c r="E6" s="338">
        <v>1000</v>
      </c>
      <c r="F6" s="339">
        <f>E6/'[1]Country details'!$C$6</f>
        <v>0.1</v>
      </c>
      <c r="G6" s="337">
        <v>0.1</v>
      </c>
      <c r="H6" s="340">
        <f t="shared" si="1"/>
        <v>3140795460.0000005</v>
      </c>
      <c r="I6" s="341">
        <f t="shared" si="2"/>
        <v>314079.54600000009</v>
      </c>
      <c r="K6" t="s">
        <v>828</v>
      </c>
    </row>
    <row r="7" spans="2:11">
      <c r="B7" s="15" t="s">
        <v>698</v>
      </c>
      <c r="C7" t="s">
        <v>694</v>
      </c>
      <c r="D7" s="466">
        <f t="shared" si="0"/>
        <v>2855268.6</v>
      </c>
      <c r="E7" s="338">
        <v>1000</v>
      </c>
      <c r="F7" s="339">
        <f>E7/'[1]Country details'!$C$6</f>
        <v>0.1</v>
      </c>
      <c r="G7" s="337">
        <v>0.1</v>
      </c>
      <c r="H7" s="340">
        <f t="shared" si="1"/>
        <v>3140795460.0000005</v>
      </c>
      <c r="I7" s="341">
        <f t="shared" si="2"/>
        <v>314079.54600000009</v>
      </c>
      <c r="K7" t="s">
        <v>829</v>
      </c>
    </row>
    <row r="8" spans="2:11">
      <c r="B8" s="15" t="s">
        <v>699</v>
      </c>
      <c r="C8" t="s">
        <v>694</v>
      </c>
      <c r="D8" s="466">
        <f t="shared" si="0"/>
        <v>2855268.6</v>
      </c>
      <c r="E8" s="338">
        <v>1000</v>
      </c>
      <c r="F8" s="339">
        <f>E8/'[1]Country details'!$C$6</f>
        <v>0.1</v>
      </c>
      <c r="G8" s="337">
        <v>0.1</v>
      </c>
      <c r="H8" s="340">
        <f t="shared" si="1"/>
        <v>3140795460.0000005</v>
      </c>
      <c r="I8" s="341">
        <f t="shared" si="2"/>
        <v>314079.54600000009</v>
      </c>
      <c r="K8" t="s">
        <v>831</v>
      </c>
    </row>
    <row r="9" spans="2:11">
      <c r="B9" s="15" t="s">
        <v>700</v>
      </c>
      <c r="C9" t="s">
        <v>694</v>
      </c>
      <c r="D9" s="466">
        <f t="shared" si="0"/>
        <v>2855268.6</v>
      </c>
      <c r="E9" s="338">
        <v>1000</v>
      </c>
      <c r="F9" s="339">
        <f>E9/'[1]Country details'!$C$6</f>
        <v>0.1</v>
      </c>
      <c r="G9" s="337">
        <v>0.1</v>
      </c>
      <c r="H9" s="340">
        <f t="shared" si="1"/>
        <v>3140795460.0000005</v>
      </c>
      <c r="I9" s="341">
        <f t="shared" si="2"/>
        <v>314079.54600000009</v>
      </c>
      <c r="K9" t="s">
        <v>832</v>
      </c>
    </row>
    <row r="10" spans="2:11">
      <c r="B10" s="15" t="s">
        <v>701</v>
      </c>
      <c r="C10" t="s">
        <v>694</v>
      </c>
      <c r="D10" s="466">
        <f t="shared" si="0"/>
        <v>2855268.6</v>
      </c>
      <c r="E10" s="338">
        <v>1000</v>
      </c>
      <c r="F10" s="339">
        <f>E10/'[1]Country details'!$C$6</f>
        <v>0.1</v>
      </c>
      <c r="G10" s="337">
        <v>0.1</v>
      </c>
      <c r="H10" s="340">
        <f t="shared" si="1"/>
        <v>3140795460.0000005</v>
      </c>
      <c r="I10" s="341">
        <f t="shared" si="2"/>
        <v>314079.54600000009</v>
      </c>
      <c r="K10" t="s">
        <v>833</v>
      </c>
    </row>
    <row r="11" spans="2:11">
      <c r="B11" s="16" t="s">
        <v>842</v>
      </c>
      <c r="C11" s="165" t="s">
        <v>694</v>
      </c>
      <c r="D11" s="466">
        <f t="shared" si="0"/>
        <v>2855268.6</v>
      </c>
      <c r="E11" s="338">
        <v>1000</v>
      </c>
      <c r="F11" s="343">
        <f>E11/'[1]Country details'!$C$6</f>
        <v>0.1</v>
      </c>
      <c r="G11" s="337">
        <v>0.1</v>
      </c>
      <c r="H11" s="344">
        <f t="shared" si="1"/>
        <v>3140795460.0000005</v>
      </c>
      <c r="I11" s="345">
        <f t="shared" si="2"/>
        <v>314079.54600000009</v>
      </c>
    </row>
    <row r="12" spans="2:11">
      <c r="B12" s="3" t="s">
        <v>669</v>
      </c>
      <c r="C12" s="304"/>
      <c r="D12" s="304"/>
      <c r="E12" s="346"/>
      <c r="F12" s="347"/>
      <c r="G12" s="304"/>
      <c r="H12" s="348">
        <f>SUM(H4:H11)</f>
        <v>25126363680.000004</v>
      </c>
      <c r="I12" s="325">
        <f>SUM(I4:I11)</f>
        <v>2512636.3680000007</v>
      </c>
    </row>
    <row r="13" spans="2:11">
      <c r="B13" s="8" t="s">
        <v>702</v>
      </c>
      <c r="E13" s="349"/>
      <c r="H13" s="349"/>
      <c r="I13" s="9"/>
    </row>
    <row r="14" spans="2:11">
      <c r="B14" s="312" t="s">
        <v>703</v>
      </c>
      <c r="C14" s="163" t="s">
        <v>704</v>
      </c>
      <c r="D14" s="463">
        <f>Total_Population/(Average_household_size*100)</f>
        <v>13520.313559322034</v>
      </c>
      <c r="E14" s="333">
        <v>100000</v>
      </c>
      <c r="F14" s="284">
        <f>E14/'[1]Country details'!$C$6</f>
        <v>10</v>
      </c>
      <c r="G14" s="282">
        <v>0.1</v>
      </c>
      <c r="H14" s="335">
        <f t="shared" si="1"/>
        <v>1487234491.5254238</v>
      </c>
      <c r="I14" s="286">
        <f>D14*F14*(1+G14)</f>
        <v>148723.44915254237</v>
      </c>
      <c r="K14" t="s">
        <v>830</v>
      </c>
    </row>
    <row r="15" spans="2:11">
      <c r="B15" s="15" t="s">
        <v>705</v>
      </c>
      <c r="C15" t="s">
        <v>704</v>
      </c>
      <c r="D15" s="462">
        <f>Total_Population/(Average_household_size*100)</f>
        <v>13520.313559322034</v>
      </c>
      <c r="E15" s="338">
        <v>100000</v>
      </c>
      <c r="F15" s="289">
        <f>E15/'[1]Country details'!$C$6</f>
        <v>10</v>
      </c>
      <c r="G15" s="287">
        <v>0.1</v>
      </c>
      <c r="H15" s="340">
        <f t="shared" si="1"/>
        <v>1487234491.5254238</v>
      </c>
      <c r="I15" s="291">
        <f>D15*F15*(1+G15)</f>
        <v>148723.44915254237</v>
      </c>
    </row>
    <row r="16" spans="2:11">
      <c r="B16" s="15" t="s">
        <v>836</v>
      </c>
      <c r="C16" t="s">
        <v>687</v>
      </c>
      <c r="D16" s="462">
        <f>Total_Population/(Average_household_size*100)</f>
        <v>13520.313559322034</v>
      </c>
      <c r="E16" s="338">
        <v>50000</v>
      </c>
      <c r="F16" s="289">
        <f>E16/'[1]Country details'!$C$6</f>
        <v>5</v>
      </c>
      <c r="G16" s="287">
        <v>0.1</v>
      </c>
      <c r="H16" s="340">
        <f>D16*E16*(1+G16)</f>
        <v>743617245.76271188</v>
      </c>
      <c r="I16" s="291">
        <f>D16*F16*(1+G16)</f>
        <v>74361.724576271183</v>
      </c>
      <c r="K16" t="s">
        <v>838</v>
      </c>
    </row>
    <row r="17" spans="2:11">
      <c r="B17" s="16" t="s">
        <v>834</v>
      </c>
      <c r="C17" s="165" t="s">
        <v>835</v>
      </c>
      <c r="D17" s="464">
        <f>Total_Population/(Average_household_size*200)</f>
        <v>6760.156779661017</v>
      </c>
      <c r="E17" s="342">
        <v>10000</v>
      </c>
      <c r="F17" s="294">
        <f>E17/'[1]Country details'!$C$6</f>
        <v>1</v>
      </c>
      <c r="G17" s="292">
        <v>0.1</v>
      </c>
      <c r="H17" s="344">
        <f t="shared" si="1"/>
        <v>74361724.576271206</v>
      </c>
      <c r="I17" s="296">
        <f>D17*F17*(1+G17)</f>
        <v>7436.172457627119</v>
      </c>
      <c r="K17" t="s">
        <v>839</v>
      </c>
    </row>
    <row r="18" spans="2:11">
      <c r="B18" s="3" t="s">
        <v>669</v>
      </c>
      <c r="C18" s="304"/>
      <c r="D18" s="297"/>
      <c r="E18" s="350"/>
      <c r="F18" s="299"/>
      <c r="G18" s="297"/>
      <c r="H18" s="348">
        <f>SUM(H14:H17)</f>
        <v>3792447953.3898306</v>
      </c>
      <c r="I18" s="325">
        <f>SUM(I14:I17)</f>
        <v>379244.79533898307</v>
      </c>
      <c r="K18" t="s">
        <v>840</v>
      </c>
    </row>
    <row r="19" spans="2:11">
      <c r="B19" s="15"/>
      <c r="C19" s="10"/>
      <c r="E19" s="349"/>
      <c r="H19" s="349"/>
      <c r="I19" s="9"/>
      <c r="K19" t="s">
        <v>837</v>
      </c>
    </row>
    <row r="20" spans="2:11">
      <c r="B20" s="19" t="s">
        <v>706</v>
      </c>
      <c r="C20" s="304"/>
      <c r="D20" s="304"/>
      <c r="E20" s="346"/>
      <c r="F20" s="304"/>
      <c r="G20" s="304"/>
      <c r="H20" s="346"/>
      <c r="I20" s="17"/>
    </row>
    <row r="21" spans="2:11">
      <c r="B21" s="312" t="s">
        <v>707</v>
      </c>
      <c r="C21" s="163" t="s">
        <v>708</v>
      </c>
      <c r="D21" s="282"/>
      <c r="E21" s="333">
        <v>0</v>
      </c>
      <c r="F21" s="284">
        <f>E21/'[1]Country details'!$C$6</f>
        <v>0</v>
      </c>
      <c r="G21" s="282">
        <v>0.1</v>
      </c>
      <c r="H21" s="335">
        <f t="shared" si="1"/>
        <v>0</v>
      </c>
      <c r="I21" s="286">
        <f>D21*F21*(1+G21)</f>
        <v>0</v>
      </c>
    </row>
    <row r="22" spans="2:11">
      <c r="B22" s="15" t="s">
        <v>709</v>
      </c>
      <c r="C22" t="s">
        <v>710</v>
      </c>
      <c r="D22" s="287"/>
      <c r="E22" s="338">
        <v>0</v>
      </c>
      <c r="F22" s="289">
        <f>E22/'[1]Country details'!$C$6</f>
        <v>0</v>
      </c>
      <c r="G22" s="287">
        <v>0.1</v>
      </c>
      <c r="H22" s="340">
        <f t="shared" si="1"/>
        <v>0</v>
      </c>
      <c r="I22" s="291">
        <f>D22*F22*(1+G22)</f>
        <v>0</v>
      </c>
    </row>
    <row r="23" spans="2:11">
      <c r="B23" s="16" t="s">
        <v>943</v>
      </c>
      <c r="C23" s="165" t="s">
        <v>710</v>
      </c>
      <c r="D23" s="292"/>
      <c r="E23" s="342">
        <v>0</v>
      </c>
      <c r="F23" s="294">
        <f>E23/'[1]Country details'!$C$6</f>
        <v>0</v>
      </c>
      <c r="G23" s="292">
        <v>0.1</v>
      </c>
      <c r="H23" s="344">
        <f t="shared" si="1"/>
        <v>0</v>
      </c>
      <c r="I23" s="296">
        <f>D23*F23*(1+G23)</f>
        <v>0</v>
      </c>
    </row>
    <row r="24" spans="2:11">
      <c r="B24" s="3" t="s">
        <v>669</v>
      </c>
      <c r="C24" s="304"/>
      <c r="D24" s="304"/>
      <c r="E24" s="346"/>
      <c r="F24" s="347"/>
      <c r="G24" s="304"/>
      <c r="H24" s="348">
        <f>SUM(H21:H23)</f>
        <v>0</v>
      </c>
      <c r="I24" s="325">
        <f>SUM(I21:I23)</f>
        <v>0</v>
      </c>
    </row>
    <row r="26" spans="2:11" ht="15" thickBot="1">
      <c r="B26" s="484" t="s">
        <v>28</v>
      </c>
      <c r="C26" s="484"/>
      <c r="D26" s="484"/>
      <c r="E26" s="484"/>
      <c r="F26" s="484"/>
      <c r="G26" s="484"/>
    </row>
    <row r="27" spans="2:11" ht="30">
      <c r="B27" s="351" t="s">
        <v>711</v>
      </c>
      <c r="C27" s="352" t="s">
        <v>687</v>
      </c>
      <c r="D27" s="353" t="s">
        <v>688</v>
      </c>
      <c r="E27" s="354" t="s">
        <v>712</v>
      </c>
      <c r="F27" s="355" t="s">
        <v>713</v>
      </c>
      <c r="G27" s="356" t="s">
        <v>714</v>
      </c>
      <c r="H27" s="356" t="s">
        <v>692</v>
      </c>
      <c r="I27" s="356" t="s">
        <v>715</v>
      </c>
    </row>
    <row r="28" spans="2:11">
      <c r="B28" s="312" t="s">
        <v>716</v>
      </c>
      <c r="C28" s="163"/>
      <c r="D28" s="282">
        <v>1</v>
      </c>
      <c r="E28" s="283">
        <v>1000000</v>
      </c>
      <c r="F28" s="284">
        <f>E28/'[1]Country details'!$C$6</f>
        <v>100</v>
      </c>
      <c r="G28" s="282">
        <v>0.1</v>
      </c>
      <c r="H28" s="285">
        <f>D28*E28*G28</f>
        <v>100000</v>
      </c>
      <c r="I28" s="286">
        <f>D28*F28*G28</f>
        <v>10</v>
      </c>
      <c r="K28" t="s">
        <v>938</v>
      </c>
    </row>
    <row r="29" spans="2:11">
      <c r="B29" s="15" t="s">
        <v>717</v>
      </c>
      <c r="D29" s="462">
        <f>Total_Population/(Average_household_size*100)</f>
        <v>13520.313559322034</v>
      </c>
      <c r="E29" s="288">
        <v>100</v>
      </c>
      <c r="F29" s="289">
        <f>E29/'[1]Country details'!$C$6</f>
        <v>0.01</v>
      </c>
      <c r="G29" s="287">
        <v>0.1</v>
      </c>
      <c r="H29" s="290">
        <f t="shared" ref="H29:H41" si="3">D29*E29*G29</f>
        <v>135203.13559322033</v>
      </c>
      <c r="I29" s="291">
        <f t="shared" ref="I29:I41" si="4">D29*F29*G29</f>
        <v>13.520313559322034</v>
      </c>
    </row>
    <row r="30" spans="2:11">
      <c r="B30" s="15" t="s">
        <v>718</v>
      </c>
      <c r="D30" s="287">
        <v>1</v>
      </c>
      <c r="E30" s="288">
        <v>1000000</v>
      </c>
      <c r="F30" s="289">
        <f>E30/'[1]Country details'!$C$6</f>
        <v>100</v>
      </c>
      <c r="G30" s="287">
        <v>0.1</v>
      </c>
      <c r="H30" s="290">
        <f t="shared" si="3"/>
        <v>100000</v>
      </c>
      <c r="I30" s="291">
        <f t="shared" si="4"/>
        <v>10</v>
      </c>
    </row>
    <row r="31" spans="2:11">
      <c r="B31" s="15" t="s">
        <v>719</v>
      </c>
      <c r="D31" s="462">
        <f>Total_Population/(Average_household_size*10000)</f>
        <v>135.20313559322034</v>
      </c>
      <c r="E31" s="288">
        <v>100000</v>
      </c>
      <c r="F31" s="289">
        <f>E31/'[1]Country details'!$C$6</f>
        <v>10</v>
      </c>
      <c r="G31" s="287">
        <v>0.1</v>
      </c>
      <c r="H31" s="290">
        <f t="shared" si="3"/>
        <v>1352031.3559322034</v>
      </c>
      <c r="I31" s="291">
        <f t="shared" si="4"/>
        <v>135.20313559322037</v>
      </c>
    </row>
    <row r="32" spans="2:11">
      <c r="B32" s="15" t="s">
        <v>720</v>
      </c>
      <c r="D32" s="287">
        <v>1</v>
      </c>
      <c r="E32" s="288">
        <v>10000000</v>
      </c>
      <c r="F32" s="289">
        <f>E32/'[1]Country details'!$C$6</f>
        <v>1000</v>
      </c>
      <c r="G32" s="287">
        <v>0.1</v>
      </c>
      <c r="H32" s="290">
        <f t="shared" si="3"/>
        <v>1000000</v>
      </c>
      <c r="I32" s="291">
        <f t="shared" si="4"/>
        <v>100</v>
      </c>
      <c r="J32" s="302"/>
      <c r="K32" t="s">
        <v>721</v>
      </c>
    </row>
    <row r="33" spans="2:9">
      <c r="B33" s="15" t="s">
        <v>722</v>
      </c>
      <c r="D33" s="462">
        <v>14</v>
      </c>
      <c r="E33" s="288">
        <v>10000000</v>
      </c>
      <c r="F33" s="289">
        <f>E33/'[1]Country details'!$C$6</f>
        <v>1000</v>
      </c>
      <c r="G33" s="287">
        <v>0.1</v>
      </c>
      <c r="H33" s="290">
        <f t="shared" si="3"/>
        <v>14000000</v>
      </c>
      <c r="I33" s="291">
        <f t="shared" si="4"/>
        <v>1400</v>
      </c>
    </row>
    <row r="34" spans="2:9">
      <c r="B34" s="15" t="s">
        <v>723</v>
      </c>
      <c r="D34" s="287">
        <v>1</v>
      </c>
      <c r="E34" s="288">
        <v>1000000</v>
      </c>
      <c r="F34" s="289">
        <f>E34/'[1]Country details'!$C$6</f>
        <v>100</v>
      </c>
      <c r="G34" s="287">
        <v>0.1</v>
      </c>
      <c r="H34" s="290">
        <f t="shared" si="3"/>
        <v>100000</v>
      </c>
      <c r="I34" s="291">
        <f t="shared" si="4"/>
        <v>10</v>
      </c>
    </row>
    <row r="35" spans="2:9">
      <c r="B35" s="15" t="s">
        <v>724</v>
      </c>
      <c r="D35" s="462">
        <f>Total_Population/(Average_household_size*10000)</f>
        <v>135.20313559322034</v>
      </c>
      <c r="E35" s="288">
        <v>500000</v>
      </c>
      <c r="F35" s="289">
        <f>E35/'[1]Country details'!$C$6</f>
        <v>50</v>
      </c>
      <c r="G35" s="287">
        <v>0.1</v>
      </c>
      <c r="H35" s="290">
        <f t="shared" si="3"/>
        <v>6760156.7796610184</v>
      </c>
      <c r="I35" s="291">
        <f t="shared" si="4"/>
        <v>676.01567796610175</v>
      </c>
    </row>
    <row r="36" spans="2:9">
      <c r="B36" s="15" t="s">
        <v>725</v>
      </c>
      <c r="D36" s="287">
        <v>1</v>
      </c>
      <c r="E36" s="288">
        <v>10000000</v>
      </c>
      <c r="F36" s="289">
        <f>E36/'[1]Country details'!$C$6</f>
        <v>1000</v>
      </c>
      <c r="G36" s="287">
        <v>0.1</v>
      </c>
      <c r="H36" s="290">
        <f t="shared" si="3"/>
        <v>1000000</v>
      </c>
      <c r="I36" s="291">
        <f t="shared" si="4"/>
        <v>100</v>
      </c>
    </row>
    <row r="37" spans="2:9">
      <c r="B37" s="15" t="s">
        <v>724</v>
      </c>
      <c r="D37" s="287">
        <v>1</v>
      </c>
      <c r="E37" s="288">
        <v>1</v>
      </c>
      <c r="F37" s="289">
        <f>E37/'[1]Country details'!$C$6</f>
        <v>1E-4</v>
      </c>
      <c r="G37" s="287">
        <v>0.1</v>
      </c>
      <c r="H37" s="290">
        <f t="shared" si="3"/>
        <v>0.1</v>
      </c>
      <c r="I37" s="291">
        <f t="shared" si="4"/>
        <v>1.0000000000000001E-5</v>
      </c>
    </row>
    <row r="38" spans="2:9">
      <c r="B38" s="15" t="s">
        <v>726</v>
      </c>
      <c r="D38" s="287">
        <v>1</v>
      </c>
      <c r="E38" s="288">
        <v>1000000</v>
      </c>
      <c r="F38" s="289">
        <f>E38/'[1]Country details'!$C$6</f>
        <v>100</v>
      </c>
      <c r="G38" s="287">
        <v>0.1</v>
      </c>
      <c r="H38" s="290">
        <f t="shared" si="3"/>
        <v>100000</v>
      </c>
      <c r="I38" s="291">
        <f t="shared" si="4"/>
        <v>10</v>
      </c>
    </row>
    <row r="39" spans="2:9">
      <c r="B39" s="15" t="s">
        <v>727</v>
      </c>
      <c r="D39" s="462">
        <f>Total_Population/(Average_household_size*1000)</f>
        <v>1352.0313559322035</v>
      </c>
      <c r="E39" s="288">
        <v>50000</v>
      </c>
      <c r="F39" s="289">
        <f>E39/'[1]Country details'!$C$6</f>
        <v>5</v>
      </c>
      <c r="G39" s="287">
        <v>0.1</v>
      </c>
      <c r="H39" s="290">
        <f t="shared" si="3"/>
        <v>6760156.7796610184</v>
      </c>
      <c r="I39" s="291">
        <f t="shared" si="4"/>
        <v>676.01567796610186</v>
      </c>
    </row>
    <row r="40" spans="2:9">
      <c r="B40" s="15" t="s">
        <v>826</v>
      </c>
      <c r="D40" s="287">
        <v>1</v>
      </c>
      <c r="E40" s="288">
        <v>1000000</v>
      </c>
      <c r="F40" s="289">
        <f>E40/'[1]Country details'!$C$6</f>
        <v>100</v>
      </c>
      <c r="G40" s="287">
        <v>0.1</v>
      </c>
      <c r="H40" s="290">
        <f t="shared" si="3"/>
        <v>100000</v>
      </c>
      <c r="I40" s="291">
        <f t="shared" si="4"/>
        <v>10</v>
      </c>
    </row>
    <row r="41" spans="2:9">
      <c r="B41" s="16" t="s">
        <v>827</v>
      </c>
      <c r="C41" s="165"/>
      <c r="D41" s="292">
        <v>1</v>
      </c>
      <c r="E41" s="293">
        <v>1</v>
      </c>
      <c r="F41" s="294">
        <f>E41/'[1]Country details'!$C$6</f>
        <v>1E-4</v>
      </c>
      <c r="G41" s="287">
        <v>0.1</v>
      </c>
      <c r="H41" s="295">
        <f t="shared" si="3"/>
        <v>0.1</v>
      </c>
      <c r="I41" s="296">
        <f t="shared" si="4"/>
        <v>1.0000000000000001E-5</v>
      </c>
    </row>
    <row r="42" spans="2:9">
      <c r="B42" s="3" t="s">
        <v>669</v>
      </c>
      <c r="C42" s="27"/>
      <c r="D42" s="304"/>
      <c r="E42" s="304"/>
      <c r="F42" s="347"/>
      <c r="G42" s="304"/>
      <c r="H42" s="307">
        <f>SUM(H28:H41)</f>
        <v>31507548.250847463</v>
      </c>
      <c r="I42" s="325">
        <f>SUM(I28:I41)</f>
        <v>3150.7548250847467</v>
      </c>
    </row>
    <row r="43" spans="2:9">
      <c r="B43" s="273"/>
      <c r="C43" s="163"/>
      <c r="D43" s="163"/>
      <c r="E43" s="163"/>
      <c r="F43" s="357"/>
      <c r="G43" s="163"/>
      <c r="H43" s="298"/>
      <c r="I43" s="300"/>
    </row>
    <row r="44" spans="2:9">
      <c r="B44" s="19" t="s">
        <v>501</v>
      </c>
      <c r="C44" s="304"/>
      <c r="D44" s="304"/>
      <c r="E44" s="304"/>
      <c r="F44" s="347"/>
      <c r="G44" s="304"/>
      <c r="H44" s="307">
        <f>H12+H18+H24+H42</f>
        <v>28950319181.640682</v>
      </c>
      <c r="I44" s="325">
        <f>I12+I18+I24+I42</f>
        <v>2895031.9181640688</v>
      </c>
    </row>
  </sheetData>
  <mergeCells count="1">
    <mergeCell ref="B26:G26"/>
  </mergeCells>
  <hyperlinks>
    <hyperlink ref="B2" location="Menu!A1" display="Consumables" xr:uid="{355D21E7-25F6-EC4C-99DA-C93E0DCD4C17}"/>
  </hyperlinks>
  <pageMargins left="0.7" right="0.7" top="0.75" bottom="0.75" header="0.3" footer="0.3"/>
  <ignoredErrors>
    <ignoredError sqref="H4:I4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13C0D-B61B-1C4B-A13F-74AFC53642B1}">
  <dimension ref="B2:K58"/>
  <sheetViews>
    <sheetView topLeftCell="A13" workbookViewId="0">
      <selection activeCell="B65" sqref="B65"/>
    </sheetView>
  </sheetViews>
  <sheetFormatPr baseColWidth="10" defaultColWidth="8.83203125" defaultRowHeight="14"/>
  <cols>
    <col min="2" max="2" width="39" customWidth="1"/>
    <col min="3" max="3" width="10.6640625" customWidth="1"/>
    <col min="5" max="5" width="21.1640625" customWidth="1"/>
    <col min="6" max="6" width="14" customWidth="1"/>
    <col min="7" max="7" width="20.5" customWidth="1"/>
    <col min="8" max="9" width="15" customWidth="1"/>
    <col min="11" max="11" width="55" customWidth="1"/>
  </cols>
  <sheetData>
    <row r="2" spans="2:11" ht="15">
      <c r="B2" s="277" t="s">
        <v>612</v>
      </c>
    </row>
    <row r="3" spans="2:11" ht="30">
      <c r="B3" s="358" t="s">
        <v>31</v>
      </c>
      <c r="C3" s="310" t="s">
        <v>687</v>
      </c>
      <c r="D3" s="279" t="s">
        <v>688</v>
      </c>
      <c r="E3" s="279" t="s">
        <v>728</v>
      </c>
      <c r="F3" s="279" t="s">
        <v>729</v>
      </c>
      <c r="G3" s="279" t="s">
        <v>730</v>
      </c>
      <c r="H3" s="280" t="s">
        <v>715</v>
      </c>
      <c r="I3" s="359" t="s">
        <v>731</v>
      </c>
      <c r="K3" s="359" t="s">
        <v>25</v>
      </c>
    </row>
    <row r="4" spans="2:11">
      <c r="B4" s="3" t="s">
        <v>732</v>
      </c>
      <c r="C4" s="324">
        <v>1</v>
      </c>
      <c r="D4" s="324">
        <v>1</v>
      </c>
      <c r="E4" s="322">
        <v>100000</v>
      </c>
      <c r="F4" s="323">
        <f>IF(E4=0,0,E4/'[1]Country details'!$C$6)</f>
        <v>10</v>
      </c>
      <c r="G4" s="307">
        <f>IF(C4=0,0,C4*D4*E4)</f>
        <v>100000</v>
      </c>
      <c r="H4" s="325">
        <f>IF(C4=0,0,C4*D4*F4)</f>
        <v>10</v>
      </c>
      <c r="I4" s="366">
        <f>IF(H4 =0,0,H4/$H$58)</f>
        <v>1.8012176231132246E-4</v>
      </c>
    </row>
    <row r="5" spans="2:11">
      <c r="E5" s="316"/>
      <c r="F5" s="33"/>
      <c r="G5" s="316"/>
      <c r="H5" s="360"/>
      <c r="I5" s="425"/>
    </row>
    <row r="6" spans="2:11">
      <c r="B6" s="19" t="s">
        <v>733</v>
      </c>
      <c r="C6" s="304"/>
      <c r="D6" s="304"/>
      <c r="E6" s="317"/>
      <c r="F6" s="347"/>
      <c r="G6" s="317"/>
      <c r="H6" s="362"/>
      <c r="I6" s="425"/>
    </row>
    <row r="7" spans="2:11">
      <c r="B7" s="10" t="s">
        <v>734</v>
      </c>
      <c r="C7" s="287">
        <v>1</v>
      </c>
      <c r="D7" s="287">
        <v>1</v>
      </c>
      <c r="E7" s="288">
        <v>100000000</v>
      </c>
      <c r="F7" s="289">
        <f>IF(E7=0,0,E7/'[1]Country details'!$C$6)</f>
        <v>10000</v>
      </c>
      <c r="G7" s="290">
        <f t="shared" ref="G7:G21" si="0">IF(C7=0,0,C7*D7*E7)</f>
        <v>100000000</v>
      </c>
      <c r="H7" s="291">
        <f>IF(C7=0,0,C7*D7*F7)</f>
        <v>10000</v>
      </c>
      <c r="I7" s="367">
        <f t="shared" ref="I7:I16" si="1">IF(H7=0,0,H7/$H$58)</f>
        <v>0.18012176231132246</v>
      </c>
      <c r="K7" t="s">
        <v>735</v>
      </c>
    </row>
    <row r="8" spans="2:11">
      <c r="B8" s="10" t="s">
        <v>736</v>
      </c>
      <c r="C8" s="287">
        <v>1</v>
      </c>
      <c r="D8" s="287">
        <v>1</v>
      </c>
      <c r="E8" s="288">
        <v>100000000</v>
      </c>
      <c r="F8" s="289">
        <f>IF(E8=0,0,E8/'[1]Country details'!$C$6)</f>
        <v>10000</v>
      </c>
      <c r="G8" s="290">
        <f t="shared" si="0"/>
        <v>100000000</v>
      </c>
      <c r="H8" s="291">
        <f t="shared" ref="H8:H15" si="2">IF(C8=0,0,C8*D8*F8)</f>
        <v>10000</v>
      </c>
      <c r="I8" s="367">
        <f t="shared" si="1"/>
        <v>0.18012176231132246</v>
      </c>
      <c r="K8" t="s">
        <v>735</v>
      </c>
    </row>
    <row r="9" spans="2:11">
      <c r="B9" s="10" t="s">
        <v>737</v>
      </c>
      <c r="C9" s="287">
        <v>1</v>
      </c>
      <c r="D9" s="287">
        <v>1</v>
      </c>
      <c r="E9" s="288">
        <v>10000000</v>
      </c>
      <c r="F9" s="289">
        <f>IF(E9=0,0,E9/'[1]Country details'!$C$6)</f>
        <v>1000</v>
      </c>
      <c r="G9" s="290">
        <f t="shared" si="0"/>
        <v>10000000</v>
      </c>
      <c r="H9" s="291">
        <f t="shared" si="2"/>
        <v>1000</v>
      </c>
      <c r="I9" s="367">
        <f t="shared" si="1"/>
        <v>1.8012176231132247E-2</v>
      </c>
    </row>
    <row r="10" spans="2:11">
      <c r="B10" s="10" t="s">
        <v>738</v>
      </c>
      <c r="C10" s="287">
        <v>1</v>
      </c>
      <c r="D10" s="287">
        <v>1</v>
      </c>
      <c r="E10" s="288">
        <v>10000000</v>
      </c>
      <c r="F10" s="289">
        <f>IF(E10=0,0,E10/'[1]Country details'!$C$6)</f>
        <v>1000</v>
      </c>
      <c r="G10" s="290">
        <f t="shared" si="0"/>
        <v>10000000</v>
      </c>
      <c r="H10" s="291">
        <f t="shared" si="2"/>
        <v>1000</v>
      </c>
      <c r="I10" s="367">
        <f t="shared" si="1"/>
        <v>1.8012176231132247E-2</v>
      </c>
    </row>
    <row r="11" spans="2:11">
      <c r="B11" s="10" t="s">
        <v>739</v>
      </c>
      <c r="C11" s="287">
        <v>1</v>
      </c>
      <c r="D11" s="287">
        <v>1</v>
      </c>
      <c r="E11" s="288">
        <v>10000000</v>
      </c>
      <c r="F11" s="289">
        <f>IF(E11=0,0,E11/'[1]Country details'!$C$6)</f>
        <v>1000</v>
      </c>
      <c r="G11" s="290">
        <f t="shared" si="0"/>
        <v>10000000</v>
      </c>
      <c r="H11" s="291">
        <f t="shared" si="2"/>
        <v>1000</v>
      </c>
      <c r="I11" s="367">
        <f t="shared" si="1"/>
        <v>1.8012176231132247E-2</v>
      </c>
    </row>
    <row r="12" spans="2:11">
      <c r="B12" s="10" t="s">
        <v>740</v>
      </c>
      <c r="C12" s="287">
        <v>1</v>
      </c>
      <c r="D12" s="287">
        <v>1</v>
      </c>
      <c r="E12" s="288">
        <v>1000000</v>
      </c>
      <c r="F12" s="289">
        <f>IF(E12=0,0,E12/'[1]Country details'!$C$6)</f>
        <v>100</v>
      </c>
      <c r="G12" s="290">
        <f t="shared" si="0"/>
        <v>1000000</v>
      </c>
      <c r="H12" s="291">
        <f t="shared" si="2"/>
        <v>100</v>
      </c>
      <c r="I12" s="367">
        <f t="shared" si="1"/>
        <v>1.8012176231132246E-3</v>
      </c>
    </row>
    <row r="13" spans="2:11">
      <c r="B13" s="10" t="s">
        <v>741</v>
      </c>
      <c r="C13" s="287">
        <v>1</v>
      </c>
      <c r="D13" s="287">
        <v>1</v>
      </c>
      <c r="E13" s="288">
        <v>1000000</v>
      </c>
      <c r="F13" s="289">
        <f>IF(E13=0,0,E13/'[1]Country details'!$C$6)</f>
        <v>100</v>
      </c>
      <c r="G13" s="290">
        <f t="shared" si="0"/>
        <v>1000000</v>
      </c>
      <c r="H13" s="291">
        <f t="shared" si="2"/>
        <v>100</v>
      </c>
      <c r="I13" s="367">
        <f t="shared" si="1"/>
        <v>1.8012176231132246E-3</v>
      </c>
    </row>
    <row r="14" spans="2:11">
      <c r="B14" s="10" t="s">
        <v>742</v>
      </c>
      <c r="C14" s="287">
        <v>1</v>
      </c>
      <c r="D14" s="287">
        <v>1</v>
      </c>
      <c r="E14" s="288">
        <v>1000000</v>
      </c>
      <c r="F14" s="289">
        <f>IF(E14=0,0,E14/'[1]Country details'!$C$6)</f>
        <v>100</v>
      </c>
      <c r="G14" s="290">
        <f t="shared" si="0"/>
        <v>1000000</v>
      </c>
      <c r="H14" s="291">
        <f t="shared" si="2"/>
        <v>100</v>
      </c>
      <c r="I14" s="367">
        <f t="shared" si="1"/>
        <v>1.8012176231132246E-3</v>
      </c>
    </row>
    <row r="15" spans="2:11">
      <c r="B15" s="11" t="s">
        <v>743</v>
      </c>
      <c r="C15" s="287">
        <v>1</v>
      </c>
      <c r="D15" s="287">
        <v>1</v>
      </c>
      <c r="E15" s="293">
        <v>1000000</v>
      </c>
      <c r="F15" s="294">
        <f>IF(E15=0,0,E15/'[1]Country details'!$C$6)</f>
        <v>100</v>
      </c>
      <c r="G15" s="295">
        <f t="shared" si="0"/>
        <v>1000000</v>
      </c>
      <c r="H15" s="296">
        <f t="shared" si="2"/>
        <v>100</v>
      </c>
      <c r="I15" s="367">
        <f t="shared" si="1"/>
        <v>1.8012176231132246E-3</v>
      </c>
      <c r="K15" t="s">
        <v>744</v>
      </c>
    </row>
    <row r="16" spans="2:11">
      <c r="B16" s="19" t="s">
        <v>669</v>
      </c>
      <c r="C16" s="324"/>
      <c r="D16" s="324"/>
      <c r="E16" s="322"/>
      <c r="F16" s="323"/>
      <c r="G16" s="315">
        <f>SUM(G7:G15)</f>
        <v>234000000</v>
      </c>
      <c r="H16" s="309">
        <f>SUM(H7:H15)</f>
        <v>23400</v>
      </c>
      <c r="I16" s="363">
        <f t="shared" si="1"/>
        <v>0.42148492380849456</v>
      </c>
      <c r="K16" t="s">
        <v>945</v>
      </c>
    </row>
    <row r="17" spans="2:11">
      <c r="E17" s="316"/>
      <c r="F17" s="364"/>
      <c r="G17" s="316"/>
      <c r="H17" s="33"/>
      <c r="I17" s="361"/>
    </row>
    <row r="18" spans="2:11">
      <c r="B18" s="19" t="s">
        <v>745</v>
      </c>
      <c r="C18" s="304"/>
      <c r="D18" s="304"/>
      <c r="E18" s="317"/>
      <c r="F18" s="326"/>
      <c r="G18" s="317"/>
      <c r="H18" s="362"/>
      <c r="I18" s="365"/>
    </row>
    <row r="19" spans="2:11">
      <c r="B19" s="29" t="s">
        <v>944</v>
      </c>
      <c r="C19" s="287">
        <v>1</v>
      </c>
      <c r="D19" s="287">
        <v>1</v>
      </c>
      <c r="E19" s="288">
        <v>10000000</v>
      </c>
      <c r="F19" s="289">
        <f>E19/exchange_rate</f>
        <v>1000</v>
      </c>
      <c r="G19" s="290">
        <f>IF(C19=0,0,C19*D19*E19)</f>
        <v>10000000</v>
      </c>
      <c r="H19" s="291">
        <f>IF(C19=0,0,C19*D19*F19)</f>
        <v>1000</v>
      </c>
      <c r="I19" s="366">
        <f t="shared" ref="I19:I28" si="3">IF(H19=0,0,H19/$H$58)</f>
        <v>1.8012176231132247E-2</v>
      </c>
    </row>
    <row r="20" spans="2:11">
      <c r="B20" s="10" t="s">
        <v>746</v>
      </c>
      <c r="C20" s="287">
        <v>1</v>
      </c>
      <c r="D20" s="287">
        <v>1</v>
      </c>
      <c r="E20" s="288">
        <v>10000</v>
      </c>
      <c r="F20" s="289">
        <f>IF(E20=0,0,E20/'[1]Country details'!$C$6)</f>
        <v>1</v>
      </c>
      <c r="G20" s="290">
        <f>IF(C20=0,0,C20*D20*E20)</f>
        <v>10000</v>
      </c>
      <c r="H20" s="291">
        <f>IF(C20=0,0,C20*D20*F20)</f>
        <v>1</v>
      </c>
      <c r="I20" s="366">
        <f t="shared" si="3"/>
        <v>1.8012176231132246E-5</v>
      </c>
      <c r="K20" t="s">
        <v>747</v>
      </c>
    </row>
    <row r="21" spans="2:11">
      <c r="B21" s="10" t="s">
        <v>748</v>
      </c>
      <c r="C21" s="287">
        <v>1</v>
      </c>
      <c r="D21" s="287">
        <v>1</v>
      </c>
      <c r="E21" s="288">
        <v>10000</v>
      </c>
      <c r="F21" s="289">
        <f>IF(E21=0,0,E21/'[1]Country details'!$C$6)</f>
        <v>1</v>
      </c>
      <c r="G21" s="290">
        <f t="shared" si="0"/>
        <v>10000</v>
      </c>
      <c r="H21" s="291">
        <f t="shared" ref="H21:H27" si="4">IF(C21=0,0,C21*D21*F21)</f>
        <v>1</v>
      </c>
      <c r="I21" s="367">
        <f t="shared" si="3"/>
        <v>1.8012176231132246E-5</v>
      </c>
    </row>
    <row r="22" spans="2:11">
      <c r="B22" s="10" t="s">
        <v>749</v>
      </c>
      <c r="C22" s="287">
        <v>1</v>
      </c>
      <c r="D22" s="287">
        <v>1</v>
      </c>
      <c r="E22" s="288">
        <v>10000</v>
      </c>
      <c r="F22" s="289">
        <f>IF(E22=0,0,E22/'[1]Country details'!$C$6)</f>
        <v>1</v>
      </c>
      <c r="G22" s="290">
        <f t="shared" ref="G22:G27" si="5">IF(C22=0,0,C22*D22*E22)</f>
        <v>10000</v>
      </c>
      <c r="H22" s="291">
        <f t="shared" si="4"/>
        <v>1</v>
      </c>
      <c r="I22" s="367">
        <f t="shared" si="3"/>
        <v>1.8012176231132246E-5</v>
      </c>
    </row>
    <row r="23" spans="2:11">
      <c r="B23" s="10" t="s">
        <v>750</v>
      </c>
      <c r="C23" s="287">
        <v>1</v>
      </c>
      <c r="D23" s="287">
        <v>1</v>
      </c>
      <c r="E23" s="288">
        <v>10000</v>
      </c>
      <c r="F23" s="289">
        <f>IF(E23=0,0,E23/'[1]Country details'!$C$6)</f>
        <v>1</v>
      </c>
      <c r="G23" s="290">
        <f t="shared" si="5"/>
        <v>10000</v>
      </c>
      <c r="H23" s="291">
        <f t="shared" si="4"/>
        <v>1</v>
      </c>
      <c r="I23" s="367">
        <f t="shared" si="3"/>
        <v>1.8012176231132246E-5</v>
      </c>
    </row>
    <row r="24" spans="2:11">
      <c r="B24" s="10" t="s">
        <v>751</v>
      </c>
      <c r="C24" s="287">
        <v>1</v>
      </c>
      <c r="D24" s="287">
        <v>1</v>
      </c>
      <c r="E24" s="288">
        <v>10000</v>
      </c>
      <c r="F24" s="289">
        <f>IF(E24=0,0,E24/'[1]Country details'!$C$6)</f>
        <v>1</v>
      </c>
      <c r="G24" s="290">
        <f t="shared" si="5"/>
        <v>10000</v>
      </c>
      <c r="H24" s="291">
        <f t="shared" si="4"/>
        <v>1</v>
      </c>
      <c r="I24" s="367">
        <f t="shared" si="3"/>
        <v>1.8012176231132246E-5</v>
      </c>
    </row>
    <row r="25" spans="2:11">
      <c r="B25" s="11" t="s">
        <v>843</v>
      </c>
      <c r="C25" s="287">
        <v>1</v>
      </c>
      <c r="D25" s="287">
        <v>1</v>
      </c>
      <c r="E25" s="288">
        <v>10000</v>
      </c>
      <c r="F25" s="289">
        <f>IF(E25=0,0,E25/'[1]Country details'!$C$6)</f>
        <v>1</v>
      </c>
      <c r="G25" s="290">
        <f t="shared" si="5"/>
        <v>10000</v>
      </c>
      <c r="H25" s="291">
        <f>IF(C25=0,0,C25*D25*F25)</f>
        <v>1</v>
      </c>
      <c r="I25" s="367">
        <f t="shared" si="3"/>
        <v>1.8012176231132246E-5</v>
      </c>
    </row>
    <row r="26" spans="2:11">
      <c r="B26" s="10" t="s">
        <v>844</v>
      </c>
      <c r="C26" s="287">
        <v>1</v>
      </c>
      <c r="D26" s="287">
        <v>1</v>
      </c>
      <c r="E26" s="288">
        <v>10000</v>
      </c>
      <c r="F26" s="289">
        <f>IF(E26=0,0,E26/'[1]Country details'!$C$6)</f>
        <v>1</v>
      </c>
      <c r="G26" s="290">
        <f t="shared" si="5"/>
        <v>10000</v>
      </c>
      <c r="H26" s="291">
        <f>IF(C26=0,0,C26*D26*F26)</f>
        <v>1</v>
      </c>
      <c r="I26" s="367">
        <f t="shared" si="3"/>
        <v>1.8012176231132246E-5</v>
      </c>
    </row>
    <row r="27" spans="2:11">
      <c r="B27" s="11" t="s">
        <v>845</v>
      </c>
      <c r="C27" s="287">
        <v>1</v>
      </c>
      <c r="D27" s="287">
        <v>1</v>
      </c>
      <c r="E27" s="293">
        <v>10000</v>
      </c>
      <c r="F27" s="294">
        <f>IF(E27=0,0,E27/'[1]Country details'!$C$6)</f>
        <v>1</v>
      </c>
      <c r="G27" s="295">
        <f t="shared" si="5"/>
        <v>10000</v>
      </c>
      <c r="H27" s="296">
        <f t="shared" si="4"/>
        <v>1</v>
      </c>
      <c r="I27" s="368">
        <f t="shared" si="3"/>
        <v>1.8012176231132246E-5</v>
      </c>
    </row>
    <row r="28" spans="2:11">
      <c r="B28" s="19" t="s">
        <v>669</v>
      </c>
      <c r="C28" s="324"/>
      <c r="D28" s="324"/>
      <c r="E28" s="322"/>
      <c r="F28" s="323"/>
      <c r="G28" s="315">
        <f>SUM(G19:G27)</f>
        <v>10080000</v>
      </c>
      <c r="H28" s="309">
        <f>SUM(H19:H27)</f>
        <v>1008</v>
      </c>
      <c r="I28" s="363">
        <f t="shared" si="3"/>
        <v>1.8156273640981303E-2</v>
      </c>
    </row>
    <row r="29" spans="2:11">
      <c r="E29" s="316"/>
      <c r="F29" s="31"/>
      <c r="G29" s="31"/>
      <c r="H29" s="31"/>
      <c r="I29" s="361"/>
    </row>
    <row r="30" spans="2:11">
      <c r="B30" s="19" t="s">
        <v>752</v>
      </c>
      <c r="C30" s="304"/>
      <c r="D30" s="304"/>
      <c r="E30" s="317"/>
      <c r="F30" s="369"/>
      <c r="G30" s="369"/>
      <c r="H30" s="32"/>
      <c r="I30" s="365"/>
    </row>
    <row r="31" spans="2:11">
      <c r="B31" s="10" t="s">
        <v>753</v>
      </c>
      <c r="C31" s="287">
        <v>1</v>
      </c>
      <c r="D31" s="287">
        <v>1</v>
      </c>
      <c r="E31" s="288">
        <v>10000000</v>
      </c>
      <c r="F31" s="289">
        <f>IF(E31=0,0,E31/'[1]Country details'!$C$6)</f>
        <v>1000</v>
      </c>
      <c r="G31" s="290">
        <f>IF(C31=0,0,C31*D31*E31)</f>
        <v>10000000</v>
      </c>
      <c r="H31" s="291">
        <f t="shared" ref="H31:H36" si="6">IF(C31=0,0,C31*D31*F31)</f>
        <v>1000</v>
      </c>
      <c r="I31" s="367">
        <f t="shared" ref="I31:I37" si="7">IF(H31=0,0,H31/$H$58)</f>
        <v>1.8012176231132247E-2</v>
      </c>
    </row>
    <row r="32" spans="2:11">
      <c r="B32" s="10" t="s">
        <v>754</v>
      </c>
      <c r="C32" s="287">
        <v>1</v>
      </c>
      <c r="D32" s="287">
        <v>1</v>
      </c>
      <c r="E32" s="288">
        <v>10000000</v>
      </c>
      <c r="F32" s="289">
        <f>IF(E32=0,0,E32/'[1]Country details'!$C$6)</f>
        <v>1000</v>
      </c>
      <c r="G32" s="290">
        <f t="shared" ref="G32:G48" si="8">IF(C32=0,0,C32*D32*E32)</f>
        <v>10000000</v>
      </c>
      <c r="H32" s="291">
        <f t="shared" si="6"/>
        <v>1000</v>
      </c>
      <c r="I32" s="367">
        <f t="shared" si="7"/>
        <v>1.8012176231132247E-2</v>
      </c>
    </row>
    <row r="33" spans="2:11">
      <c r="B33" s="10" t="s">
        <v>755</v>
      </c>
      <c r="C33" s="287">
        <v>1</v>
      </c>
      <c r="D33" s="287">
        <v>1</v>
      </c>
      <c r="E33" s="288">
        <v>10000000</v>
      </c>
      <c r="F33" s="289">
        <f>IF(E33=0,0,E33/'[1]Country details'!$C$6)</f>
        <v>1000</v>
      </c>
      <c r="G33" s="290">
        <f t="shared" si="8"/>
        <v>10000000</v>
      </c>
      <c r="H33" s="291">
        <f t="shared" si="6"/>
        <v>1000</v>
      </c>
      <c r="I33" s="367">
        <f t="shared" si="7"/>
        <v>1.8012176231132247E-2</v>
      </c>
    </row>
    <row r="34" spans="2:11">
      <c r="B34" s="10" t="s">
        <v>756</v>
      </c>
      <c r="C34" s="287">
        <v>1</v>
      </c>
      <c r="D34" s="287">
        <v>1</v>
      </c>
      <c r="E34" s="288">
        <v>10000000</v>
      </c>
      <c r="F34" s="289">
        <f>IF(E34=0,0,E34/'[1]Country details'!$C$6)</f>
        <v>1000</v>
      </c>
      <c r="G34" s="290">
        <f t="shared" si="8"/>
        <v>10000000</v>
      </c>
      <c r="H34" s="291">
        <f t="shared" si="6"/>
        <v>1000</v>
      </c>
      <c r="I34" s="367">
        <f t="shared" si="7"/>
        <v>1.8012176231132247E-2</v>
      </c>
    </row>
    <row r="35" spans="2:11">
      <c r="B35" s="10" t="s">
        <v>757</v>
      </c>
      <c r="C35" s="287">
        <v>1</v>
      </c>
      <c r="D35" s="287">
        <v>1</v>
      </c>
      <c r="E35" s="288">
        <v>10000000</v>
      </c>
      <c r="F35" s="289">
        <f>IF(E35=0,0,E35/'[1]Country details'!$C$6)</f>
        <v>1000</v>
      </c>
      <c r="G35" s="290">
        <f t="shared" si="8"/>
        <v>10000000</v>
      </c>
      <c r="H35" s="291">
        <f t="shared" si="6"/>
        <v>1000</v>
      </c>
      <c r="I35" s="367">
        <f t="shared" si="7"/>
        <v>1.8012176231132247E-2</v>
      </c>
    </row>
    <row r="36" spans="2:11">
      <c r="B36" s="11" t="s">
        <v>758</v>
      </c>
      <c r="C36" s="287">
        <v>1</v>
      </c>
      <c r="D36" s="287">
        <v>1</v>
      </c>
      <c r="E36" s="293">
        <v>10000000</v>
      </c>
      <c r="F36" s="294">
        <f>IF(E36=0,0,E36/'[1]Country details'!$C$6)</f>
        <v>1000</v>
      </c>
      <c r="G36" s="295">
        <f t="shared" si="8"/>
        <v>10000000</v>
      </c>
      <c r="H36" s="296">
        <f t="shared" si="6"/>
        <v>1000</v>
      </c>
      <c r="I36" s="367">
        <f t="shared" si="7"/>
        <v>1.8012176231132247E-2</v>
      </c>
    </row>
    <row r="37" spans="2:11">
      <c r="B37" s="19" t="s">
        <v>669</v>
      </c>
      <c r="C37" s="370"/>
      <c r="D37" s="370"/>
      <c r="E37" s="371"/>
      <c r="F37" s="308"/>
      <c r="G37" s="315">
        <f>SUM(G31:G36)</f>
        <v>60000000</v>
      </c>
      <c r="H37" s="309">
        <f>SUM(H31:H36)</f>
        <v>6000</v>
      </c>
      <c r="I37" s="363">
        <f t="shared" si="7"/>
        <v>0.10807305738679347</v>
      </c>
    </row>
    <row r="38" spans="2:11">
      <c r="E38" s="316"/>
      <c r="F38" s="31"/>
      <c r="G38" s="316"/>
      <c r="H38" s="31"/>
      <c r="I38" s="361"/>
    </row>
    <row r="39" spans="2:11">
      <c r="B39" s="19" t="s">
        <v>759</v>
      </c>
      <c r="C39" s="304"/>
      <c r="D39" s="304"/>
      <c r="E39" s="317"/>
      <c r="F39" s="369"/>
      <c r="G39" s="317"/>
      <c r="H39" s="32"/>
      <c r="I39" s="365"/>
    </row>
    <row r="40" spans="2:11">
      <c r="B40" s="10" t="s">
        <v>760</v>
      </c>
      <c r="C40" s="287">
        <v>1</v>
      </c>
      <c r="D40" s="287">
        <v>1</v>
      </c>
      <c r="E40" s="288">
        <v>10000000</v>
      </c>
      <c r="F40" s="289">
        <f>IF(E40=0,0,E40/'[1]Country details'!$C$6)</f>
        <v>1000</v>
      </c>
      <c r="G40" s="290">
        <f t="shared" si="8"/>
        <v>10000000</v>
      </c>
      <c r="H40" s="291">
        <f>IF(C40=0,0,C40*D40*F40)</f>
        <v>1000</v>
      </c>
      <c r="I40" s="367">
        <f>IF(H40=0,0,H40/$H$58)</f>
        <v>1.8012176231132247E-2</v>
      </c>
      <c r="K40" t="s">
        <v>761</v>
      </c>
    </row>
    <row r="41" spans="2:11">
      <c r="B41" s="10" t="s">
        <v>762</v>
      </c>
      <c r="C41" s="287">
        <v>1</v>
      </c>
      <c r="D41" s="287">
        <v>1</v>
      </c>
      <c r="E41" s="288">
        <v>10000000</v>
      </c>
      <c r="F41" s="289">
        <f>IF(E41=0,0,E41/'[1]Country details'!$C$6)</f>
        <v>1000</v>
      </c>
      <c r="G41" s="290">
        <f t="shared" si="8"/>
        <v>10000000</v>
      </c>
      <c r="H41" s="291">
        <f>IF(C41=0,0,C41*D41*F41)</f>
        <v>1000</v>
      </c>
      <c r="I41" s="367">
        <f>IF(H41=0,0,H41/$H$58)</f>
        <v>1.8012176231132247E-2</v>
      </c>
    </row>
    <row r="42" spans="2:11">
      <c r="B42" s="10" t="s">
        <v>763</v>
      </c>
      <c r="C42" s="287">
        <v>1</v>
      </c>
      <c r="D42" s="287">
        <v>1</v>
      </c>
      <c r="E42" s="288">
        <v>10000000</v>
      </c>
      <c r="F42" s="289">
        <f>IF(E42=0,0,E42/'[1]Country details'!$C$6)</f>
        <v>1000</v>
      </c>
      <c r="G42" s="290">
        <f t="shared" si="8"/>
        <v>10000000</v>
      </c>
      <c r="H42" s="291">
        <f>IF(C42=0,0,C42*D42*F42)</f>
        <v>1000</v>
      </c>
      <c r="I42" s="367">
        <f>IF(H42=0,0,H42/$H$58)</f>
        <v>1.8012176231132247E-2</v>
      </c>
    </row>
    <row r="43" spans="2:11">
      <c r="B43" s="11" t="s">
        <v>764</v>
      </c>
      <c r="C43" s="292">
        <v>1</v>
      </c>
      <c r="D43" s="292">
        <v>1</v>
      </c>
      <c r="E43" s="293">
        <v>10000000</v>
      </c>
      <c r="F43" s="294">
        <f>IF(E43=0,0,E43/'[1]Country details'!$C$6)</f>
        <v>1000</v>
      </c>
      <c r="G43" s="295">
        <f t="shared" si="8"/>
        <v>10000000</v>
      </c>
      <c r="H43" s="296">
        <f>IF(C43=0,0,C43*D43*F43)</f>
        <v>1000</v>
      </c>
      <c r="I43" s="367">
        <f>IF(H43=0,0,H43/$H$58)</f>
        <v>1.8012176231132247E-2</v>
      </c>
    </row>
    <row r="44" spans="2:11">
      <c r="B44" s="19" t="s">
        <v>669</v>
      </c>
      <c r="C44" s="370"/>
      <c r="D44" s="370"/>
      <c r="E44" s="371"/>
      <c r="F44" s="308"/>
      <c r="G44" s="315">
        <f>SUM(G40:G43)</f>
        <v>40000000</v>
      </c>
      <c r="H44" s="309">
        <f>SUM(H40:H43)</f>
        <v>4000</v>
      </c>
      <c r="I44" s="363">
        <f>IF(H44=0,0,H44/$H$58)</f>
        <v>7.2048704924528986E-2</v>
      </c>
    </row>
    <row r="45" spans="2:11">
      <c r="E45" s="316"/>
      <c r="F45" s="31"/>
      <c r="G45" s="316"/>
      <c r="H45" s="31"/>
      <c r="I45" s="361"/>
    </row>
    <row r="46" spans="2:11">
      <c r="B46" s="19" t="s">
        <v>948</v>
      </c>
      <c r="C46" s="303"/>
      <c r="D46" s="303"/>
      <c r="E46" s="317"/>
      <c r="F46" s="372"/>
      <c r="G46" s="317"/>
      <c r="H46" s="373"/>
      <c r="I46" s="374"/>
    </row>
    <row r="47" spans="2:11">
      <c r="B47" s="10" t="s">
        <v>765</v>
      </c>
      <c r="C47" s="287">
        <v>1</v>
      </c>
      <c r="D47" s="287">
        <v>1</v>
      </c>
      <c r="E47" s="288">
        <v>100000000</v>
      </c>
      <c r="F47" s="289">
        <f>IF(E47=0,0,E47/'[1]Country details'!$C$6)</f>
        <v>10000</v>
      </c>
      <c r="G47" s="290">
        <f t="shared" si="8"/>
        <v>100000000</v>
      </c>
      <c r="H47" s="291">
        <f>IF(C47=0,0,C47*D47*F47)</f>
        <v>10000</v>
      </c>
      <c r="I47" s="367">
        <f>IF(H47=0,0,H47/$H$58)</f>
        <v>0.18012176231132246</v>
      </c>
      <c r="K47" t="s">
        <v>766</v>
      </c>
    </row>
    <row r="48" spans="2:11">
      <c r="B48" s="11" t="s">
        <v>26</v>
      </c>
      <c r="C48" s="292">
        <v>1</v>
      </c>
      <c r="D48" s="292">
        <v>1</v>
      </c>
      <c r="E48" s="293">
        <v>100000000</v>
      </c>
      <c r="F48" s="294">
        <f>IF(E48=0,0,E48/'[1]Country details'!$C$6)</f>
        <v>10000</v>
      </c>
      <c r="G48" s="295">
        <f t="shared" si="8"/>
        <v>100000000</v>
      </c>
      <c r="H48" s="296">
        <f>IF(C48=0,0,C48*D48*F48)</f>
        <v>10000</v>
      </c>
      <c r="I48" s="367">
        <f>IF(H48=0,0,H48/$H$58)</f>
        <v>0.18012176231132246</v>
      </c>
    </row>
    <row r="49" spans="2:11">
      <c r="B49" s="19" t="s">
        <v>669</v>
      </c>
      <c r="C49" s="370"/>
      <c r="D49" s="370"/>
      <c r="E49" s="371"/>
      <c r="F49" s="308"/>
      <c r="G49" s="315">
        <f>SUM(G47:G48)</f>
        <v>200000000</v>
      </c>
      <c r="H49" s="309">
        <f>SUM(H47:H48)</f>
        <v>20000</v>
      </c>
      <c r="I49" s="363">
        <f>IF(H49=0,0,H49/$H$58)</f>
        <v>0.36024352462264492</v>
      </c>
    </row>
    <row r="50" spans="2:11">
      <c r="I50" s="34"/>
    </row>
    <row r="51" spans="2:11">
      <c r="B51" s="19" t="s">
        <v>767</v>
      </c>
      <c r="C51" s="304"/>
      <c r="D51" s="304"/>
      <c r="E51" s="304"/>
      <c r="F51" s="304"/>
      <c r="G51" s="304"/>
      <c r="H51" s="17"/>
      <c r="I51" s="365"/>
    </row>
    <row r="52" spans="2:11">
      <c r="B52" s="10" t="s">
        <v>768</v>
      </c>
      <c r="C52" s="287">
        <v>1</v>
      </c>
      <c r="D52" s="287">
        <v>1</v>
      </c>
      <c r="E52" s="288">
        <v>10000000</v>
      </c>
      <c r="F52" s="289">
        <f>IF(E52=0,0,E52/'[1]Country details'!$C$6)</f>
        <v>1000</v>
      </c>
      <c r="G52" s="295">
        <f>IF(C52=0,0,C52*D52*E52)</f>
        <v>10000000</v>
      </c>
      <c r="H52" s="291">
        <f>IF(C52=0,0,C52*D52*F52)</f>
        <v>1000</v>
      </c>
      <c r="I52" s="367">
        <f>IF(H52=0,0,H52/$H$58)</f>
        <v>1.8012176231132247E-2</v>
      </c>
      <c r="K52" t="s">
        <v>766</v>
      </c>
    </row>
    <row r="53" spans="2:11">
      <c r="B53" s="19" t="s">
        <v>669</v>
      </c>
      <c r="C53" s="303"/>
      <c r="D53" s="303"/>
      <c r="E53" s="303"/>
      <c r="F53" s="375"/>
      <c r="G53" s="315">
        <f>SUM(G52:G52)</f>
        <v>10000000</v>
      </c>
      <c r="H53" s="327">
        <f>SUM(H52:H52)</f>
        <v>1000</v>
      </c>
      <c r="I53" s="363">
        <f>IF(H53=0,0,H53/$H$58)</f>
        <v>1.8012176231132247E-2</v>
      </c>
    </row>
    <row r="54" spans="2:11">
      <c r="I54" s="34"/>
    </row>
    <row r="55" spans="2:11">
      <c r="B55" s="19" t="s">
        <v>769</v>
      </c>
      <c r="C55" s="304"/>
      <c r="D55" s="304"/>
      <c r="E55" s="304"/>
      <c r="F55" s="304"/>
      <c r="G55" s="304"/>
      <c r="H55" s="17"/>
      <c r="I55" s="365"/>
    </row>
    <row r="56" spans="2:11">
      <c r="B56" s="10" t="s">
        <v>768</v>
      </c>
      <c r="C56" s="287">
        <v>1</v>
      </c>
      <c r="D56" s="287">
        <v>1</v>
      </c>
      <c r="E56" s="288">
        <v>1000000</v>
      </c>
      <c r="F56" s="289">
        <f>IF(E56=0,0,E56/'[1]Country details'!$C$6)</f>
        <v>100</v>
      </c>
      <c r="G56" s="295">
        <f>IF(C56=0,0,C56*D56*E56)</f>
        <v>1000000</v>
      </c>
      <c r="H56" s="291">
        <f>IF(C56=0,0,C56*D56*F56)</f>
        <v>100</v>
      </c>
      <c r="I56" s="367">
        <f>IF(H56=0,0,H56/$H$58)</f>
        <v>1.8012176231132246E-3</v>
      </c>
      <c r="K56" t="s">
        <v>766</v>
      </c>
    </row>
    <row r="57" spans="2:11">
      <c r="B57" s="273" t="s">
        <v>669</v>
      </c>
      <c r="C57" s="376"/>
      <c r="D57" s="376"/>
      <c r="E57" s="376"/>
      <c r="F57" s="377"/>
      <c r="G57" s="378">
        <f>SUM(G56:G56)</f>
        <v>1000000</v>
      </c>
      <c r="H57" s="379">
        <f>SUM(H56:H56)</f>
        <v>100</v>
      </c>
      <c r="I57" s="363">
        <f>IF(H57=0,0,H57/$H$58)</f>
        <v>1.8012176231132246E-3</v>
      </c>
    </row>
    <row r="58" spans="2:11">
      <c r="B58" s="27" t="s">
        <v>770</v>
      </c>
      <c r="C58" s="304"/>
      <c r="D58" s="304"/>
      <c r="E58" s="304"/>
      <c r="F58" s="304"/>
      <c r="G58" s="317">
        <f>G4+G16+G28+G37+G44+G49+G53+G57</f>
        <v>555180000</v>
      </c>
      <c r="H58" s="380">
        <f>H4+H16+H28+H37+H44+H49+H53+H57</f>
        <v>55518</v>
      </c>
      <c r="I58" s="17"/>
    </row>
  </sheetData>
  <hyperlinks>
    <hyperlink ref="B2" location="Menu!A1" display="Operations" xr:uid="{82A077D6-1744-7643-AE0E-563A21250071}"/>
  </hyperlinks>
  <pageMargins left="0.7" right="0.7" top="0.75" bottom="0.75" header="0.3" footer="0.3"/>
  <ignoredErrors>
    <ignoredError sqref="G7:H15 G20:H20 G31:H36 G40:H43 G47:H47 G4:H4 G53:H55 G48:H51 G21:H27 H52 H56" emptyCellReferenc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E7D8B-BBEA-0B42-9F29-C64992359326}">
  <dimension ref="A1:N38"/>
  <sheetViews>
    <sheetView showGridLines="0" workbookViewId="0">
      <selection activeCell="G46" sqref="G46"/>
    </sheetView>
  </sheetViews>
  <sheetFormatPr baseColWidth="10" defaultRowHeight="14"/>
  <cols>
    <col min="1" max="1" width="23.33203125" customWidth="1"/>
  </cols>
  <sheetData>
    <row r="1" spans="1:14">
      <c r="A1" s="96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5">
      <c r="A2" s="277" t="s">
        <v>612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</row>
    <row r="3" spans="1:14" ht="75">
      <c r="A3" s="381"/>
      <c r="B3" s="382" t="s">
        <v>771</v>
      </c>
      <c r="C3" s="382" t="s">
        <v>772</v>
      </c>
      <c r="D3" s="382" t="s">
        <v>773</v>
      </c>
      <c r="E3" s="382" t="s">
        <v>774</v>
      </c>
      <c r="F3" s="382" t="s">
        <v>775</v>
      </c>
      <c r="G3" s="382" t="s">
        <v>776</v>
      </c>
      <c r="H3" s="382" t="s">
        <v>777</v>
      </c>
      <c r="I3" s="382" t="s">
        <v>778</v>
      </c>
      <c r="J3" s="382" t="s">
        <v>779</v>
      </c>
      <c r="K3" s="382" t="s">
        <v>780</v>
      </c>
      <c r="L3" s="382" t="s">
        <v>692</v>
      </c>
      <c r="M3" s="383" t="s">
        <v>664</v>
      </c>
      <c r="N3" s="384" t="s">
        <v>3</v>
      </c>
    </row>
    <row r="4" spans="1:14">
      <c r="A4" s="485" t="s">
        <v>781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7"/>
      <c r="N4" s="96" t="s">
        <v>782</v>
      </c>
    </row>
    <row r="5" spans="1:14">
      <c r="A5" s="385" t="s">
        <v>783</v>
      </c>
      <c r="B5" s="386">
        <v>0</v>
      </c>
      <c r="C5" s="386">
        <v>0</v>
      </c>
      <c r="D5" s="387">
        <v>0</v>
      </c>
      <c r="E5" s="412">
        <f>IF(D5=0,0,D5/exchange_rate)</f>
        <v>0</v>
      </c>
      <c r="F5" s="389">
        <f>IF(B5=0,0,B5*C5*D5)</f>
        <v>0</v>
      </c>
      <c r="G5" s="388">
        <f>F5/exchange_rate</f>
        <v>0</v>
      </c>
      <c r="H5" s="387">
        <v>0</v>
      </c>
      <c r="I5" s="388">
        <f>IF(H5=0,0,H5/exchange_rate)</f>
        <v>0</v>
      </c>
      <c r="J5" s="389">
        <f>IF(B5=0,0,B5*H5)</f>
        <v>0</v>
      </c>
      <c r="K5" s="388">
        <f>IF(J5=0,0,J5/exchange_rate)</f>
        <v>0</v>
      </c>
      <c r="L5" s="389">
        <f>J5+F5</f>
        <v>0</v>
      </c>
      <c r="M5" s="390">
        <f>IF(L5=0,0,L5/exchange_rate)</f>
        <v>0</v>
      </c>
      <c r="N5" s="96" t="s">
        <v>784</v>
      </c>
    </row>
    <row r="6" spans="1:14">
      <c r="A6" s="99" t="s">
        <v>787</v>
      </c>
      <c r="B6" s="419">
        <v>0</v>
      </c>
      <c r="C6" s="419">
        <v>0</v>
      </c>
      <c r="D6" s="420">
        <v>0</v>
      </c>
      <c r="E6" s="413">
        <f>IF(D6=0,0,D6/exchange_rate)</f>
        <v>0</v>
      </c>
      <c r="F6" s="418">
        <f>IF(B6=0,0,B6*C6*D6)</f>
        <v>0</v>
      </c>
      <c r="G6" s="414">
        <f>F6/exchange_rate</f>
        <v>0</v>
      </c>
      <c r="H6" s="420">
        <v>0</v>
      </c>
      <c r="I6" s="414">
        <f>IF(H6=0,0,H6/exchange_rate)</f>
        <v>0</v>
      </c>
      <c r="J6" s="418">
        <f>IF(B6=0,0,B6*H6)</f>
        <v>0</v>
      </c>
      <c r="K6" s="414">
        <f>IF(J6=0,0,J6/exchange_rate)</f>
        <v>0</v>
      </c>
      <c r="L6" s="418">
        <f>J6+F6</f>
        <v>0</v>
      </c>
      <c r="M6" s="391">
        <f>IF(L6=0,0,L6/exchange_rate)</f>
        <v>0</v>
      </c>
      <c r="N6" s="96"/>
    </row>
    <row r="7" spans="1:14">
      <c r="A7" s="200" t="s">
        <v>632</v>
      </c>
      <c r="B7" s="392"/>
      <c r="C7" s="392"/>
      <c r="D7" s="392"/>
      <c r="E7" s="392"/>
      <c r="F7" s="393">
        <f t="shared" ref="F7:M7" si="0">SUM(F5:F6)</f>
        <v>0</v>
      </c>
      <c r="G7" s="394">
        <f t="shared" si="0"/>
        <v>0</v>
      </c>
      <c r="H7" s="397">
        <f t="shared" si="0"/>
        <v>0</v>
      </c>
      <c r="I7" s="415">
        <f t="shared" si="0"/>
        <v>0</v>
      </c>
      <c r="J7" s="393">
        <f t="shared" si="0"/>
        <v>0</v>
      </c>
      <c r="K7" s="394">
        <f t="shared" si="0"/>
        <v>0</v>
      </c>
      <c r="L7" s="393">
        <f t="shared" si="0"/>
        <v>0</v>
      </c>
      <c r="M7" s="395">
        <f t="shared" si="0"/>
        <v>0</v>
      </c>
      <c r="N7" s="96"/>
    </row>
    <row r="8" spans="1:14">
      <c r="A8" s="488" t="s">
        <v>788</v>
      </c>
      <c r="B8" s="489"/>
      <c r="C8" s="489"/>
      <c r="D8" s="489"/>
      <c r="E8" s="489"/>
      <c r="F8" s="489"/>
      <c r="G8" s="489"/>
      <c r="H8" s="489"/>
      <c r="I8" s="489"/>
      <c r="J8" s="489"/>
      <c r="K8" s="489"/>
      <c r="L8" s="489"/>
      <c r="M8" s="490"/>
      <c r="N8" s="96"/>
    </row>
    <row r="9" spans="1:14">
      <c r="A9" s="491"/>
      <c r="B9" s="492"/>
      <c r="C9" s="492"/>
      <c r="D9" s="492"/>
      <c r="E9" s="492"/>
      <c r="F9" s="492"/>
      <c r="G9" s="492"/>
      <c r="H9" s="492"/>
      <c r="I9" s="492"/>
      <c r="J9" s="492"/>
      <c r="K9" s="492"/>
      <c r="L9" s="492"/>
      <c r="M9" s="493"/>
      <c r="N9" s="96"/>
    </row>
    <row r="10" spans="1:14">
      <c r="A10" s="385" t="s">
        <v>789</v>
      </c>
      <c r="B10" s="386">
        <v>0</v>
      </c>
      <c r="C10" s="386">
        <v>0</v>
      </c>
      <c r="D10" s="387">
        <v>0</v>
      </c>
      <c r="E10" s="412">
        <f>IF(D10=0,0,D10/exchange_rate)</f>
        <v>0</v>
      </c>
      <c r="F10" s="389">
        <f>IF(B10=0,0,B10*C10*D10)</f>
        <v>0</v>
      </c>
      <c r="G10" s="388">
        <f>F10/exchange_rate</f>
        <v>0</v>
      </c>
      <c r="H10" s="387">
        <v>0</v>
      </c>
      <c r="I10" s="388">
        <f>IF(H10=0,0,H10/exchange_rate)</f>
        <v>0</v>
      </c>
      <c r="J10" s="389">
        <f>IF(B10=0,0,B10*H10)</f>
        <v>0</v>
      </c>
      <c r="K10" s="388">
        <f>IF(J10=0,0,J10/exchange_rate)</f>
        <v>0</v>
      </c>
      <c r="L10" s="389">
        <f>J10+F10</f>
        <v>0</v>
      </c>
      <c r="M10" s="390">
        <f>IF(L10=0,0,L10/exchange_rate)</f>
        <v>0</v>
      </c>
      <c r="N10" s="96"/>
    </row>
    <row r="11" spans="1:14">
      <c r="A11" s="99" t="s">
        <v>790</v>
      </c>
      <c r="B11" s="419">
        <v>0</v>
      </c>
      <c r="C11" s="419">
        <v>0</v>
      </c>
      <c r="D11" s="420">
        <v>0</v>
      </c>
      <c r="E11" s="413">
        <f>IF(D11=0,0,D11/exchange_rate)</f>
        <v>0</v>
      </c>
      <c r="F11" s="418">
        <f>IF(B11=0,0,B11*C11*D11)</f>
        <v>0</v>
      </c>
      <c r="G11" s="414">
        <f>F11/exchange_rate</f>
        <v>0</v>
      </c>
      <c r="H11" s="420">
        <v>0</v>
      </c>
      <c r="I11" s="414">
        <f>IF(H11=0,0,H11/exchange_rate)</f>
        <v>0</v>
      </c>
      <c r="J11" s="418">
        <f>IF(B11=0,0,B11*H11)</f>
        <v>0</v>
      </c>
      <c r="K11" s="414">
        <f>IF(J11=0,0,J11/exchange_rate)</f>
        <v>0</v>
      </c>
      <c r="L11" s="418">
        <f>J11+F11</f>
        <v>0</v>
      </c>
      <c r="M11" s="391">
        <f>IF(L11=0,0,L11/exchange_rate)</f>
        <v>0</v>
      </c>
      <c r="N11" s="96"/>
    </row>
    <row r="12" spans="1:14">
      <c r="A12" s="99" t="s">
        <v>12</v>
      </c>
      <c r="B12" s="419">
        <v>0</v>
      </c>
      <c r="C12" s="419">
        <v>0</v>
      </c>
      <c r="D12" s="420">
        <v>0</v>
      </c>
      <c r="E12" s="413">
        <f>IF(D12=0,0,D12/exchange_rate)</f>
        <v>0</v>
      </c>
      <c r="F12" s="418">
        <f>IF(B12=0,0,B12*C12*D12)</f>
        <v>0</v>
      </c>
      <c r="G12" s="414">
        <f>F12/exchange_rate</f>
        <v>0</v>
      </c>
      <c r="H12" s="420">
        <v>0</v>
      </c>
      <c r="I12" s="414">
        <f>IF(H12=0,0,H12/exchange_rate)</f>
        <v>0</v>
      </c>
      <c r="J12" s="418">
        <f>IF(B12=0,0,B12*H12)</f>
        <v>0</v>
      </c>
      <c r="K12" s="414">
        <f>IF(J12=0,0,J12/exchange_rate)</f>
        <v>0</v>
      </c>
      <c r="L12" s="418">
        <f>J12+F12</f>
        <v>0</v>
      </c>
      <c r="M12" s="391">
        <f>IF(L12=0,0,L12/exchange_rate)</f>
        <v>0</v>
      </c>
      <c r="N12" s="96"/>
    </row>
    <row r="13" spans="1:14">
      <c r="A13" s="200" t="s">
        <v>632</v>
      </c>
      <c r="B13" s="396"/>
      <c r="C13" s="396"/>
      <c r="D13" s="396"/>
      <c r="E13" s="396"/>
      <c r="F13" s="393">
        <f t="shared" ref="F13:M13" si="1">SUM(F10:F12)</f>
        <v>0</v>
      </c>
      <c r="G13" s="394">
        <f t="shared" si="1"/>
        <v>0</v>
      </c>
      <c r="H13" s="416">
        <f t="shared" si="1"/>
        <v>0</v>
      </c>
      <c r="I13" s="417">
        <f t="shared" si="1"/>
        <v>0</v>
      </c>
      <c r="J13" s="393">
        <f t="shared" si="1"/>
        <v>0</v>
      </c>
      <c r="K13" s="394">
        <f t="shared" si="1"/>
        <v>0</v>
      </c>
      <c r="L13" s="393">
        <f t="shared" si="1"/>
        <v>0</v>
      </c>
      <c r="M13" s="395">
        <f t="shared" si="1"/>
        <v>0</v>
      </c>
      <c r="N13" s="96"/>
    </row>
    <row r="14" spans="1:14">
      <c r="A14" s="488" t="s">
        <v>791</v>
      </c>
      <c r="B14" s="489"/>
      <c r="C14" s="489"/>
      <c r="D14" s="489"/>
      <c r="E14" s="489"/>
      <c r="F14" s="489"/>
      <c r="G14" s="489"/>
      <c r="H14" s="489"/>
      <c r="I14" s="489"/>
      <c r="J14" s="489"/>
      <c r="K14" s="489"/>
      <c r="L14" s="489"/>
      <c r="M14" s="490"/>
      <c r="N14" s="96"/>
    </row>
    <row r="15" spans="1:14">
      <c r="A15" s="491"/>
      <c r="B15" s="492"/>
      <c r="C15" s="492"/>
      <c r="D15" s="492"/>
      <c r="E15" s="492"/>
      <c r="F15" s="492"/>
      <c r="G15" s="492"/>
      <c r="H15" s="492"/>
      <c r="I15" s="492"/>
      <c r="J15" s="492"/>
      <c r="K15" s="492"/>
      <c r="L15" s="492"/>
      <c r="M15" s="493"/>
      <c r="N15" s="96"/>
    </row>
    <row r="16" spans="1:14">
      <c r="A16" s="385" t="s">
        <v>789</v>
      </c>
      <c r="B16" s="386">
        <v>0</v>
      </c>
      <c r="C16" s="386">
        <v>0</v>
      </c>
      <c r="D16" s="387">
        <v>0</v>
      </c>
      <c r="E16" s="412">
        <f>IF(D16=0,0,D16/exchange_rate)</f>
        <v>0</v>
      </c>
      <c r="F16" s="389">
        <f>IF(B16=0,0,B16*C16*D16)</f>
        <v>0</v>
      </c>
      <c r="G16" s="388">
        <f>F16/exchange_rate</f>
        <v>0</v>
      </c>
      <c r="H16" s="387">
        <v>0</v>
      </c>
      <c r="I16" s="388">
        <f>IF(H16=0,0,H16/exchange_rate)</f>
        <v>0</v>
      </c>
      <c r="J16" s="389">
        <f>IF(B16=0,0,B16*H16)</f>
        <v>0</v>
      </c>
      <c r="K16" s="388">
        <f>IF(J16=0,0,J16/exchange_rate)</f>
        <v>0</v>
      </c>
      <c r="L16" s="389">
        <f>J16+F16</f>
        <v>0</v>
      </c>
      <c r="M16" s="390">
        <f>IF(L16=0,0,L16/exchange_rate)</f>
        <v>0</v>
      </c>
      <c r="N16" s="96"/>
    </row>
    <row r="17" spans="1:14">
      <c r="A17" s="99" t="s">
        <v>790</v>
      </c>
      <c r="B17" s="419">
        <v>0</v>
      </c>
      <c r="C17" s="419">
        <v>0</v>
      </c>
      <c r="D17" s="420">
        <v>0</v>
      </c>
      <c r="E17" s="413">
        <f>IF(D17=0,0,D17/exchange_rate)</f>
        <v>0</v>
      </c>
      <c r="F17" s="418">
        <f>IF(B17=0,0,B17*C17*D17)</f>
        <v>0</v>
      </c>
      <c r="G17" s="414">
        <f>F17/exchange_rate</f>
        <v>0</v>
      </c>
      <c r="H17" s="420">
        <v>0</v>
      </c>
      <c r="I17" s="414">
        <f>IF(H17=0,0,H17/exchange_rate)</f>
        <v>0</v>
      </c>
      <c r="J17" s="418">
        <f>IF(B17=0,0,B17*H17)</f>
        <v>0</v>
      </c>
      <c r="K17" s="414">
        <f>IF(J17=0,0,J17/exchange_rate)</f>
        <v>0</v>
      </c>
      <c r="L17" s="418">
        <f>J17+F17</f>
        <v>0</v>
      </c>
      <c r="M17" s="391">
        <f>IF(L17=0,0,L17/exchange_rate)</f>
        <v>0</v>
      </c>
      <c r="N17" s="96"/>
    </row>
    <row r="18" spans="1:14">
      <c r="A18" s="99" t="s">
        <v>12</v>
      </c>
      <c r="B18" s="419">
        <v>0</v>
      </c>
      <c r="C18" s="419">
        <v>0</v>
      </c>
      <c r="D18" s="420">
        <v>0</v>
      </c>
      <c r="E18" s="413">
        <f>IF(D18=0,0,D18/exchange_rate)</f>
        <v>0</v>
      </c>
      <c r="F18" s="418">
        <f>IF(B18=0,0,B18*C18*D18)</f>
        <v>0</v>
      </c>
      <c r="G18" s="414">
        <f>F18/exchange_rate</f>
        <v>0</v>
      </c>
      <c r="H18" s="420">
        <v>0</v>
      </c>
      <c r="I18" s="414">
        <f>IF(H18=0,0,H18/exchange_rate)</f>
        <v>0</v>
      </c>
      <c r="J18" s="418">
        <f>IF(B18=0,0,B18*H18)</f>
        <v>0</v>
      </c>
      <c r="K18" s="414">
        <f>IF(J18=0,0,J18/exchange_rate)</f>
        <v>0</v>
      </c>
      <c r="L18" s="418">
        <f>J18+F18</f>
        <v>0</v>
      </c>
      <c r="M18" s="391">
        <f>IF(L18=0,0,L18/exchange_rate)</f>
        <v>0</v>
      </c>
      <c r="N18" s="96" t="s">
        <v>784</v>
      </c>
    </row>
    <row r="19" spans="1:14">
      <c r="A19" s="99" t="s">
        <v>792</v>
      </c>
      <c r="B19" s="419">
        <v>0</v>
      </c>
      <c r="C19" s="419">
        <v>0</v>
      </c>
      <c r="D19" s="420">
        <v>0</v>
      </c>
      <c r="E19" s="413">
        <f>IF(D19=0,0,D19/exchange_rate)</f>
        <v>0</v>
      </c>
      <c r="F19" s="418">
        <f>IF(B19=0,0,B19*C19*D19)</f>
        <v>0</v>
      </c>
      <c r="G19" s="414">
        <f>F19/exchange_rate</f>
        <v>0</v>
      </c>
      <c r="H19" s="420">
        <v>0</v>
      </c>
      <c r="I19" s="414">
        <f>IF(H19=0,0,H19/exchange_rate)</f>
        <v>0</v>
      </c>
      <c r="J19" s="418">
        <f>IF(B19=0,0,B19*H19)</f>
        <v>0</v>
      </c>
      <c r="K19" s="414">
        <f>IF(J19=0,0,J19/exchange_rate)</f>
        <v>0</v>
      </c>
      <c r="L19" s="418">
        <f>J19+F19</f>
        <v>0</v>
      </c>
      <c r="M19" s="391">
        <f>IF(L19=0,0,L19/exchange_rate)</f>
        <v>0</v>
      </c>
      <c r="N19" s="96" t="s">
        <v>785</v>
      </c>
    </row>
    <row r="20" spans="1:14">
      <c r="A20" s="200" t="s">
        <v>632</v>
      </c>
      <c r="B20" s="392"/>
      <c r="C20" s="392"/>
      <c r="D20" s="392"/>
      <c r="E20" s="392"/>
      <c r="F20" s="393">
        <f t="shared" ref="F20:M20" si="2">SUM(F16:F19)</f>
        <v>0</v>
      </c>
      <c r="G20" s="394">
        <f t="shared" si="2"/>
        <v>0</v>
      </c>
      <c r="H20" s="397">
        <f t="shared" si="2"/>
        <v>0</v>
      </c>
      <c r="I20" s="415">
        <f t="shared" si="2"/>
        <v>0</v>
      </c>
      <c r="J20" s="393">
        <f t="shared" si="2"/>
        <v>0</v>
      </c>
      <c r="K20" s="394">
        <f t="shared" si="2"/>
        <v>0</v>
      </c>
      <c r="L20" s="393">
        <f t="shared" si="2"/>
        <v>0</v>
      </c>
      <c r="M20" s="395">
        <f t="shared" si="2"/>
        <v>0</v>
      </c>
      <c r="N20" s="96" t="s">
        <v>786</v>
      </c>
    </row>
    <row r="21" spans="1:14">
      <c r="A21" s="488" t="s">
        <v>2</v>
      </c>
      <c r="B21" s="489"/>
      <c r="C21" s="489"/>
      <c r="D21" s="489"/>
      <c r="E21" s="489"/>
      <c r="F21" s="489"/>
      <c r="G21" s="489"/>
      <c r="H21" s="489"/>
      <c r="I21" s="489"/>
      <c r="J21" s="489"/>
      <c r="K21" s="489"/>
      <c r="L21" s="489"/>
      <c r="M21" s="490"/>
      <c r="N21" s="96"/>
    </row>
    <row r="22" spans="1:14">
      <c r="A22" s="491"/>
      <c r="B22" s="492"/>
      <c r="C22" s="492"/>
      <c r="D22" s="492"/>
      <c r="E22" s="492"/>
      <c r="F22" s="492"/>
      <c r="G22" s="492"/>
      <c r="H22" s="492"/>
      <c r="I22" s="492"/>
      <c r="J22" s="492"/>
      <c r="K22" s="492"/>
      <c r="L22" s="492"/>
      <c r="M22" s="493"/>
      <c r="N22" s="96"/>
    </row>
    <row r="23" spans="1:14">
      <c r="A23" s="385" t="s">
        <v>793</v>
      </c>
      <c r="B23" s="386">
        <v>0</v>
      </c>
      <c r="C23" s="386">
        <v>0</v>
      </c>
      <c r="D23" s="387">
        <v>0</v>
      </c>
      <c r="E23" s="412">
        <f t="shared" ref="E23:E28" si="3">IF(D23=0,0,D23/exchange_rate)</f>
        <v>0</v>
      </c>
      <c r="F23" s="389">
        <f t="shared" ref="F23:F28" si="4">IF(B23=0,0,B23*C23*D23)</f>
        <v>0</v>
      </c>
      <c r="G23" s="388">
        <f t="shared" ref="G23:G28" si="5">F23/exchange_rate</f>
        <v>0</v>
      </c>
      <c r="H23" s="387">
        <v>0</v>
      </c>
      <c r="I23" s="388">
        <f t="shared" ref="I23:I28" si="6">IF(H23=0,0,H23/exchange_rate)</f>
        <v>0</v>
      </c>
      <c r="J23" s="389">
        <f t="shared" ref="J23:J28" si="7">IF(B23=0,0,B23*H23)</f>
        <v>0</v>
      </c>
      <c r="K23" s="388">
        <f t="shared" ref="K23:K28" si="8">IF(J23=0,0,J23/exchange_rate)</f>
        <v>0</v>
      </c>
      <c r="L23" s="389">
        <f t="shared" ref="L23:L28" si="9">J23+F23</f>
        <v>0</v>
      </c>
      <c r="M23" s="390">
        <f t="shared" ref="M23:M28" si="10">IF(L23=0,0,L23/exchange_rate)</f>
        <v>0</v>
      </c>
      <c r="N23" s="96" t="s">
        <v>794</v>
      </c>
    </row>
    <row r="24" spans="1:14">
      <c r="A24" s="99" t="s">
        <v>795</v>
      </c>
      <c r="B24" s="419">
        <v>0</v>
      </c>
      <c r="C24" s="419">
        <v>0</v>
      </c>
      <c r="D24" s="420">
        <v>0</v>
      </c>
      <c r="E24" s="413">
        <f t="shared" si="3"/>
        <v>0</v>
      </c>
      <c r="F24" s="418">
        <f t="shared" si="4"/>
        <v>0</v>
      </c>
      <c r="G24" s="414">
        <f t="shared" si="5"/>
        <v>0</v>
      </c>
      <c r="H24" s="420">
        <v>0</v>
      </c>
      <c r="I24" s="414">
        <f t="shared" si="6"/>
        <v>0</v>
      </c>
      <c r="J24" s="418">
        <f t="shared" si="7"/>
        <v>0</v>
      </c>
      <c r="K24" s="414">
        <f t="shared" si="8"/>
        <v>0</v>
      </c>
      <c r="L24" s="418">
        <f t="shared" si="9"/>
        <v>0</v>
      </c>
      <c r="M24" s="391">
        <f t="shared" si="10"/>
        <v>0</v>
      </c>
      <c r="N24" s="96"/>
    </row>
    <row r="25" spans="1:14">
      <c r="A25" s="99" t="s">
        <v>796</v>
      </c>
      <c r="B25" s="419">
        <v>0</v>
      </c>
      <c r="C25" s="419">
        <v>0</v>
      </c>
      <c r="D25" s="420">
        <v>0</v>
      </c>
      <c r="E25" s="413">
        <f t="shared" si="3"/>
        <v>0</v>
      </c>
      <c r="F25" s="418">
        <f t="shared" si="4"/>
        <v>0</v>
      </c>
      <c r="G25" s="414">
        <f t="shared" si="5"/>
        <v>0</v>
      </c>
      <c r="H25" s="420">
        <v>0</v>
      </c>
      <c r="I25" s="414">
        <f t="shared" si="6"/>
        <v>0</v>
      </c>
      <c r="J25" s="418">
        <f t="shared" si="7"/>
        <v>0</v>
      </c>
      <c r="K25" s="414">
        <f t="shared" si="8"/>
        <v>0</v>
      </c>
      <c r="L25" s="418">
        <f t="shared" si="9"/>
        <v>0</v>
      </c>
      <c r="M25" s="391">
        <f t="shared" si="10"/>
        <v>0</v>
      </c>
      <c r="N25" s="96"/>
    </row>
    <row r="26" spans="1:14">
      <c r="A26" s="99" t="s">
        <v>797</v>
      </c>
      <c r="B26" s="419">
        <v>0</v>
      </c>
      <c r="C26" s="419">
        <v>0</v>
      </c>
      <c r="D26" s="420">
        <v>0</v>
      </c>
      <c r="E26" s="413">
        <f t="shared" si="3"/>
        <v>0</v>
      </c>
      <c r="F26" s="418">
        <f t="shared" si="4"/>
        <v>0</v>
      </c>
      <c r="G26" s="414">
        <f t="shared" si="5"/>
        <v>0</v>
      </c>
      <c r="H26" s="420">
        <v>0</v>
      </c>
      <c r="I26" s="414">
        <f t="shared" si="6"/>
        <v>0</v>
      </c>
      <c r="J26" s="418">
        <f t="shared" si="7"/>
        <v>0</v>
      </c>
      <c r="K26" s="414">
        <f t="shared" si="8"/>
        <v>0</v>
      </c>
      <c r="L26" s="418">
        <f t="shared" si="9"/>
        <v>0</v>
      </c>
      <c r="M26" s="391">
        <f t="shared" si="10"/>
        <v>0</v>
      </c>
      <c r="N26" s="96"/>
    </row>
    <row r="27" spans="1:14">
      <c r="A27" s="99" t="s">
        <v>798</v>
      </c>
      <c r="B27" s="419">
        <v>0</v>
      </c>
      <c r="C27" s="419">
        <v>0</v>
      </c>
      <c r="D27" s="420">
        <v>0</v>
      </c>
      <c r="E27" s="413">
        <f t="shared" si="3"/>
        <v>0</v>
      </c>
      <c r="F27" s="418">
        <f t="shared" si="4"/>
        <v>0</v>
      </c>
      <c r="G27" s="414">
        <f t="shared" si="5"/>
        <v>0</v>
      </c>
      <c r="H27" s="420">
        <v>0</v>
      </c>
      <c r="I27" s="414">
        <f t="shared" si="6"/>
        <v>0</v>
      </c>
      <c r="J27" s="418">
        <f t="shared" si="7"/>
        <v>0</v>
      </c>
      <c r="K27" s="414">
        <f t="shared" si="8"/>
        <v>0</v>
      </c>
      <c r="L27" s="418">
        <f t="shared" si="9"/>
        <v>0</v>
      </c>
      <c r="M27" s="391">
        <f t="shared" si="10"/>
        <v>0</v>
      </c>
      <c r="N27" s="96"/>
    </row>
    <row r="28" spans="1:14">
      <c r="A28" s="99" t="s">
        <v>799</v>
      </c>
      <c r="B28" s="419">
        <v>0</v>
      </c>
      <c r="C28" s="419">
        <v>0</v>
      </c>
      <c r="D28" s="420">
        <v>0</v>
      </c>
      <c r="E28" s="413">
        <f t="shared" si="3"/>
        <v>0</v>
      </c>
      <c r="F28" s="418">
        <f t="shared" si="4"/>
        <v>0</v>
      </c>
      <c r="G28" s="414">
        <f t="shared" si="5"/>
        <v>0</v>
      </c>
      <c r="H28" s="420">
        <v>0</v>
      </c>
      <c r="I28" s="414">
        <f t="shared" si="6"/>
        <v>0</v>
      </c>
      <c r="J28" s="418">
        <f t="shared" si="7"/>
        <v>0</v>
      </c>
      <c r="K28" s="414">
        <f t="shared" si="8"/>
        <v>0</v>
      </c>
      <c r="L28" s="418">
        <f t="shared" si="9"/>
        <v>0</v>
      </c>
      <c r="M28" s="391">
        <f t="shared" si="10"/>
        <v>0</v>
      </c>
      <c r="N28" s="96"/>
    </row>
    <row r="29" spans="1:14">
      <c r="A29" s="200" t="s">
        <v>632</v>
      </c>
      <c r="B29" s="396"/>
      <c r="C29" s="396"/>
      <c r="D29" s="396"/>
      <c r="E29" s="396"/>
      <c r="F29" s="393">
        <f t="shared" ref="F29:M29" si="11">SUM(F23:F28)</f>
        <v>0</v>
      </c>
      <c r="G29" s="394">
        <f t="shared" si="11"/>
        <v>0</v>
      </c>
      <c r="H29" s="397">
        <f t="shared" si="11"/>
        <v>0</v>
      </c>
      <c r="I29" s="417">
        <f t="shared" si="11"/>
        <v>0</v>
      </c>
      <c r="J29" s="393">
        <f t="shared" si="11"/>
        <v>0</v>
      </c>
      <c r="K29" s="394">
        <f t="shared" si="11"/>
        <v>0</v>
      </c>
      <c r="L29" s="393">
        <f t="shared" si="11"/>
        <v>0</v>
      </c>
      <c r="M29" s="395">
        <f t="shared" si="11"/>
        <v>0</v>
      </c>
      <c r="N29" s="96"/>
    </row>
    <row r="30" spans="1:14">
      <c r="A30" s="488" t="s">
        <v>800</v>
      </c>
      <c r="B30" s="489"/>
      <c r="C30" s="489"/>
      <c r="D30" s="489"/>
      <c r="E30" s="489"/>
      <c r="F30" s="489"/>
      <c r="G30" s="489"/>
      <c r="H30" s="489"/>
      <c r="I30" s="489"/>
      <c r="J30" s="489"/>
      <c r="K30" s="489"/>
      <c r="L30" s="489"/>
      <c r="M30" s="490"/>
      <c r="N30" s="96"/>
    </row>
    <row r="31" spans="1:14">
      <c r="A31" s="491"/>
      <c r="B31" s="492"/>
      <c r="C31" s="492"/>
      <c r="D31" s="492"/>
      <c r="E31" s="492"/>
      <c r="F31" s="492"/>
      <c r="G31" s="492"/>
      <c r="H31" s="492"/>
      <c r="I31" s="492"/>
      <c r="J31" s="492"/>
      <c r="K31" s="492"/>
      <c r="L31" s="492"/>
      <c r="M31" s="493"/>
      <c r="N31" s="96"/>
    </row>
    <row r="32" spans="1:14">
      <c r="A32" s="398" t="s">
        <v>789</v>
      </c>
      <c r="B32" s="399">
        <v>0</v>
      </c>
      <c r="C32" s="399">
        <v>0</v>
      </c>
      <c r="D32" s="400">
        <v>0</v>
      </c>
      <c r="E32" s="412">
        <f>IF(D32=0,0,D32/exchange_rate)</f>
        <v>0</v>
      </c>
      <c r="F32" s="389">
        <f>IF(B32=0,0,B32*C32*D32)</f>
        <v>0</v>
      </c>
      <c r="G32" s="388">
        <f>F32/exchange_rate</f>
        <v>0</v>
      </c>
      <c r="H32" s="400">
        <v>0</v>
      </c>
      <c r="I32" s="388">
        <f>IF(H32=0,0,H32/exchange_rate)</f>
        <v>0</v>
      </c>
      <c r="J32" s="389">
        <f>IF(B32=0,0,B32*H32)</f>
        <v>0</v>
      </c>
      <c r="K32" s="388">
        <f>IF(J32=0,0,J32/exchange_rate)</f>
        <v>0</v>
      </c>
      <c r="L32" s="389">
        <f>J32+F32</f>
        <v>0</v>
      </c>
      <c r="M32" s="390">
        <f>IF(L32=0,0,L32/exchange_rate)</f>
        <v>0</v>
      </c>
      <c r="N32" s="96"/>
    </row>
    <row r="33" spans="1:14">
      <c r="A33" s="401" t="s">
        <v>790</v>
      </c>
      <c r="B33" s="421">
        <v>0</v>
      </c>
      <c r="C33" s="421">
        <v>0</v>
      </c>
      <c r="D33" s="422">
        <v>0</v>
      </c>
      <c r="E33" s="413">
        <f>IF(D33=0,0,D33/exchange_rate)</f>
        <v>0</v>
      </c>
      <c r="F33" s="418">
        <f>IF(B33=0,0,B33*C33*D33)</f>
        <v>0</v>
      </c>
      <c r="G33" s="414">
        <f>F33/exchange_rate</f>
        <v>0</v>
      </c>
      <c r="H33" s="422">
        <v>0</v>
      </c>
      <c r="I33" s="414">
        <f>IF(H33=0,0,H33/exchange_rate)</f>
        <v>0</v>
      </c>
      <c r="J33" s="418">
        <f>IF(B33=0,0,B33*H33)</f>
        <v>0</v>
      </c>
      <c r="K33" s="414">
        <f>IF(J33=0,0,J33/exchange_rate)</f>
        <v>0</v>
      </c>
      <c r="L33" s="418">
        <f>J33+F33</f>
        <v>0</v>
      </c>
      <c r="M33" s="391">
        <f>IF(L33=0,0,L33/exchange_rate)</f>
        <v>0</v>
      </c>
      <c r="N33" s="96"/>
    </row>
    <row r="34" spans="1:14">
      <c r="A34" s="401" t="s">
        <v>12</v>
      </c>
      <c r="B34" s="421">
        <v>0</v>
      </c>
      <c r="C34" s="421">
        <v>0</v>
      </c>
      <c r="D34" s="422">
        <v>0</v>
      </c>
      <c r="E34" s="413">
        <f>IF(D34=0,0,D34/exchange_rate)</f>
        <v>0</v>
      </c>
      <c r="F34" s="418">
        <f>IF(B34=0,0,B34*C34*D34)</f>
        <v>0</v>
      </c>
      <c r="G34" s="414">
        <f>F34/exchange_rate</f>
        <v>0</v>
      </c>
      <c r="H34" s="422">
        <v>0</v>
      </c>
      <c r="I34" s="414">
        <f>IF(H34=0,0,H34/exchange_rate)</f>
        <v>0</v>
      </c>
      <c r="J34" s="418">
        <f>IF(B34=0,0,B34*H34)</f>
        <v>0</v>
      </c>
      <c r="K34" s="414">
        <f>IF(J34=0,0,J34/exchange_rate)</f>
        <v>0</v>
      </c>
      <c r="L34" s="418">
        <f>J34+F34</f>
        <v>0</v>
      </c>
      <c r="M34" s="391">
        <f>IF(L34=0,0,L34/exchange_rate)</f>
        <v>0</v>
      </c>
      <c r="N34" s="96"/>
    </row>
    <row r="35" spans="1:14">
      <c r="A35" s="401" t="s">
        <v>792</v>
      </c>
      <c r="B35" s="421">
        <v>0</v>
      </c>
      <c r="C35" s="421">
        <v>0</v>
      </c>
      <c r="D35" s="422">
        <v>0</v>
      </c>
      <c r="E35" s="413">
        <f>IF(D35=0,0,D35/exchange_rate)</f>
        <v>0</v>
      </c>
      <c r="F35" s="418">
        <f>IF(B35=0,0,B35*C35*D35)</f>
        <v>0</v>
      </c>
      <c r="G35" s="414">
        <f>F35/exchange_rate</f>
        <v>0</v>
      </c>
      <c r="H35" s="422">
        <v>0</v>
      </c>
      <c r="I35" s="414">
        <f>IF(H35=0,0,H35/exchange_rate)</f>
        <v>0</v>
      </c>
      <c r="J35" s="418">
        <f>IF(B35=0,0,B35*H35)</f>
        <v>0</v>
      </c>
      <c r="K35" s="414">
        <f>IF(J35=0,0,J35/exchange_rate)</f>
        <v>0</v>
      </c>
      <c r="L35" s="418">
        <f>J35+F35</f>
        <v>0</v>
      </c>
      <c r="M35" s="391">
        <f>IF(L35=0,0,L35/exchange_rate)</f>
        <v>0</v>
      </c>
      <c r="N35" s="96"/>
    </row>
    <row r="36" spans="1:14">
      <c r="A36" s="200" t="s">
        <v>632</v>
      </c>
      <c r="B36" s="396"/>
      <c r="C36" s="396"/>
      <c r="D36" s="396"/>
      <c r="E36" s="396"/>
      <c r="F36" s="403">
        <f t="shared" ref="F36:M36" si="12">SUM(F32:F35)</f>
        <v>0</v>
      </c>
      <c r="G36" s="404">
        <f t="shared" si="12"/>
        <v>0</v>
      </c>
      <c r="H36" s="405">
        <f t="shared" si="12"/>
        <v>0</v>
      </c>
      <c r="I36" s="406">
        <f t="shared" si="12"/>
        <v>0</v>
      </c>
      <c r="J36" s="403">
        <f t="shared" si="12"/>
        <v>0</v>
      </c>
      <c r="K36" s="404">
        <f t="shared" si="12"/>
        <v>0</v>
      </c>
      <c r="L36" s="403">
        <f t="shared" si="12"/>
        <v>0</v>
      </c>
      <c r="M36" s="407">
        <f t="shared" si="12"/>
        <v>0</v>
      </c>
      <c r="N36" s="96"/>
    </row>
    <row r="37" spans="1:14">
      <c r="A37" s="401"/>
      <c r="B37" s="96"/>
      <c r="C37" s="96"/>
      <c r="D37" s="96"/>
      <c r="E37" s="96"/>
      <c r="F37" s="423"/>
      <c r="G37" s="424"/>
      <c r="H37" s="423"/>
      <c r="I37" s="424"/>
      <c r="J37" s="423"/>
      <c r="K37" s="424"/>
      <c r="L37" s="423"/>
      <c r="M37" s="402"/>
      <c r="N37" s="96"/>
    </row>
    <row r="38" spans="1:14">
      <c r="A38" s="200" t="s">
        <v>501</v>
      </c>
      <c r="B38" s="392"/>
      <c r="C38" s="392"/>
      <c r="D38" s="392"/>
      <c r="E38" s="392"/>
      <c r="F38" s="403">
        <f t="shared" ref="F38:M38" si="13">F7+F13+F20+F29+F36</f>
        <v>0</v>
      </c>
      <c r="G38" s="404">
        <f t="shared" si="13"/>
        <v>0</v>
      </c>
      <c r="H38" s="405">
        <f t="shared" si="13"/>
        <v>0</v>
      </c>
      <c r="I38" s="406">
        <f t="shared" si="13"/>
        <v>0</v>
      </c>
      <c r="J38" s="403">
        <f t="shared" si="13"/>
        <v>0</v>
      </c>
      <c r="K38" s="404">
        <f t="shared" si="13"/>
        <v>0</v>
      </c>
      <c r="L38" s="403">
        <f t="shared" si="13"/>
        <v>0</v>
      </c>
      <c r="M38" s="407">
        <f t="shared" si="13"/>
        <v>0</v>
      </c>
      <c r="N38" s="96"/>
    </row>
  </sheetData>
  <mergeCells count="5">
    <mergeCell ref="A4:M4"/>
    <mergeCell ref="A8:M9"/>
    <mergeCell ref="A14:M15"/>
    <mergeCell ref="A21:M22"/>
    <mergeCell ref="A30:M31"/>
  </mergeCells>
  <hyperlinks>
    <hyperlink ref="A2" r:id="rId1" location="Menu!A1" display="applewebdata://91BF1286-E3A5-406D-9536-8BAAC68CD8F1/ - Menu!A1" xr:uid="{6ABDF2C5-393E-C34B-8F85-63D547E4D4B5}"/>
  </hyperlinks>
  <pageMargins left="0.7" right="0.7" top="0.75" bottom="0.75" header="0.3" footer="0.3"/>
  <ignoredErrors>
    <ignoredError sqref="J5:J6 J10:J12 J16:J19 J23:J28 J32:J35 L5:L6 L10:L12 L16:L19 L23:L28 L32:L35" formula="1"/>
    <ignoredError sqref="K10" evalError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EB477-863A-5440-88A1-9BE3C6CC00F7}">
  <dimension ref="A2:AA103"/>
  <sheetViews>
    <sheetView topLeftCell="B1" workbookViewId="0">
      <pane ySplit="3" topLeftCell="A18" activePane="bottomLeft" state="frozen"/>
      <selection pane="bottomLeft" activeCell="B47" sqref="B47"/>
    </sheetView>
  </sheetViews>
  <sheetFormatPr baseColWidth="10" defaultRowHeight="14"/>
  <cols>
    <col min="2" max="2" width="41.5" customWidth="1"/>
    <col min="3" max="3" width="28" customWidth="1"/>
    <col min="5" max="5" width="11.1640625" bestFit="1" customWidth="1"/>
    <col min="7" max="7" width="22" customWidth="1"/>
    <col min="8" max="8" width="18.5" customWidth="1"/>
  </cols>
  <sheetData>
    <row r="2" spans="1:27" ht="16">
      <c r="A2" s="429"/>
      <c r="B2" s="429"/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429"/>
      <c r="R2" s="429"/>
      <c r="S2" s="429"/>
      <c r="T2" s="429"/>
      <c r="U2" s="429"/>
      <c r="V2" s="429"/>
      <c r="W2" s="429"/>
      <c r="X2" s="429"/>
      <c r="Y2" s="429"/>
      <c r="Z2" s="429"/>
      <c r="AA2" s="429"/>
    </row>
    <row r="3" spans="1:27" ht="18">
      <c r="A3" s="429"/>
      <c r="B3" s="446" t="s">
        <v>861</v>
      </c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</row>
    <row r="4" spans="1:27" ht="16">
      <c r="A4" s="429"/>
      <c r="B4" s="429"/>
      <c r="C4" s="429"/>
      <c r="D4" s="429"/>
      <c r="E4" s="429"/>
      <c r="F4" s="429"/>
      <c r="G4" s="429"/>
      <c r="H4" s="429"/>
      <c r="I4" s="429"/>
      <c r="J4" s="429"/>
      <c r="K4" s="429"/>
      <c r="L4" s="429"/>
      <c r="M4" s="429"/>
      <c r="N4" s="429"/>
      <c r="O4" s="429"/>
      <c r="P4" s="429"/>
      <c r="Q4" s="429"/>
      <c r="R4" s="429"/>
      <c r="S4" s="429"/>
      <c r="T4" s="429"/>
      <c r="U4" s="429"/>
      <c r="V4" s="429"/>
      <c r="W4" s="429"/>
      <c r="X4" s="429"/>
      <c r="Y4" s="429"/>
      <c r="Z4" s="429"/>
      <c r="AA4" s="429"/>
    </row>
    <row r="5" spans="1:27" ht="16">
      <c r="A5" s="429"/>
      <c r="B5" s="451" t="s">
        <v>862</v>
      </c>
      <c r="C5" s="452" t="s">
        <v>863</v>
      </c>
      <c r="D5" s="452" t="s">
        <v>688</v>
      </c>
      <c r="E5" s="452" t="s">
        <v>452</v>
      </c>
      <c r="F5" s="452" t="s">
        <v>864</v>
      </c>
      <c r="G5" s="450" t="s">
        <v>692</v>
      </c>
      <c r="H5" s="450" t="s">
        <v>931</v>
      </c>
      <c r="I5" s="429"/>
      <c r="J5" s="429"/>
      <c r="K5" s="429"/>
      <c r="L5" s="429"/>
      <c r="M5" s="429"/>
      <c r="N5" s="429"/>
      <c r="O5" s="429"/>
      <c r="P5" s="429"/>
      <c r="Q5" s="429"/>
      <c r="R5" s="429"/>
      <c r="S5" s="429"/>
      <c r="T5" s="429"/>
      <c r="U5" s="429"/>
      <c r="V5" s="429"/>
      <c r="W5" s="429"/>
      <c r="X5" s="429"/>
      <c r="Y5" s="429"/>
      <c r="Z5" s="429"/>
      <c r="AA5" s="429"/>
    </row>
    <row r="6" spans="1:27" ht="16">
      <c r="A6" s="429"/>
      <c r="B6" s="436" t="s">
        <v>865</v>
      </c>
      <c r="C6" s="429"/>
      <c r="D6" s="471">
        <v>1</v>
      </c>
      <c r="E6" s="471">
        <v>1000000</v>
      </c>
      <c r="F6" s="471">
        <v>1</v>
      </c>
      <c r="G6" s="467">
        <f t="shared" ref="G6:G11" si="0">IF(D6=0,0,D6*E6)</f>
        <v>1000000</v>
      </c>
      <c r="H6" s="468">
        <f t="shared" ref="H6:H11" si="1">IF(G6=0,0,G6/exchange_rate)</f>
        <v>100</v>
      </c>
      <c r="I6" s="429"/>
      <c r="J6" s="429"/>
      <c r="K6" s="429"/>
      <c r="L6" s="429"/>
      <c r="M6" s="429"/>
      <c r="N6" s="429"/>
      <c r="O6" s="429"/>
      <c r="P6" s="429"/>
      <c r="Q6" s="429"/>
      <c r="R6" s="429"/>
      <c r="S6" s="429"/>
      <c r="T6" s="429"/>
      <c r="U6" s="429"/>
      <c r="V6" s="429"/>
      <c r="W6" s="429"/>
      <c r="X6" s="429"/>
      <c r="Y6" s="429"/>
      <c r="Z6" s="429"/>
      <c r="AA6" s="429"/>
    </row>
    <row r="7" spans="1:27" ht="16">
      <c r="A7" s="429"/>
      <c r="B7" s="436" t="s">
        <v>866</v>
      </c>
      <c r="C7" s="429"/>
      <c r="D7" s="471">
        <v>1</v>
      </c>
      <c r="E7" s="471">
        <v>100000000</v>
      </c>
      <c r="F7" s="471">
        <v>1</v>
      </c>
      <c r="G7" s="467">
        <f t="shared" si="0"/>
        <v>100000000</v>
      </c>
      <c r="H7" s="468">
        <f t="shared" si="1"/>
        <v>10000</v>
      </c>
      <c r="I7" s="430" t="s">
        <v>867</v>
      </c>
      <c r="J7" s="430"/>
      <c r="K7" s="430"/>
      <c r="L7" s="430"/>
      <c r="M7" s="430"/>
      <c r="N7" s="430"/>
      <c r="O7" s="429"/>
      <c r="P7" s="429"/>
      <c r="Q7" s="429"/>
      <c r="R7" s="429"/>
      <c r="S7" s="429"/>
      <c r="T7" s="429"/>
      <c r="U7" s="429"/>
      <c r="V7" s="429"/>
      <c r="W7" s="429"/>
      <c r="X7" s="429"/>
      <c r="Y7" s="429"/>
      <c r="Z7" s="429"/>
      <c r="AA7" s="429"/>
    </row>
    <row r="8" spans="1:27" ht="16">
      <c r="A8" s="429"/>
      <c r="B8" s="436" t="s">
        <v>868</v>
      </c>
      <c r="C8" s="429"/>
      <c r="D8" s="471">
        <v>1</v>
      </c>
      <c r="E8" s="471">
        <v>100000000</v>
      </c>
      <c r="F8" s="471">
        <v>1</v>
      </c>
      <c r="G8" s="467">
        <f t="shared" si="0"/>
        <v>100000000</v>
      </c>
      <c r="H8" s="468">
        <f t="shared" si="1"/>
        <v>10000</v>
      </c>
      <c r="I8" s="429"/>
      <c r="J8" s="429"/>
      <c r="K8" s="429"/>
      <c r="L8" s="429"/>
      <c r="M8" s="429"/>
      <c r="N8" s="429"/>
      <c r="O8" s="429"/>
      <c r="P8" s="429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</row>
    <row r="9" spans="1:27" ht="16">
      <c r="A9" s="429"/>
      <c r="B9" s="436" t="s">
        <v>869</v>
      </c>
      <c r="C9" s="429"/>
      <c r="D9" s="471">
        <v>1</v>
      </c>
      <c r="E9" s="471">
        <v>10000000</v>
      </c>
      <c r="F9" s="471">
        <v>1</v>
      </c>
      <c r="G9" s="467">
        <f t="shared" si="0"/>
        <v>10000000</v>
      </c>
      <c r="H9" s="468">
        <f t="shared" si="1"/>
        <v>1000</v>
      </c>
      <c r="I9" s="430" t="s">
        <v>871</v>
      </c>
      <c r="J9" s="429"/>
      <c r="K9" s="429"/>
      <c r="L9" s="429"/>
      <c r="M9" s="429"/>
      <c r="N9" s="429"/>
      <c r="O9" s="429"/>
      <c r="P9" s="429"/>
      <c r="Q9" s="429"/>
      <c r="R9" s="429"/>
      <c r="S9" s="429"/>
      <c r="T9" s="429"/>
      <c r="U9" s="429"/>
      <c r="V9" s="429"/>
      <c r="W9" s="429"/>
      <c r="X9" s="429"/>
      <c r="Y9" s="429"/>
      <c r="Z9" s="429"/>
      <c r="AA9" s="429"/>
    </row>
    <row r="10" spans="1:27" ht="16">
      <c r="A10" s="429"/>
      <c r="B10" s="436" t="s">
        <v>870</v>
      </c>
      <c r="C10" s="429"/>
      <c r="D10" s="471">
        <v>1</v>
      </c>
      <c r="E10" s="471">
        <v>10000000</v>
      </c>
      <c r="F10" s="471">
        <v>1</v>
      </c>
      <c r="G10" s="467">
        <f t="shared" si="0"/>
        <v>10000000</v>
      </c>
      <c r="H10" s="468">
        <f t="shared" si="1"/>
        <v>1000</v>
      </c>
      <c r="I10" s="430" t="s">
        <v>872</v>
      </c>
      <c r="J10" s="430"/>
      <c r="K10" s="430"/>
      <c r="L10" s="430"/>
      <c r="M10" s="430"/>
      <c r="N10" s="430"/>
      <c r="O10" s="430"/>
      <c r="P10" s="430"/>
      <c r="Q10" s="429"/>
      <c r="R10" s="429"/>
      <c r="S10" s="429"/>
      <c r="T10" s="429"/>
      <c r="U10" s="429"/>
      <c r="V10" s="429"/>
      <c r="W10" s="429"/>
      <c r="X10" s="429"/>
      <c r="Y10" s="429"/>
      <c r="Z10" s="429"/>
      <c r="AA10" s="429"/>
    </row>
    <row r="11" spans="1:27" ht="16">
      <c r="A11" s="429"/>
      <c r="B11" s="437" t="s">
        <v>873</v>
      </c>
      <c r="C11" s="438"/>
      <c r="D11" s="471">
        <v>1</v>
      </c>
      <c r="E11" s="471">
        <v>10000000</v>
      </c>
      <c r="F11" s="471">
        <v>1</v>
      </c>
      <c r="G11" s="467">
        <f t="shared" si="0"/>
        <v>10000000</v>
      </c>
      <c r="H11" s="468">
        <f t="shared" si="1"/>
        <v>1000</v>
      </c>
      <c r="I11" s="429"/>
      <c r="J11" s="429"/>
      <c r="K11" s="429"/>
      <c r="L11" s="429"/>
      <c r="M11" s="429"/>
      <c r="N11" s="429"/>
      <c r="O11" s="429"/>
      <c r="P11" s="429"/>
      <c r="Q11" s="429"/>
      <c r="R11" s="429"/>
      <c r="S11" s="429"/>
      <c r="T11" s="429"/>
      <c r="U11" s="429"/>
      <c r="V11" s="429"/>
      <c r="W11" s="429"/>
      <c r="X11" s="429"/>
      <c r="Y11" s="429"/>
      <c r="Z11" s="429"/>
      <c r="AA11" s="429"/>
    </row>
    <row r="12" spans="1:27" ht="16">
      <c r="A12" s="429"/>
      <c r="B12" s="439" t="s">
        <v>632</v>
      </c>
      <c r="C12" s="440"/>
      <c r="D12" s="440"/>
      <c r="E12" s="440"/>
      <c r="F12" s="440"/>
      <c r="G12" s="457">
        <f>SUM(G6:G11)</f>
        <v>231000000</v>
      </c>
      <c r="H12" s="455">
        <f>SUM(H6:H11)</f>
        <v>23100</v>
      </c>
      <c r="I12" s="429"/>
      <c r="J12" s="429"/>
      <c r="K12" s="429"/>
      <c r="L12" s="429"/>
      <c r="M12" s="429"/>
      <c r="N12" s="429"/>
      <c r="O12" s="429"/>
      <c r="P12" s="429"/>
      <c r="Q12" s="429"/>
      <c r="R12" s="429"/>
      <c r="S12" s="429"/>
      <c r="T12" s="429"/>
      <c r="U12" s="429"/>
      <c r="V12" s="429"/>
      <c r="W12" s="429"/>
      <c r="X12" s="429"/>
      <c r="Y12" s="429"/>
      <c r="Z12" s="429"/>
      <c r="AA12" s="429"/>
    </row>
    <row r="13" spans="1:27" ht="16">
      <c r="A13" s="429"/>
      <c r="B13" s="429"/>
      <c r="C13" s="429"/>
      <c r="D13" s="429"/>
      <c r="E13" s="429"/>
      <c r="F13" s="429"/>
      <c r="G13" s="429"/>
      <c r="H13" s="429"/>
      <c r="I13" s="429"/>
      <c r="J13" s="429"/>
      <c r="K13" s="429"/>
      <c r="L13" s="429"/>
      <c r="M13" s="429"/>
      <c r="N13" s="429"/>
      <c r="O13" s="429"/>
      <c r="P13" s="429"/>
      <c r="Q13" s="429"/>
      <c r="R13" s="429"/>
      <c r="S13" s="429"/>
      <c r="T13" s="429"/>
      <c r="U13" s="429"/>
      <c r="V13" s="429"/>
      <c r="W13" s="429"/>
      <c r="X13" s="429"/>
      <c r="Y13" s="429"/>
      <c r="Z13" s="429"/>
      <c r="AA13" s="429"/>
    </row>
    <row r="14" spans="1:27" ht="16">
      <c r="A14" s="429"/>
      <c r="B14" s="429"/>
      <c r="C14" s="429"/>
      <c r="D14" s="429"/>
      <c r="E14" s="429"/>
      <c r="F14" s="429"/>
      <c r="G14" s="429"/>
      <c r="H14" s="429"/>
      <c r="I14" s="429"/>
      <c r="J14" s="429"/>
      <c r="K14" s="429"/>
      <c r="L14" s="429"/>
      <c r="M14" s="429"/>
      <c r="N14" s="429"/>
      <c r="O14" s="429"/>
      <c r="P14" s="429"/>
      <c r="Q14" s="429"/>
      <c r="R14" s="429"/>
      <c r="S14" s="429"/>
      <c r="T14" s="429"/>
      <c r="U14" s="429"/>
      <c r="V14" s="429"/>
      <c r="W14" s="429"/>
      <c r="X14" s="429"/>
      <c r="Y14" s="429"/>
      <c r="Z14" s="429"/>
      <c r="AA14" s="429"/>
    </row>
    <row r="15" spans="1:27" ht="16">
      <c r="A15" s="429"/>
      <c r="B15" s="478" t="s">
        <v>2</v>
      </c>
      <c r="C15" s="429"/>
      <c r="D15" s="429"/>
      <c r="E15" s="429"/>
      <c r="F15" s="429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</row>
    <row r="16" spans="1:27" ht="16">
      <c r="A16" s="429"/>
      <c r="B16" s="451" t="s">
        <v>687</v>
      </c>
      <c r="C16" s="452" t="s">
        <v>863</v>
      </c>
      <c r="D16" s="452" t="s">
        <v>921</v>
      </c>
      <c r="E16" s="452" t="s">
        <v>882</v>
      </c>
      <c r="F16" s="452" t="s">
        <v>864</v>
      </c>
      <c r="G16" s="450" t="s">
        <v>932</v>
      </c>
      <c r="H16" s="450" t="s">
        <v>931</v>
      </c>
      <c r="I16" s="429"/>
      <c r="J16" s="429"/>
      <c r="K16" s="429"/>
      <c r="L16" s="429"/>
      <c r="M16" s="429"/>
      <c r="N16" s="429"/>
      <c r="O16" s="429"/>
      <c r="P16" s="429"/>
      <c r="Q16" s="429"/>
      <c r="R16" s="429"/>
      <c r="S16" s="429"/>
      <c r="T16" s="429"/>
      <c r="U16" s="429"/>
      <c r="V16" s="429"/>
      <c r="W16" s="429"/>
      <c r="X16" s="429"/>
      <c r="Y16" s="429"/>
      <c r="Z16" s="429"/>
      <c r="AA16" s="429"/>
    </row>
    <row r="17" spans="1:27" ht="16">
      <c r="A17" s="429"/>
      <c r="B17" s="434" t="s">
        <v>874</v>
      </c>
      <c r="C17" s="435"/>
      <c r="D17" s="472">
        <v>1</v>
      </c>
      <c r="E17" s="472">
        <v>100000000</v>
      </c>
      <c r="F17" s="472">
        <v>1</v>
      </c>
      <c r="G17" s="467">
        <f>IF(D17=0,0,D17*E17*F17)</f>
        <v>100000000</v>
      </c>
      <c r="H17" s="468">
        <f>IF(G17=0,0,G17/exchange_rate)</f>
        <v>10000</v>
      </c>
      <c r="I17" s="429"/>
      <c r="J17" s="429"/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29"/>
      <c r="V17" s="429"/>
      <c r="W17" s="429"/>
      <c r="X17" s="429"/>
      <c r="Y17" s="429"/>
      <c r="Z17" s="429"/>
      <c r="AA17" s="429"/>
    </row>
    <row r="18" spans="1:27" ht="16">
      <c r="A18" s="429"/>
      <c r="B18" s="436" t="s">
        <v>875</v>
      </c>
      <c r="C18" s="429"/>
      <c r="D18" s="471">
        <v>1</v>
      </c>
      <c r="E18" s="471">
        <v>100000000</v>
      </c>
      <c r="F18" s="471">
        <v>1</v>
      </c>
      <c r="G18" s="467">
        <f>IF(D18=0,0,D18*E18*F18)</f>
        <v>100000000</v>
      </c>
      <c r="H18" s="468">
        <f>IF(G18=0,0,G18/exchange_rate)</f>
        <v>10000</v>
      </c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</row>
    <row r="19" spans="1:27" ht="16">
      <c r="A19" s="429"/>
      <c r="B19" s="436" t="s">
        <v>876</v>
      </c>
      <c r="C19" s="429"/>
      <c r="D19" s="471">
        <v>1</v>
      </c>
      <c r="E19" s="471">
        <v>10000000</v>
      </c>
      <c r="F19" s="471">
        <v>1</v>
      </c>
      <c r="G19" s="467">
        <f>IF(D19=0,0,D19*E19*F19)</f>
        <v>10000000</v>
      </c>
      <c r="H19" s="468">
        <f>IF(G19=0,0,G19/exchange_rate)</f>
        <v>1000</v>
      </c>
      <c r="I19" s="429"/>
      <c r="J19" s="429"/>
      <c r="K19" s="429"/>
      <c r="L19" s="429"/>
      <c r="M19" s="429"/>
      <c r="N19" s="429"/>
      <c r="O19" s="429"/>
      <c r="P19" s="429"/>
      <c r="Q19" s="429"/>
      <c r="R19" s="429"/>
      <c r="S19" s="429"/>
      <c r="T19" s="429"/>
      <c r="U19" s="429"/>
      <c r="V19" s="429"/>
      <c r="W19" s="429"/>
      <c r="X19" s="429"/>
      <c r="Y19" s="429"/>
      <c r="Z19" s="429"/>
      <c r="AA19" s="429"/>
    </row>
    <row r="20" spans="1:27" ht="16">
      <c r="A20" s="429"/>
      <c r="B20" s="436" t="s">
        <v>877</v>
      </c>
      <c r="C20" s="429"/>
      <c r="D20" s="471">
        <v>1</v>
      </c>
      <c r="E20" s="471">
        <v>10000000</v>
      </c>
      <c r="F20" s="471">
        <v>1</v>
      </c>
      <c r="G20" s="467">
        <f>IF(D20=0,0,D20*E20*F20)</f>
        <v>10000000</v>
      </c>
      <c r="H20" s="468">
        <f>IF(G20=0,0,G20/exchange_rate)</f>
        <v>1000</v>
      </c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29"/>
      <c r="V20" s="429"/>
      <c r="W20" s="429"/>
      <c r="X20" s="429"/>
      <c r="Y20" s="429"/>
      <c r="Z20" s="429"/>
      <c r="AA20" s="429"/>
    </row>
    <row r="21" spans="1:27" ht="16">
      <c r="A21" s="429"/>
      <c r="B21" s="436" t="s">
        <v>916</v>
      </c>
      <c r="C21" s="429"/>
      <c r="D21" s="471">
        <v>1</v>
      </c>
      <c r="E21" s="471">
        <v>10000000</v>
      </c>
      <c r="F21" s="471">
        <v>1</v>
      </c>
      <c r="G21" s="467">
        <f>IF(D21=0,0,D21*E21*F21)</f>
        <v>10000000</v>
      </c>
      <c r="H21" s="468">
        <f>IF(G21=0,0,G21/exchange_rate)</f>
        <v>1000</v>
      </c>
      <c r="I21" s="429"/>
      <c r="J21" s="429"/>
      <c r="K21" s="429"/>
      <c r="L21" s="429"/>
      <c r="M21" s="429"/>
      <c r="N21" s="429"/>
      <c r="O21" s="429"/>
      <c r="P21" s="429"/>
      <c r="Q21" s="429"/>
      <c r="R21" s="429"/>
      <c r="S21" s="429"/>
      <c r="T21" s="429"/>
      <c r="U21" s="429"/>
      <c r="V21" s="429"/>
      <c r="W21" s="429"/>
      <c r="X21" s="429"/>
      <c r="Y21" s="429"/>
      <c r="Z21" s="429"/>
      <c r="AA21" s="429"/>
    </row>
    <row r="22" spans="1:27" ht="16">
      <c r="A22" s="429"/>
      <c r="B22" s="439" t="s">
        <v>632</v>
      </c>
      <c r="C22" s="440"/>
      <c r="D22" s="440"/>
      <c r="E22" s="440"/>
      <c r="F22" s="440"/>
      <c r="G22" s="457">
        <f>SUM(G17:G21)</f>
        <v>230000000</v>
      </c>
      <c r="H22" s="455">
        <f>SUM(H17:H21)</f>
        <v>23000</v>
      </c>
      <c r="I22" s="430" t="s">
        <v>917</v>
      </c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  <c r="V22" s="429"/>
      <c r="W22" s="429"/>
      <c r="X22" s="429"/>
      <c r="Y22" s="429"/>
      <c r="Z22" s="429"/>
      <c r="AA22" s="429"/>
    </row>
    <row r="23" spans="1:27" ht="16">
      <c r="A23" s="429"/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  <c r="V23" s="429"/>
      <c r="W23" s="429"/>
      <c r="X23" s="429"/>
      <c r="Y23" s="429"/>
      <c r="Z23" s="429"/>
      <c r="AA23" s="429"/>
    </row>
    <row r="24" spans="1:27" ht="16">
      <c r="A24" s="429"/>
      <c r="B24" s="429"/>
      <c r="C24" s="429"/>
      <c r="D24" s="429"/>
      <c r="E24" s="429"/>
      <c r="F24" s="429"/>
      <c r="G24" s="429"/>
      <c r="H24" s="429"/>
      <c r="I24" s="429"/>
      <c r="J24" s="429"/>
      <c r="K24" s="429"/>
      <c r="L24" s="429"/>
      <c r="M24" s="429"/>
      <c r="N24" s="429"/>
      <c r="O24" s="429"/>
      <c r="P24" s="429"/>
      <c r="Q24" s="429"/>
      <c r="R24" s="429"/>
      <c r="S24" s="429"/>
      <c r="T24" s="429"/>
      <c r="U24" s="429"/>
      <c r="V24" s="429"/>
      <c r="W24" s="429"/>
      <c r="X24" s="429"/>
      <c r="Y24" s="429"/>
      <c r="Z24" s="429"/>
      <c r="AA24" s="429"/>
    </row>
    <row r="25" spans="1:27" ht="16">
      <c r="A25" s="429"/>
      <c r="B25" s="450" t="s">
        <v>878</v>
      </c>
      <c r="C25" s="452" t="s">
        <v>863</v>
      </c>
      <c r="D25" s="452" t="s">
        <v>921</v>
      </c>
      <c r="E25" s="452" t="s">
        <v>882</v>
      </c>
      <c r="F25" s="452" t="s">
        <v>864</v>
      </c>
      <c r="G25" s="450" t="s">
        <v>932</v>
      </c>
      <c r="H25" s="450" t="s">
        <v>931</v>
      </c>
      <c r="I25" s="429"/>
      <c r="J25" s="429"/>
      <c r="K25" s="429"/>
      <c r="L25" s="429"/>
      <c r="M25" s="429"/>
      <c r="N25" s="429"/>
      <c r="O25" s="429"/>
      <c r="P25" s="429"/>
      <c r="Q25" s="429"/>
      <c r="R25" s="429"/>
      <c r="S25" s="429"/>
      <c r="T25" s="429"/>
      <c r="U25" s="429"/>
      <c r="V25" s="429"/>
      <c r="W25" s="429"/>
      <c r="X25" s="429"/>
      <c r="Y25" s="429"/>
      <c r="Z25" s="429"/>
      <c r="AA25" s="429"/>
    </row>
    <row r="26" spans="1:27" ht="16">
      <c r="A26" s="429"/>
      <c r="B26" s="434" t="s">
        <v>879</v>
      </c>
      <c r="C26" s="435"/>
      <c r="D26" s="472">
        <v>1</v>
      </c>
      <c r="E26" s="472">
        <v>10000000</v>
      </c>
      <c r="F26" s="472">
        <v>1</v>
      </c>
      <c r="G26" s="467">
        <f>IF(D26=0,0,D26*E26*F26)</f>
        <v>10000000</v>
      </c>
      <c r="H26" s="468">
        <f>IF(G26=0,0,G26/exchange_rate)</f>
        <v>1000</v>
      </c>
      <c r="I26" s="429"/>
      <c r="J26" s="429"/>
      <c r="K26" s="429"/>
      <c r="L26" s="429"/>
      <c r="M26" s="429"/>
      <c r="N26" s="429"/>
      <c r="O26" s="429"/>
      <c r="P26" s="429"/>
      <c r="Q26" s="429"/>
      <c r="R26" s="429"/>
      <c r="S26" s="429"/>
      <c r="T26" s="429"/>
      <c r="U26" s="429"/>
      <c r="V26" s="429"/>
      <c r="W26" s="429"/>
      <c r="X26" s="429"/>
      <c r="Y26" s="429"/>
      <c r="Z26" s="429"/>
      <c r="AA26" s="429"/>
    </row>
    <row r="27" spans="1:27" ht="16">
      <c r="A27" s="429"/>
      <c r="B27" s="436" t="s">
        <v>880</v>
      </c>
      <c r="C27" s="429"/>
      <c r="D27" s="471">
        <v>1</v>
      </c>
      <c r="E27" s="471">
        <v>10000000</v>
      </c>
      <c r="F27" s="471">
        <v>1</v>
      </c>
      <c r="G27" s="467">
        <f>IF(D27=0,0,D27*E27*F27)</f>
        <v>10000000</v>
      </c>
      <c r="H27" s="468">
        <f>IF(G27=0,0,G27/exchange_rate)</f>
        <v>1000</v>
      </c>
      <c r="I27" s="429"/>
      <c r="J27" s="429"/>
      <c r="K27" s="429"/>
      <c r="L27" s="429"/>
      <c r="M27" s="429"/>
      <c r="N27" s="429"/>
      <c r="O27" s="429"/>
      <c r="P27" s="429"/>
      <c r="Q27" s="429"/>
      <c r="R27" s="429"/>
      <c r="S27" s="429"/>
      <c r="T27" s="429"/>
      <c r="U27" s="429"/>
      <c r="V27" s="429"/>
      <c r="W27" s="429"/>
      <c r="X27" s="429"/>
      <c r="Y27" s="429"/>
      <c r="Z27" s="429"/>
      <c r="AA27" s="429"/>
    </row>
    <row r="28" spans="1:27" ht="16">
      <c r="A28" s="429"/>
      <c r="B28" s="436" t="s">
        <v>881</v>
      </c>
      <c r="C28" s="429"/>
      <c r="D28" s="471">
        <v>1</v>
      </c>
      <c r="E28" s="471">
        <v>10000000</v>
      </c>
      <c r="F28" s="471">
        <v>1</v>
      </c>
      <c r="G28" s="467">
        <f>IF(D28=0,0,D28*E28*F28)</f>
        <v>10000000</v>
      </c>
      <c r="H28" s="468">
        <f>IF(G28=0,0,G28/exchange_rate)</f>
        <v>1000</v>
      </c>
      <c r="I28" s="429"/>
      <c r="J28" s="429"/>
      <c r="K28" s="429"/>
      <c r="L28" s="429"/>
      <c r="M28" s="429"/>
      <c r="N28" s="429"/>
      <c r="O28" s="429"/>
      <c r="P28" s="429"/>
      <c r="Q28" s="429"/>
      <c r="R28" s="429"/>
      <c r="S28" s="429"/>
      <c r="T28" s="429"/>
      <c r="U28" s="429"/>
      <c r="V28" s="429"/>
      <c r="W28" s="429"/>
      <c r="X28" s="429"/>
      <c r="Y28" s="429"/>
      <c r="Z28" s="429"/>
      <c r="AA28" s="429"/>
    </row>
    <row r="29" spans="1:27" ht="16">
      <c r="A29" s="429"/>
      <c r="B29" s="436" t="s">
        <v>26</v>
      </c>
      <c r="C29" s="429"/>
      <c r="D29" s="471">
        <v>1</v>
      </c>
      <c r="E29" s="471">
        <v>10000000</v>
      </c>
      <c r="F29" s="471">
        <v>1</v>
      </c>
      <c r="G29" s="467">
        <f>IF(D29=0,0,D29*E29*F29)</f>
        <v>10000000</v>
      </c>
      <c r="H29" s="468">
        <f>IF(G29=0,0,G29/exchange_rate)</f>
        <v>1000</v>
      </c>
      <c r="I29" s="430" t="s">
        <v>925</v>
      </c>
      <c r="J29" s="429"/>
      <c r="K29" s="429"/>
      <c r="L29" s="429"/>
      <c r="M29" s="429"/>
      <c r="N29" s="429"/>
      <c r="O29" s="429"/>
      <c r="P29" s="429"/>
      <c r="Q29" s="429"/>
      <c r="R29" s="429"/>
      <c r="S29" s="429"/>
      <c r="T29" s="429"/>
      <c r="U29" s="429"/>
      <c r="V29" s="429"/>
      <c r="W29" s="429"/>
      <c r="X29" s="429"/>
      <c r="Y29" s="429"/>
      <c r="Z29" s="429"/>
      <c r="AA29" s="429"/>
    </row>
    <row r="30" spans="1:27" ht="16">
      <c r="A30" s="429"/>
      <c r="B30" s="439" t="s">
        <v>632</v>
      </c>
      <c r="C30" s="440"/>
      <c r="D30" s="440"/>
      <c r="E30" s="440"/>
      <c r="F30" s="440"/>
      <c r="G30" s="457">
        <f>SUM(G26:G29)</f>
        <v>40000000</v>
      </c>
      <c r="H30" s="455">
        <f>SUM(H26:H29)</f>
        <v>4000</v>
      </c>
      <c r="I30" s="429"/>
      <c r="J30" s="429"/>
      <c r="K30" s="429"/>
      <c r="L30" s="429"/>
      <c r="M30" s="429"/>
      <c r="N30" s="429"/>
      <c r="O30" s="429"/>
      <c r="P30" s="429"/>
      <c r="Q30" s="429"/>
      <c r="R30" s="429"/>
      <c r="S30" s="429"/>
      <c r="T30" s="429"/>
      <c r="U30" s="429"/>
      <c r="V30" s="429"/>
      <c r="W30" s="429"/>
      <c r="X30" s="429"/>
      <c r="Y30" s="429"/>
      <c r="Z30" s="429"/>
      <c r="AA30" s="429"/>
    </row>
    <row r="31" spans="1:27" ht="16">
      <c r="A31" s="429"/>
      <c r="B31" s="429"/>
      <c r="C31" s="429"/>
      <c r="D31" s="429"/>
      <c r="E31" s="429"/>
      <c r="F31" s="429"/>
      <c r="G31" s="429"/>
      <c r="H31" s="429"/>
      <c r="I31" s="429"/>
      <c r="J31" s="429"/>
      <c r="K31" s="429"/>
      <c r="L31" s="429"/>
      <c r="M31" s="429"/>
      <c r="N31" s="429"/>
      <c r="O31" s="429"/>
      <c r="P31" s="429"/>
      <c r="Q31" s="429"/>
      <c r="R31" s="429"/>
      <c r="S31" s="429"/>
      <c r="T31" s="429"/>
      <c r="U31" s="429"/>
      <c r="V31" s="429"/>
      <c r="W31" s="429"/>
      <c r="X31" s="429"/>
      <c r="Y31" s="429"/>
      <c r="Z31" s="429"/>
      <c r="AA31" s="429"/>
    </row>
    <row r="32" spans="1:27" ht="16">
      <c r="A32" s="429"/>
      <c r="B32" s="429" t="s">
        <v>853</v>
      </c>
      <c r="C32" s="429"/>
      <c r="D32" s="429"/>
      <c r="E32" s="429"/>
      <c r="F32" s="429"/>
      <c r="G32" s="429"/>
      <c r="H32" s="429"/>
      <c r="I32" s="429"/>
      <c r="J32" s="429"/>
      <c r="K32" s="429"/>
      <c r="L32" s="429"/>
      <c r="M32" s="429"/>
      <c r="N32" s="429"/>
      <c r="O32" s="429"/>
      <c r="P32" s="429"/>
      <c r="Q32" s="429"/>
      <c r="R32" s="429"/>
      <c r="S32" s="429"/>
      <c r="T32" s="429"/>
      <c r="U32" s="429"/>
      <c r="V32" s="429"/>
      <c r="W32" s="429"/>
      <c r="X32" s="429"/>
      <c r="Y32" s="429"/>
      <c r="Z32" s="429"/>
      <c r="AA32" s="429"/>
    </row>
    <row r="33" spans="1:27" ht="16">
      <c r="A33" s="429"/>
      <c r="B33" s="447" t="s">
        <v>919</v>
      </c>
      <c r="C33" s="448" t="s">
        <v>863</v>
      </c>
      <c r="D33" s="448" t="s">
        <v>921</v>
      </c>
      <c r="E33" s="448" t="s">
        <v>882</v>
      </c>
      <c r="F33" s="448" t="s">
        <v>918</v>
      </c>
      <c r="G33" s="449" t="s">
        <v>933</v>
      </c>
      <c r="H33" s="450" t="s">
        <v>935</v>
      </c>
      <c r="I33" s="430" t="s">
        <v>883</v>
      </c>
      <c r="J33" s="430"/>
      <c r="K33" s="430"/>
      <c r="L33" s="429"/>
      <c r="M33" s="429"/>
      <c r="N33" s="429"/>
      <c r="O33" s="429"/>
      <c r="P33" s="429"/>
      <c r="Q33" s="429"/>
      <c r="R33" s="429"/>
      <c r="S33" s="429"/>
      <c r="T33" s="429"/>
      <c r="U33" s="429"/>
      <c r="V33" s="429"/>
      <c r="W33" s="429"/>
      <c r="X33" s="429"/>
      <c r="Y33" s="429"/>
      <c r="Z33" s="429"/>
      <c r="AA33" s="429"/>
    </row>
    <row r="34" spans="1:27" ht="16">
      <c r="A34" s="429"/>
      <c r="B34" s="434" t="s">
        <v>884</v>
      </c>
      <c r="C34" s="435"/>
      <c r="D34" s="472">
        <v>1</v>
      </c>
      <c r="E34" s="472">
        <v>100000</v>
      </c>
      <c r="F34" s="472">
        <v>0.1</v>
      </c>
      <c r="G34" s="469">
        <f>IF(D34=0,0,(D34+F34)*E34)</f>
        <v>110000.00000000001</v>
      </c>
      <c r="H34" s="468">
        <f t="shared" ref="H34:H46" si="2">IF(G34=0,0,G34/exchange_rate)</f>
        <v>11.000000000000002</v>
      </c>
      <c r="I34" s="429"/>
      <c r="J34" s="429"/>
      <c r="K34" s="429"/>
      <c r="L34" s="429"/>
      <c r="M34" s="429"/>
      <c r="N34" s="429"/>
      <c r="O34" s="429"/>
      <c r="P34" s="429"/>
      <c r="Q34" s="429"/>
      <c r="R34" s="429"/>
      <c r="S34" s="429"/>
      <c r="T34" s="429"/>
      <c r="U34" s="429"/>
      <c r="V34" s="429"/>
      <c r="W34" s="429"/>
      <c r="X34" s="429"/>
      <c r="Y34" s="429"/>
      <c r="Z34" s="429"/>
      <c r="AA34" s="429"/>
    </row>
    <row r="35" spans="1:27" ht="16">
      <c r="A35" s="429"/>
      <c r="B35" s="436" t="s">
        <v>885</v>
      </c>
      <c r="C35" s="429"/>
      <c r="D35" s="471">
        <v>1</v>
      </c>
      <c r="E35" s="471">
        <v>100000</v>
      </c>
      <c r="F35" s="471">
        <v>0.1</v>
      </c>
      <c r="G35" s="467">
        <f t="shared" ref="G35:G46" si="3">IF(D35=0,0,(D35+F35)*E35)</f>
        <v>110000.00000000001</v>
      </c>
      <c r="H35" s="468">
        <f t="shared" si="2"/>
        <v>11.000000000000002</v>
      </c>
      <c r="I35" s="429"/>
      <c r="J35" s="429"/>
      <c r="K35" s="429"/>
      <c r="L35" s="429"/>
      <c r="M35" s="429"/>
      <c r="N35" s="429"/>
      <c r="O35" s="429"/>
      <c r="P35" s="429"/>
      <c r="Q35" s="429"/>
      <c r="R35" s="429"/>
      <c r="S35" s="429"/>
      <c r="T35" s="429"/>
      <c r="U35" s="429"/>
      <c r="V35" s="429"/>
      <c r="W35" s="429"/>
      <c r="X35" s="429"/>
      <c r="Y35" s="429"/>
      <c r="Z35" s="429"/>
      <c r="AA35" s="429"/>
    </row>
    <row r="36" spans="1:27" ht="16">
      <c r="A36" s="429"/>
      <c r="B36" s="436" t="s">
        <v>886</v>
      </c>
      <c r="C36" s="429"/>
      <c r="D36" s="471">
        <v>1</v>
      </c>
      <c r="E36" s="471">
        <v>100000</v>
      </c>
      <c r="F36" s="471">
        <v>0.1</v>
      </c>
      <c r="G36" s="467">
        <f t="shared" si="3"/>
        <v>110000.00000000001</v>
      </c>
      <c r="H36" s="468">
        <f t="shared" si="2"/>
        <v>11.000000000000002</v>
      </c>
      <c r="I36" s="429"/>
      <c r="J36" s="429"/>
      <c r="K36" s="429"/>
      <c r="L36" s="429"/>
      <c r="M36" s="429"/>
      <c r="N36" s="429"/>
      <c r="O36" s="429"/>
      <c r="P36" s="429"/>
      <c r="Q36" s="429"/>
      <c r="R36" s="429"/>
      <c r="S36" s="429"/>
      <c r="T36" s="429"/>
      <c r="U36" s="429"/>
      <c r="V36" s="429"/>
      <c r="W36" s="429"/>
      <c r="X36" s="429"/>
      <c r="Y36" s="429"/>
      <c r="Z36" s="429"/>
      <c r="AA36" s="429"/>
    </row>
    <row r="37" spans="1:27" ht="16">
      <c r="A37" s="429"/>
      <c r="B37" s="436" t="s">
        <v>887</v>
      </c>
      <c r="C37" s="429"/>
      <c r="D37" s="471">
        <v>1</v>
      </c>
      <c r="E37" s="471">
        <v>100000</v>
      </c>
      <c r="F37" s="471">
        <v>0.1</v>
      </c>
      <c r="G37" s="467">
        <f t="shared" si="3"/>
        <v>110000.00000000001</v>
      </c>
      <c r="H37" s="468">
        <f t="shared" si="2"/>
        <v>11.000000000000002</v>
      </c>
      <c r="I37" s="429"/>
      <c r="J37" s="429"/>
      <c r="K37" s="429"/>
      <c r="L37" s="429"/>
      <c r="M37" s="429"/>
      <c r="N37" s="429"/>
      <c r="O37" s="429"/>
      <c r="P37" s="429"/>
      <c r="Q37" s="429"/>
      <c r="R37" s="429"/>
      <c r="S37" s="429"/>
      <c r="T37" s="429"/>
      <c r="U37" s="429"/>
      <c r="V37" s="429"/>
      <c r="W37" s="429"/>
      <c r="X37" s="429"/>
      <c r="Y37" s="429"/>
      <c r="Z37" s="429"/>
      <c r="AA37" s="429"/>
    </row>
    <row r="38" spans="1:27" ht="16">
      <c r="A38" s="429"/>
      <c r="B38" s="436" t="s">
        <v>888</v>
      </c>
      <c r="C38" s="429"/>
      <c r="D38" s="471">
        <v>1</v>
      </c>
      <c r="E38" s="471">
        <v>100000</v>
      </c>
      <c r="F38" s="471">
        <v>0.1</v>
      </c>
      <c r="G38" s="467">
        <f t="shared" si="3"/>
        <v>110000.00000000001</v>
      </c>
      <c r="H38" s="468">
        <f t="shared" si="2"/>
        <v>11.000000000000002</v>
      </c>
      <c r="I38" s="429"/>
      <c r="J38" s="429"/>
      <c r="K38" s="429"/>
      <c r="L38" s="429"/>
      <c r="M38" s="429"/>
      <c r="N38" s="429"/>
      <c r="O38" s="429"/>
      <c r="P38" s="429"/>
      <c r="Q38" s="429"/>
      <c r="R38" s="429"/>
      <c r="S38" s="429"/>
      <c r="T38" s="429"/>
      <c r="U38" s="429"/>
      <c r="V38" s="429"/>
      <c r="W38" s="429"/>
      <c r="X38" s="429"/>
      <c r="Y38" s="429"/>
      <c r="Z38" s="429"/>
      <c r="AA38" s="429"/>
    </row>
    <row r="39" spans="1:27" ht="16">
      <c r="A39" s="429"/>
      <c r="B39" s="436" t="s">
        <v>889</v>
      </c>
      <c r="C39" s="429"/>
      <c r="D39" s="471">
        <v>1</v>
      </c>
      <c r="E39" s="471">
        <v>100000</v>
      </c>
      <c r="F39" s="471">
        <v>0.1</v>
      </c>
      <c r="G39" s="467">
        <f t="shared" si="3"/>
        <v>110000.00000000001</v>
      </c>
      <c r="H39" s="468">
        <f t="shared" si="2"/>
        <v>11.000000000000002</v>
      </c>
      <c r="I39" s="429"/>
      <c r="J39" s="429"/>
      <c r="K39" s="429"/>
      <c r="L39" s="429"/>
      <c r="M39" s="429"/>
      <c r="N39" s="429"/>
      <c r="O39" s="429"/>
      <c r="P39" s="429"/>
      <c r="Q39" s="429"/>
      <c r="R39" s="429"/>
      <c r="S39" s="429"/>
      <c r="T39" s="429"/>
      <c r="U39" s="429"/>
      <c r="V39" s="429"/>
      <c r="W39" s="429"/>
      <c r="X39" s="429"/>
      <c r="Y39" s="429"/>
      <c r="Z39" s="429"/>
      <c r="AA39" s="429"/>
    </row>
    <row r="40" spans="1:27" ht="16">
      <c r="A40" s="429"/>
      <c r="B40" s="436" t="s">
        <v>890</v>
      </c>
      <c r="C40" s="429"/>
      <c r="D40" s="471">
        <v>1</v>
      </c>
      <c r="E40" s="471">
        <v>100000</v>
      </c>
      <c r="F40" s="471">
        <v>0.1</v>
      </c>
      <c r="G40" s="467">
        <f t="shared" si="3"/>
        <v>110000.00000000001</v>
      </c>
      <c r="H40" s="468">
        <f t="shared" si="2"/>
        <v>11.000000000000002</v>
      </c>
      <c r="I40" s="429"/>
      <c r="J40" s="429"/>
      <c r="K40" s="429"/>
      <c r="L40" s="429"/>
      <c r="M40" s="429"/>
      <c r="N40" s="429"/>
      <c r="O40" s="429"/>
      <c r="P40" s="429"/>
      <c r="Q40" s="429"/>
      <c r="R40" s="429"/>
      <c r="S40" s="429"/>
      <c r="T40" s="429"/>
      <c r="U40" s="429"/>
      <c r="V40" s="429"/>
      <c r="W40" s="429"/>
      <c r="X40" s="429"/>
      <c r="Y40" s="429"/>
      <c r="Z40" s="429"/>
      <c r="AA40" s="429"/>
    </row>
    <row r="41" spans="1:27" ht="16">
      <c r="A41" s="429"/>
      <c r="B41" s="436" t="s">
        <v>891</v>
      </c>
      <c r="C41" s="429"/>
      <c r="D41" s="471">
        <v>1</v>
      </c>
      <c r="E41" s="471">
        <v>100000</v>
      </c>
      <c r="F41" s="471">
        <v>0.1</v>
      </c>
      <c r="G41" s="467">
        <f t="shared" si="3"/>
        <v>110000.00000000001</v>
      </c>
      <c r="H41" s="468">
        <f t="shared" si="2"/>
        <v>11.000000000000002</v>
      </c>
      <c r="I41" s="429"/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29"/>
      <c r="V41" s="429"/>
      <c r="W41" s="429"/>
      <c r="X41" s="429"/>
      <c r="Y41" s="429"/>
      <c r="Z41" s="429"/>
      <c r="AA41" s="429"/>
    </row>
    <row r="42" spans="1:27" ht="16">
      <c r="A42" s="429"/>
      <c r="B42" s="436" t="s">
        <v>892</v>
      </c>
      <c r="C42" s="429"/>
      <c r="D42" s="471">
        <v>1</v>
      </c>
      <c r="E42" s="471">
        <v>100000</v>
      </c>
      <c r="F42" s="471">
        <v>0.1</v>
      </c>
      <c r="G42" s="467">
        <f t="shared" si="3"/>
        <v>110000.00000000001</v>
      </c>
      <c r="H42" s="468">
        <f t="shared" si="2"/>
        <v>11.000000000000002</v>
      </c>
      <c r="I42" s="429"/>
      <c r="J42" s="429"/>
      <c r="K42" s="429"/>
      <c r="L42" s="429"/>
      <c r="M42" s="429"/>
      <c r="N42" s="429"/>
      <c r="O42" s="429"/>
      <c r="P42" s="429"/>
      <c r="Q42" s="429"/>
      <c r="R42" s="429"/>
      <c r="S42" s="429"/>
      <c r="T42" s="429"/>
      <c r="U42" s="429"/>
      <c r="V42" s="429"/>
      <c r="W42" s="429"/>
      <c r="X42" s="429"/>
      <c r="Y42" s="429"/>
      <c r="Z42" s="429"/>
      <c r="AA42" s="429"/>
    </row>
    <row r="43" spans="1:27" ht="16">
      <c r="A43" s="429"/>
      <c r="B43" s="436" t="s">
        <v>893</v>
      </c>
      <c r="C43" s="429"/>
      <c r="D43" s="471">
        <v>1</v>
      </c>
      <c r="E43" s="471">
        <v>100000</v>
      </c>
      <c r="F43" s="471">
        <v>0.1</v>
      </c>
      <c r="G43" s="467">
        <f t="shared" si="3"/>
        <v>110000.00000000001</v>
      </c>
      <c r="H43" s="468">
        <f t="shared" si="2"/>
        <v>11.000000000000002</v>
      </c>
      <c r="I43" s="429"/>
      <c r="J43" s="429"/>
      <c r="K43" s="429"/>
      <c r="L43" s="429"/>
      <c r="M43" s="429"/>
      <c r="N43" s="429"/>
      <c r="O43" s="429"/>
      <c r="P43" s="429"/>
      <c r="Q43" s="429"/>
      <c r="R43" s="429"/>
      <c r="S43" s="429"/>
      <c r="T43" s="429"/>
      <c r="U43" s="429"/>
      <c r="V43" s="429"/>
      <c r="W43" s="429"/>
      <c r="X43" s="429"/>
      <c r="Y43" s="429"/>
      <c r="Z43" s="429"/>
      <c r="AA43" s="429"/>
    </row>
    <row r="44" spans="1:27" ht="16">
      <c r="A44" s="429"/>
      <c r="B44" s="436" t="s">
        <v>894</v>
      </c>
      <c r="C44" s="429"/>
      <c r="D44" s="471">
        <v>1</v>
      </c>
      <c r="E44" s="471">
        <v>100000</v>
      </c>
      <c r="F44" s="471">
        <v>0.1</v>
      </c>
      <c r="G44" s="467">
        <f t="shared" si="3"/>
        <v>110000.00000000001</v>
      </c>
      <c r="H44" s="468">
        <f t="shared" si="2"/>
        <v>11.000000000000002</v>
      </c>
      <c r="I44" s="429"/>
      <c r="J44" s="429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29"/>
    </row>
    <row r="45" spans="1:27" ht="16">
      <c r="A45" s="429"/>
      <c r="B45" s="436" t="s">
        <v>895</v>
      </c>
      <c r="C45" s="429"/>
      <c r="D45" s="471">
        <v>1</v>
      </c>
      <c r="E45" s="471">
        <v>100000</v>
      </c>
      <c r="F45" s="471">
        <v>0.1</v>
      </c>
      <c r="G45" s="467">
        <f t="shared" si="3"/>
        <v>110000.00000000001</v>
      </c>
      <c r="H45" s="468">
        <f t="shared" si="2"/>
        <v>11.000000000000002</v>
      </c>
      <c r="I45" s="429"/>
      <c r="J45" s="429"/>
      <c r="K45" s="429"/>
      <c r="L45" s="429"/>
      <c r="M45" s="429"/>
      <c r="N45" s="429"/>
      <c r="O45" s="429"/>
      <c r="P45" s="429"/>
      <c r="Q45" s="429"/>
      <c r="R45" s="429"/>
      <c r="S45" s="429"/>
      <c r="T45" s="429"/>
      <c r="U45" s="429"/>
      <c r="V45" s="429"/>
      <c r="W45" s="429"/>
      <c r="X45" s="429"/>
      <c r="Y45" s="429"/>
      <c r="Z45" s="429"/>
      <c r="AA45" s="429"/>
    </row>
    <row r="46" spans="1:27" ht="16">
      <c r="A46" s="429"/>
      <c r="B46" s="436" t="s">
        <v>26</v>
      </c>
      <c r="C46" s="429"/>
      <c r="D46" s="471">
        <v>1</v>
      </c>
      <c r="E46" s="471">
        <v>100000</v>
      </c>
      <c r="F46" s="471">
        <v>0.1</v>
      </c>
      <c r="G46" s="470">
        <f t="shared" si="3"/>
        <v>110000.00000000001</v>
      </c>
      <c r="H46" s="468">
        <f t="shared" si="2"/>
        <v>11.000000000000002</v>
      </c>
      <c r="I46" s="429"/>
      <c r="J46" s="429"/>
      <c r="K46" s="429"/>
      <c r="L46" s="429"/>
      <c r="M46" s="429"/>
      <c r="N46" s="429"/>
      <c r="O46" s="429"/>
      <c r="P46" s="429"/>
      <c r="Q46" s="429"/>
      <c r="R46" s="429"/>
      <c r="S46" s="429"/>
      <c r="T46" s="429"/>
      <c r="U46" s="429"/>
      <c r="V46" s="429"/>
      <c r="W46" s="429"/>
      <c r="X46" s="429"/>
      <c r="Y46" s="429"/>
      <c r="Z46" s="429"/>
      <c r="AA46" s="429"/>
    </row>
    <row r="47" spans="1:27" ht="16">
      <c r="A47" s="429"/>
      <c r="B47" s="439" t="s">
        <v>632</v>
      </c>
      <c r="C47" s="440"/>
      <c r="D47" s="440"/>
      <c r="E47" s="440"/>
      <c r="F47" s="440"/>
      <c r="G47" s="457">
        <f>SUM(G34:G46)</f>
        <v>1430000.0000000002</v>
      </c>
      <c r="H47" s="455">
        <f>SUM(H34:H46)</f>
        <v>143.00000000000003</v>
      </c>
      <c r="I47" s="429"/>
      <c r="J47" s="429"/>
      <c r="K47" s="429"/>
      <c r="L47" s="429"/>
      <c r="M47" s="429"/>
      <c r="N47" s="429"/>
      <c r="O47" s="429"/>
      <c r="P47" s="429"/>
      <c r="Q47" s="429"/>
      <c r="R47" s="429"/>
      <c r="S47" s="429"/>
      <c r="T47" s="429"/>
      <c r="U47" s="429"/>
      <c r="V47" s="429"/>
      <c r="W47" s="429"/>
      <c r="X47" s="429"/>
      <c r="Y47" s="429"/>
      <c r="Z47" s="429"/>
      <c r="AA47" s="429"/>
    </row>
    <row r="48" spans="1:27" ht="16">
      <c r="A48" s="429"/>
      <c r="B48" s="429"/>
      <c r="C48" s="429"/>
      <c r="D48" s="429"/>
      <c r="E48" s="429"/>
      <c r="F48" s="429"/>
      <c r="G48" s="429"/>
      <c r="H48" s="429"/>
      <c r="I48" s="429"/>
      <c r="J48" s="429"/>
      <c r="K48" s="429"/>
      <c r="L48" s="429"/>
      <c r="M48" s="429"/>
      <c r="N48" s="429"/>
      <c r="O48" s="429"/>
      <c r="P48" s="429"/>
      <c r="Q48" s="429"/>
      <c r="R48" s="429"/>
      <c r="S48" s="429"/>
      <c r="T48" s="429"/>
      <c r="U48" s="429"/>
      <c r="V48" s="429"/>
      <c r="W48" s="429"/>
      <c r="X48" s="429"/>
      <c r="Y48" s="429"/>
      <c r="Z48" s="429"/>
      <c r="AA48" s="429"/>
    </row>
    <row r="49" spans="1:27" ht="16">
      <c r="A49" s="429"/>
      <c r="B49" s="429" t="s">
        <v>851</v>
      </c>
      <c r="C49" s="429"/>
      <c r="D49" s="429"/>
      <c r="E49" s="429"/>
      <c r="F49" s="429"/>
      <c r="G49" s="429"/>
      <c r="H49" s="429"/>
      <c r="I49" s="429"/>
      <c r="J49" s="429"/>
      <c r="K49" s="429"/>
      <c r="L49" s="429"/>
      <c r="M49" s="429"/>
      <c r="N49" s="429"/>
      <c r="O49" s="429"/>
      <c r="P49" s="429"/>
      <c r="Q49" s="429"/>
      <c r="R49" s="429"/>
      <c r="S49" s="429"/>
      <c r="T49" s="429"/>
      <c r="U49" s="429"/>
      <c r="V49" s="429"/>
      <c r="W49" s="429"/>
      <c r="X49" s="429"/>
      <c r="Y49" s="429"/>
      <c r="Z49" s="429"/>
      <c r="AA49" s="429"/>
    </row>
    <row r="50" spans="1:27" ht="16">
      <c r="A50" s="429"/>
      <c r="B50" s="447" t="s">
        <v>851</v>
      </c>
      <c r="C50" s="448" t="s">
        <v>915</v>
      </c>
      <c r="D50" s="448" t="s">
        <v>914</v>
      </c>
      <c r="E50" s="448" t="s">
        <v>882</v>
      </c>
      <c r="F50" s="448" t="s">
        <v>920</v>
      </c>
      <c r="G50" s="449" t="s">
        <v>933</v>
      </c>
      <c r="H50" s="450" t="s">
        <v>931</v>
      </c>
      <c r="I50" s="429"/>
      <c r="J50" s="429"/>
      <c r="K50" s="429"/>
      <c r="L50" s="429"/>
      <c r="M50" s="429"/>
      <c r="N50" s="429"/>
      <c r="O50" s="429"/>
      <c r="P50" s="429"/>
      <c r="Q50" s="429"/>
      <c r="R50" s="429"/>
      <c r="S50" s="429"/>
      <c r="T50" s="429"/>
      <c r="U50" s="429"/>
      <c r="V50" s="429"/>
      <c r="W50" s="429"/>
      <c r="X50" s="429"/>
      <c r="Y50" s="429"/>
      <c r="Z50" s="429"/>
      <c r="AA50" s="429"/>
    </row>
    <row r="51" spans="1:27" ht="16">
      <c r="A51" s="429"/>
      <c r="B51" s="434" t="s">
        <v>896</v>
      </c>
      <c r="C51" s="435"/>
      <c r="D51" s="472">
        <v>1</v>
      </c>
      <c r="E51" s="472">
        <v>1000000000</v>
      </c>
      <c r="F51" s="472">
        <v>0.01</v>
      </c>
      <c r="G51" s="467">
        <f t="shared" ref="G51:G58" si="4">IF(D51=0,0,D51*E51*F51)</f>
        <v>10000000</v>
      </c>
      <c r="H51" s="468">
        <f t="shared" ref="H51:H58" si="5">IF(G51=0,0,G51/exchange_rate)</f>
        <v>1000</v>
      </c>
      <c r="I51" s="430" t="s">
        <v>897</v>
      </c>
      <c r="J51" s="430"/>
      <c r="K51" s="430"/>
      <c r="L51" s="429"/>
      <c r="M51" s="429"/>
      <c r="N51" s="429"/>
      <c r="O51" s="429"/>
      <c r="P51" s="429"/>
      <c r="Q51" s="429"/>
      <c r="R51" s="429"/>
      <c r="S51" s="429"/>
      <c r="T51" s="429"/>
      <c r="U51" s="429"/>
      <c r="V51" s="429"/>
      <c r="W51" s="429"/>
      <c r="X51" s="429"/>
      <c r="Y51" s="429"/>
      <c r="Z51" s="429"/>
      <c r="AA51" s="429"/>
    </row>
    <row r="52" spans="1:27" ht="16">
      <c r="A52" s="429"/>
      <c r="B52" s="436" t="s">
        <v>653</v>
      </c>
      <c r="C52" s="429"/>
      <c r="D52" s="471">
        <v>1</v>
      </c>
      <c r="E52" s="471">
        <v>10000000</v>
      </c>
      <c r="F52" s="471">
        <v>0.01</v>
      </c>
      <c r="G52" s="467">
        <f t="shared" si="4"/>
        <v>100000</v>
      </c>
      <c r="H52" s="468">
        <f t="shared" si="5"/>
        <v>10</v>
      </c>
      <c r="I52" s="430" t="s">
        <v>898</v>
      </c>
      <c r="J52" s="429"/>
      <c r="K52" s="429"/>
      <c r="L52" s="429"/>
      <c r="M52" s="429"/>
      <c r="N52" s="429"/>
      <c r="O52" s="429"/>
      <c r="P52" s="429"/>
      <c r="Q52" s="429"/>
      <c r="R52" s="429"/>
      <c r="S52" s="429"/>
      <c r="T52" s="429"/>
      <c r="U52" s="429"/>
      <c r="V52" s="429"/>
      <c r="W52" s="429"/>
      <c r="X52" s="429"/>
      <c r="Y52" s="429"/>
      <c r="Z52" s="429"/>
      <c r="AA52" s="429"/>
    </row>
    <row r="53" spans="1:27" ht="16">
      <c r="A53" s="429"/>
      <c r="B53" s="436" t="s">
        <v>637</v>
      </c>
      <c r="C53" s="429"/>
      <c r="D53" s="471">
        <v>1</v>
      </c>
      <c r="E53" s="471">
        <v>10000000</v>
      </c>
      <c r="F53" s="471">
        <v>0.01</v>
      </c>
      <c r="G53" s="467">
        <f t="shared" si="4"/>
        <v>100000</v>
      </c>
      <c r="H53" s="468">
        <f t="shared" si="5"/>
        <v>10</v>
      </c>
      <c r="I53" s="430" t="s">
        <v>936</v>
      </c>
      <c r="J53" s="429"/>
      <c r="K53" s="429"/>
      <c r="L53" s="429"/>
      <c r="M53" s="429"/>
      <c r="N53" s="429"/>
      <c r="O53" s="429"/>
      <c r="P53" s="429"/>
      <c r="Q53" s="429"/>
      <c r="R53" s="429"/>
      <c r="S53" s="429"/>
      <c r="T53" s="429"/>
      <c r="U53" s="429"/>
      <c r="V53" s="429"/>
      <c r="W53" s="429"/>
      <c r="X53" s="429"/>
      <c r="Y53" s="429"/>
      <c r="Z53" s="429"/>
      <c r="AA53" s="429"/>
    </row>
    <row r="54" spans="1:27" ht="16">
      <c r="A54" s="429"/>
      <c r="B54" s="436" t="s">
        <v>635</v>
      </c>
      <c r="C54" s="429"/>
      <c r="D54" s="471">
        <v>1</v>
      </c>
      <c r="E54" s="471">
        <v>10000000</v>
      </c>
      <c r="F54" s="471">
        <v>0.01</v>
      </c>
      <c r="G54" s="467">
        <f t="shared" si="4"/>
        <v>100000</v>
      </c>
      <c r="H54" s="468">
        <f t="shared" si="5"/>
        <v>10</v>
      </c>
      <c r="I54" s="429"/>
      <c r="J54" s="429"/>
      <c r="K54" s="429"/>
      <c r="L54" s="429"/>
      <c r="M54" s="429"/>
      <c r="N54" s="429"/>
      <c r="O54" s="429"/>
      <c r="P54" s="429"/>
      <c r="Q54" s="429"/>
      <c r="R54" s="429"/>
      <c r="S54" s="429"/>
      <c r="T54" s="429"/>
      <c r="U54" s="429"/>
      <c r="V54" s="429"/>
      <c r="W54" s="429"/>
      <c r="X54" s="429"/>
      <c r="Y54" s="429"/>
      <c r="Z54" s="429"/>
      <c r="AA54" s="429"/>
    </row>
    <row r="55" spans="1:27" ht="16">
      <c r="A55" s="429"/>
      <c r="B55" s="436" t="s">
        <v>654</v>
      </c>
      <c r="C55" s="429"/>
      <c r="D55" s="471">
        <v>1</v>
      </c>
      <c r="E55" s="471">
        <v>10000000</v>
      </c>
      <c r="F55" s="471">
        <v>0.01</v>
      </c>
      <c r="G55" s="467">
        <f t="shared" si="4"/>
        <v>100000</v>
      </c>
      <c r="H55" s="468">
        <f t="shared" si="5"/>
        <v>10</v>
      </c>
      <c r="I55" s="429"/>
      <c r="J55" s="429"/>
      <c r="K55" s="429"/>
      <c r="L55" s="429"/>
      <c r="M55" s="429"/>
      <c r="N55" s="429"/>
      <c r="O55" s="429"/>
      <c r="P55" s="429"/>
      <c r="Q55" s="429"/>
      <c r="R55" s="429"/>
      <c r="S55" s="429"/>
      <c r="T55" s="429"/>
      <c r="U55" s="429"/>
      <c r="V55" s="429"/>
      <c r="W55" s="429"/>
      <c r="X55" s="429"/>
      <c r="Y55" s="429"/>
      <c r="Z55" s="429"/>
      <c r="AA55" s="429"/>
    </row>
    <row r="56" spans="1:27" ht="16">
      <c r="A56" s="429"/>
      <c r="B56" s="436" t="s">
        <v>899</v>
      </c>
      <c r="C56" s="429"/>
      <c r="D56" s="471">
        <v>1</v>
      </c>
      <c r="E56" s="471">
        <v>10000000</v>
      </c>
      <c r="F56" s="471">
        <v>0.01</v>
      </c>
      <c r="G56" s="467">
        <f t="shared" si="4"/>
        <v>100000</v>
      </c>
      <c r="H56" s="468">
        <f t="shared" si="5"/>
        <v>10</v>
      </c>
      <c r="I56" s="429"/>
      <c r="J56" s="429"/>
      <c r="K56" s="429"/>
      <c r="L56" s="429"/>
      <c r="M56" s="429"/>
      <c r="N56" s="429"/>
      <c r="O56" s="429"/>
      <c r="P56" s="429"/>
      <c r="Q56" s="429"/>
      <c r="R56" s="429"/>
      <c r="S56" s="429"/>
      <c r="T56" s="429"/>
      <c r="U56" s="429"/>
      <c r="V56" s="429"/>
      <c r="W56" s="429"/>
      <c r="X56" s="429"/>
      <c r="Y56" s="429"/>
      <c r="Z56" s="429"/>
      <c r="AA56" s="429"/>
    </row>
    <row r="57" spans="1:27" ht="16">
      <c r="A57" s="429"/>
      <c r="B57" s="436" t="s">
        <v>620</v>
      </c>
      <c r="C57" s="429"/>
      <c r="D57" s="471">
        <v>1</v>
      </c>
      <c r="E57" s="471">
        <v>10000000</v>
      </c>
      <c r="F57" s="471">
        <v>0.01</v>
      </c>
      <c r="G57" s="467">
        <f t="shared" si="4"/>
        <v>100000</v>
      </c>
      <c r="H57" s="468">
        <f t="shared" si="5"/>
        <v>10</v>
      </c>
      <c r="I57" s="429"/>
      <c r="J57" s="429"/>
      <c r="K57" s="429"/>
      <c r="L57" s="429"/>
      <c r="M57" s="429"/>
      <c r="N57" s="429"/>
      <c r="O57" s="429"/>
      <c r="P57" s="429"/>
      <c r="Q57" s="429"/>
      <c r="R57" s="429"/>
      <c r="S57" s="429"/>
      <c r="T57" s="429"/>
      <c r="U57" s="429"/>
      <c r="V57" s="429"/>
      <c r="W57" s="429"/>
      <c r="X57" s="429"/>
      <c r="Y57" s="429"/>
      <c r="Z57" s="429"/>
      <c r="AA57" s="429"/>
    </row>
    <row r="58" spans="1:27" ht="16">
      <c r="A58" s="429"/>
      <c r="B58" s="436" t="s">
        <v>26</v>
      </c>
      <c r="C58" s="429"/>
      <c r="D58" s="471">
        <v>1</v>
      </c>
      <c r="E58" s="471">
        <v>10000000</v>
      </c>
      <c r="F58" s="471">
        <v>0.01</v>
      </c>
      <c r="G58" s="467">
        <f t="shared" si="4"/>
        <v>100000</v>
      </c>
      <c r="H58" s="468">
        <f t="shared" si="5"/>
        <v>10</v>
      </c>
      <c r="I58" s="429"/>
      <c r="J58" s="429"/>
      <c r="K58" s="429"/>
      <c r="L58" s="429"/>
      <c r="M58" s="429"/>
      <c r="N58" s="429"/>
      <c r="O58" s="429"/>
      <c r="P58" s="429"/>
      <c r="Q58" s="429"/>
      <c r="R58" s="429"/>
      <c r="S58" s="429"/>
      <c r="T58" s="429"/>
      <c r="U58" s="429"/>
      <c r="V58" s="429"/>
      <c r="W58" s="429"/>
      <c r="X58" s="429"/>
      <c r="Y58" s="429"/>
      <c r="Z58" s="429"/>
      <c r="AA58" s="429"/>
    </row>
    <row r="59" spans="1:27" ht="16">
      <c r="A59" s="429"/>
      <c r="B59" s="439" t="s">
        <v>632</v>
      </c>
      <c r="C59" s="440"/>
      <c r="D59" s="440"/>
      <c r="E59" s="440"/>
      <c r="F59" s="440"/>
      <c r="G59" s="457">
        <f>SUM(G51:G58)</f>
        <v>10700000</v>
      </c>
      <c r="H59" s="455">
        <f>SUM(H51:H58)</f>
        <v>1070</v>
      </c>
      <c r="I59" s="429"/>
      <c r="J59" s="429"/>
      <c r="K59" s="429"/>
      <c r="L59" s="429"/>
      <c r="M59" s="429"/>
      <c r="N59" s="429"/>
      <c r="O59" s="429"/>
      <c r="P59" s="429"/>
      <c r="Q59" s="429"/>
      <c r="R59" s="429"/>
      <c r="S59" s="429"/>
      <c r="T59" s="429"/>
      <c r="U59" s="429"/>
      <c r="V59" s="429"/>
      <c r="W59" s="429"/>
      <c r="X59" s="429"/>
      <c r="Y59" s="429"/>
      <c r="Z59" s="429"/>
      <c r="AA59" s="429"/>
    </row>
    <row r="60" spans="1:27" ht="16">
      <c r="A60" s="429"/>
      <c r="B60" s="429"/>
      <c r="C60" s="429"/>
      <c r="D60" s="429"/>
      <c r="E60" s="429"/>
      <c r="F60" s="429"/>
      <c r="G60" s="429"/>
      <c r="H60" s="429"/>
      <c r="I60" s="429"/>
      <c r="J60" s="429"/>
      <c r="K60" s="429"/>
      <c r="L60" s="429"/>
      <c r="M60" s="429"/>
      <c r="N60" s="429"/>
      <c r="O60" s="429"/>
      <c r="P60" s="429"/>
      <c r="Q60" s="429"/>
      <c r="R60" s="429"/>
      <c r="S60" s="429"/>
      <c r="T60" s="429"/>
      <c r="U60" s="429"/>
      <c r="V60" s="429"/>
      <c r="W60" s="429"/>
      <c r="X60" s="429"/>
      <c r="Y60" s="429"/>
      <c r="Z60" s="429"/>
      <c r="AA60" s="429"/>
    </row>
    <row r="61" spans="1:27" ht="16">
      <c r="A61" s="429"/>
      <c r="B61" s="451" t="s">
        <v>900</v>
      </c>
      <c r="C61" s="452" t="s">
        <v>863</v>
      </c>
      <c r="D61" s="452" t="s">
        <v>659</v>
      </c>
      <c r="E61" s="452" t="s">
        <v>882</v>
      </c>
      <c r="F61" s="452" t="s">
        <v>922</v>
      </c>
      <c r="G61" s="453" t="s">
        <v>934</v>
      </c>
      <c r="H61" s="450" t="s">
        <v>931</v>
      </c>
      <c r="I61" s="429"/>
      <c r="J61" s="429"/>
      <c r="K61" s="429"/>
      <c r="L61" s="429"/>
      <c r="M61" s="429"/>
      <c r="N61" s="429"/>
      <c r="O61" s="429"/>
      <c r="P61" s="429"/>
      <c r="Q61" s="429"/>
      <c r="R61" s="429"/>
      <c r="S61" s="429"/>
      <c r="T61" s="429"/>
      <c r="U61" s="429"/>
      <c r="V61" s="429"/>
      <c r="W61" s="429"/>
      <c r="X61" s="429"/>
      <c r="Y61" s="429"/>
      <c r="Z61" s="429"/>
      <c r="AA61" s="429"/>
    </row>
    <row r="62" spans="1:27" ht="16">
      <c r="A62" s="429"/>
      <c r="B62" s="436" t="s">
        <v>901</v>
      </c>
      <c r="C62" s="429"/>
      <c r="D62" s="471">
        <v>1</v>
      </c>
      <c r="E62" s="471">
        <v>10000000</v>
      </c>
      <c r="F62" s="471">
        <v>1</v>
      </c>
      <c r="G62" s="467">
        <f t="shared" ref="G62:G67" si="6">IF(D62=0,0,D62*E62*F62)</f>
        <v>10000000</v>
      </c>
      <c r="H62" s="468">
        <f t="shared" ref="H62:H67" si="7">IF(G62=0,0,G62/exchange_rate)</f>
        <v>1000</v>
      </c>
      <c r="I62" s="430" t="s">
        <v>923</v>
      </c>
      <c r="J62" s="429"/>
      <c r="K62" s="429"/>
      <c r="L62" s="429"/>
      <c r="M62" s="429"/>
      <c r="N62" s="429"/>
      <c r="O62" s="429"/>
      <c r="P62" s="429"/>
      <c r="Q62" s="429"/>
      <c r="R62" s="429"/>
      <c r="S62" s="429"/>
      <c r="T62" s="429"/>
      <c r="U62" s="429"/>
      <c r="V62" s="429"/>
      <c r="W62" s="429"/>
      <c r="X62" s="429"/>
      <c r="Y62" s="429"/>
      <c r="Z62" s="429"/>
      <c r="AA62" s="429"/>
    </row>
    <row r="63" spans="1:27" ht="16">
      <c r="A63" s="429"/>
      <c r="B63" s="436" t="s">
        <v>902</v>
      </c>
      <c r="C63" s="429"/>
      <c r="D63" s="471">
        <v>1</v>
      </c>
      <c r="E63" s="471">
        <v>10000000</v>
      </c>
      <c r="F63" s="471">
        <v>1</v>
      </c>
      <c r="G63" s="467">
        <f t="shared" si="6"/>
        <v>10000000</v>
      </c>
      <c r="H63" s="468">
        <f t="shared" si="7"/>
        <v>1000</v>
      </c>
      <c r="I63" s="429"/>
      <c r="J63" s="429"/>
      <c r="K63" s="429"/>
      <c r="L63" s="429"/>
      <c r="M63" s="429"/>
      <c r="N63" s="429"/>
      <c r="O63" s="429"/>
      <c r="P63" s="429"/>
      <c r="Q63" s="429"/>
      <c r="R63" s="429"/>
      <c r="S63" s="429"/>
      <c r="T63" s="429"/>
      <c r="U63" s="429"/>
      <c r="V63" s="429"/>
      <c r="W63" s="429"/>
      <c r="X63" s="429"/>
      <c r="Y63" s="429"/>
      <c r="Z63" s="429"/>
      <c r="AA63" s="429"/>
    </row>
    <row r="64" spans="1:27" ht="16">
      <c r="A64" s="429"/>
      <c r="B64" s="436" t="s">
        <v>903</v>
      </c>
      <c r="C64" s="429"/>
      <c r="D64" s="471">
        <v>1</v>
      </c>
      <c r="E64" s="471">
        <v>10000000</v>
      </c>
      <c r="F64" s="471">
        <v>1</v>
      </c>
      <c r="G64" s="467">
        <f t="shared" si="6"/>
        <v>10000000</v>
      </c>
      <c r="H64" s="468">
        <f t="shared" si="7"/>
        <v>1000</v>
      </c>
      <c r="I64" s="429"/>
      <c r="J64" s="429"/>
      <c r="K64" s="429"/>
      <c r="L64" s="429"/>
      <c r="M64" s="429"/>
      <c r="N64" s="429"/>
      <c r="O64" s="429"/>
      <c r="P64" s="429"/>
      <c r="Q64" s="429"/>
      <c r="R64" s="429"/>
      <c r="S64" s="429"/>
      <c r="T64" s="429"/>
      <c r="U64" s="429"/>
      <c r="V64" s="429"/>
      <c r="W64" s="429"/>
      <c r="X64" s="429"/>
      <c r="Y64" s="429"/>
      <c r="Z64" s="429"/>
      <c r="AA64" s="429"/>
    </row>
    <row r="65" spans="1:27" ht="16">
      <c r="A65" s="429"/>
      <c r="B65" s="436" t="s">
        <v>904</v>
      </c>
      <c r="C65" s="429"/>
      <c r="D65" s="471">
        <v>1</v>
      </c>
      <c r="E65" s="471">
        <v>10000000</v>
      </c>
      <c r="F65" s="471">
        <v>1</v>
      </c>
      <c r="G65" s="467">
        <f t="shared" si="6"/>
        <v>10000000</v>
      </c>
      <c r="H65" s="468">
        <f t="shared" si="7"/>
        <v>1000</v>
      </c>
      <c r="I65" s="430" t="s">
        <v>905</v>
      </c>
      <c r="J65" s="430"/>
      <c r="K65" s="429"/>
      <c r="L65" s="429"/>
      <c r="M65" s="429"/>
      <c r="N65" s="429"/>
      <c r="O65" s="429"/>
      <c r="P65" s="429"/>
      <c r="Q65" s="429"/>
      <c r="R65" s="429"/>
      <c r="S65" s="429"/>
      <c r="T65" s="429"/>
      <c r="U65" s="429"/>
      <c r="V65" s="429"/>
      <c r="W65" s="429"/>
      <c r="X65" s="429"/>
      <c r="Y65" s="429"/>
      <c r="Z65" s="429"/>
      <c r="AA65" s="429"/>
    </row>
    <row r="66" spans="1:27" ht="16">
      <c r="A66" s="429"/>
      <c r="B66" s="436" t="s">
        <v>926</v>
      </c>
      <c r="C66" s="429"/>
      <c r="D66" s="471">
        <v>1</v>
      </c>
      <c r="E66" s="471">
        <v>10000000</v>
      </c>
      <c r="F66" s="471">
        <v>1</v>
      </c>
      <c r="G66" s="467">
        <f t="shared" si="6"/>
        <v>10000000</v>
      </c>
      <c r="H66" s="468">
        <f t="shared" si="7"/>
        <v>1000</v>
      </c>
      <c r="I66" s="430" t="s">
        <v>927</v>
      </c>
      <c r="J66" s="430"/>
      <c r="K66" s="429"/>
      <c r="L66" s="429"/>
      <c r="M66" s="429"/>
      <c r="N66" s="429"/>
      <c r="O66" s="429"/>
      <c r="P66" s="429"/>
      <c r="Q66" s="429"/>
      <c r="R66" s="429"/>
      <c r="S66" s="429"/>
      <c r="T66" s="429"/>
      <c r="U66" s="429"/>
      <c r="V66" s="429"/>
      <c r="W66" s="429"/>
      <c r="X66" s="429"/>
      <c r="Y66" s="429"/>
      <c r="Z66" s="429"/>
      <c r="AA66" s="429"/>
    </row>
    <row r="67" spans="1:27" ht="16">
      <c r="A67" s="429"/>
      <c r="B67" s="436" t="s">
        <v>906</v>
      </c>
      <c r="C67" s="429"/>
      <c r="D67" s="471">
        <v>1</v>
      </c>
      <c r="E67" s="471">
        <v>10000000</v>
      </c>
      <c r="F67" s="471">
        <v>1</v>
      </c>
      <c r="G67" s="467">
        <f t="shared" si="6"/>
        <v>10000000</v>
      </c>
      <c r="H67" s="468">
        <f t="shared" si="7"/>
        <v>1000</v>
      </c>
      <c r="I67" s="429"/>
      <c r="J67" s="429"/>
      <c r="K67" s="429"/>
      <c r="L67" s="429"/>
      <c r="M67" s="429"/>
      <c r="N67" s="429"/>
      <c r="O67" s="429"/>
      <c r="P67" s="429"/>
      <c r="Q67" s="429"/>
      <c r="R67" s="429"/>
      <c r="S67" s="429"/>
      <c r="T67" s="429"/>
      <c r="U67" s="429"/>
      <c r="V67" s="429"/>
      <c r="W67" s="429"/>
      <c r="X67" s="429"/>
      <c r="Y67" s="429"/>
      <c r="Z67" s="429"/>
      <c r="AA67" s="429"/>
    </row>
    <row r="68" spans="1:27" ht="16">
      <c r="A68" s="429"/>
      <c r="B68" s="439" t="s">
        <v>632</v>
      </c>
      <c r="C68" s="440"/>
      <c r="D68" s="440"/>
      <c r="E68" s="440"/>
      <c r="F68" s="440"/>
      <c r="G68" s="457">
        <f>SUM(G62:G67)</f>
        <v>60000000</v>
      </c>
      <c r="H68" s="455">
        <f>SUM(H62:H67)</f>
        <v>6000</v>
      </c>
      <c r="I68" s="429"/>
      <c r="J68" s="429"/>
      <c r="K68" s="429"/>
      <c r="L68" s="429"/>
      <c r="M68" s="429"/>
      <c r="N68" s="429"/>
      <c r="O68" s="429"/>
      <c r="P68" s="429"/>
      <c r="Q68" s="429"/>
      <c r="R68" s="429"/>
      <c r="S68" s="429"/>
      <c r="T68" s="429"/>
      <c r="U68" s="429"/>
      <c r="V68" s="429"/>
      <c r="W68" s="429"/>
      <c r="X68" s="429"/>
      <c r="Y68" s="429"/>
      <c r="Z68" s="429"/>
      <c r="AA68" s="429"/>
    </row>
    <row r="69" spans="1:27" ht="16">
      <c r="A69" s="429"/>
      <c r="B69" s="432"/>
      <c r="C69" s="432"/>
      <c r="D69" s="432"/>
      <c r="E69" s="432"/>
      <c r="F69" s="432"/>
      <c r="G69" s="432"/>
      <c r="H69" s="432"/>
      <c r="I69" s="432"/>
      <c r="J69" s="432"/>
      <c r="K69" s="432"/>
      <c r="L69" s="432"/>
      <c r="M69" s="432"/>
      <c r="N69" s="432"/>
      <c r="O69" s="432"/>
      <c r="P69" s="429"/>
      <c r="Q69" s="429"/>
      <c r="R69" s="429"/>
      <c r="S69" s="429"/>
      <c r="T69" s="429"/>
      <c r="U69" s="429"/>
      <c r="V69" s="429"/>
      <c r="W69" s="429"/>
      <c r="X69" s="429"/>
      <c r="Y69" s="429"/>
      <c r="Z69" s="429"/>
      <c r="AA69" s="429"/>
    </row>
    <row r="70" spans="1:27" ht="16">
      <c r="A70" s="429"/>
      <c r="B70" s="454" t="s">
        <v>907</v>
      </c>
      <c r="C70" s="452" t="s">
        <v>863</v>
      </c>
      <c r="D70" s="452" t="s">
        <v>659</v>
      </c>
      <c r="E70" s="452" t="s">
        <v>882</v>
      </c>
      <c r="F70" s="453" t="s">
        <v>922</v>
      </c>
      <c r="G70" s="453" t="s">
        <v>934</v>
      </c>
      <c r="H70" s="450" t="s">
        <v>931</v>
      </c>
      <c r="I70" s="432"/>
      <c r="J70" s="432"/>
      <c r="K70" s="432"/>
      <c r="L70" s="432"/>
      <c r="M70" s="432"/>
      <c r="N70" s="432"/>
      <c r="O70" s="432"/>
      <c r="P70" s="429"/>
      <c r="Q70" s="429"/>
      <c r="R70" s="429"/>
      <c r="S70" s="429"/>
      <c r="T70" s="429"/>
      <c r="U70" s="429"/>
      <c r="V70" s="429"/>
      <c r="W70" s="429"/>
      <c r="X70" s="429"/>
      <c r="Y70" s="429"/>
      <c r="Z70" s="429"/>
      <c r="AA70" s="429"/>
    </row>
    <row r="71" spans="1:27" ht="16">
      <c r="A71" s="429"/>
      <c r="B71" s="441" t="s">
        <v>908</v>
      </c>
      <c r="C71" s="442"/>
      <c r="D71" s="473">
        <v>1</v>
      </c>
      <c r="E71" s="473">
        <v>5000000</v>
      </c>
      <c r="F71" s="473">
        <v>1</v>
      </c>
      <c r="G71" s="469">
        <f t="shared" ref="G71:G77" si="8">IF(D71=0,0,D71*E71*F71)</f>
        <v>5000000</v>
      </c>
      <c r="H71" s="468">
        <f t="shared" ref="H71:H77" si="9">IF(G71=0,0,G71/exchange_rate)</f>
        <v>500</v>
      </c>
      <c r="I71" s="432"/>
      <c r="J71" s="432"/>
      <c r="K71" s="432"/>
      <c r="L71" s="432"/>
      <c r="M71" s="432"/>
      <c r="N71" s="432"/>
      <c r="O71" s="432"/>
      <c r="P71" s="429"/>
      <c r="Q71" s="429"/>
      <c r="R71" s="429"/>
      <c r="S71" s="429"/>
      <c r="T71" s="429"/>
      <c r="U71" s="429"/>
      <c r="V71" s="429"/>
      <c r="W71" s="429"/>
      <c r="X71" s="429"/>
      <c r="Y71" s="429"/>
      <c r="Z71" s="429"/>
      <c r="AA71" s="429"/>
    </row>
    <row r="72" spans="1:27" ht="16">
      <c r="A72" s="429"/>
      <c r="B72" s="443" t="s">
        <v>909</v>
      </c>
      <c r="C72" s="432"/>
      <c r="D72" s="474">
        <v>1</v>
      </c>
      <c r="E72" s="474">
        <v>10000000</v>
      </c>
      <c r="F72" s="474">
        <v>1</v>
      </c>
      <c r="G72" s="467">
        <f t="shared" si="8"/>
        <v>10000000</v>
      </c>
      <c r="H72" s="468">
        <f t="shared" si="9"/>
        <v>1000</v>
      </c>
      <c r="I72" s="432"/>
      <c r="J72" s="432"/>
      <c r="K72" s="432"/>
      <c r="L72" s="432"/>
      <c r="M72" s="432"/>
      <c r="N72" s="432"/>
      <c r="O72" s="432"/>
      <c r="P72" s="429"/>
      <c r="Q72" s="429"/>
      <c r="R72" s="429"/>
      <c r="S72" s="429"/>
      <c r="T72" s="429"/>
      <c r="U72" s="429"/>
      <c r="V72" s="429"/>
      <c r="W72" s="429"/>
      <c r="X72" s="429"/>
      <c r="Y72" s="429"/>
      <c r="Z72" s="429"/>
      <c r="AA72" s="429"/>
    </row>
    <row r="73" spans="1:27" ht="16">
      <c r="A73" s="429"/>
      <c r="B73" s="443" t="s">
        <v>910</v>
      </c>
      <c r="C73" s="432"/>
      <c r="D73" s="474">
        <v>1</v>
      </c>
      <c r="E73" s="474">
        <v>10000000</v>
      </c>
      <c r="F73" s="474">
        <v>1</v>
      </c>
      <c r="G73" s="467">
        <f t="shared" si="8"/>
        <v>10000000</v>
      </c>
      <c r="H73" s="468">
        <f t="shared" si="9"/>
        <v>1000</v>
      </c>
      <c r="I73" s="432"/>
      <c r="J73" s="432"/>
      <c r="K73" s="432"/>
      <c r="L73" s="432"/>
      <c r="M73" s="432"/>
      <c r="N73" s="432"/>
      <c r="O73" s="432"/>
      <c r="P73" s="429"/>
      <c r="Q73" s="429"/>
      <c r="R73" s="429"/>
      <c r="S73" s="429"/>
      <c r="T73" s="429"/>
      <c r="U73" s="429"/>
      <c r="V73" s="429"/>
      <c r="W73" s="429"/>
      <c r="X73" s="429"/>
      <c r="Y73" s="429"/>
      <c r="Z73" s="429"/>
      <c r="AA73" s="429"/>
    </row>
    <row r="74" spans="1:27" ht="16">
      <c r="A74" s="429"/>
      <c r="B74" s="443" t="s">
        <v>911</v>
      </c>
      <c r="C74" s="432"/>
      <c r="D74" s="474">
        <v>1</v>
      </c>
      <c r="E74" s="474">
        <v>10000000</v>
      </c>
      <c r="F74" s="474">
        <v>1</v>
      </c>
      <c r="G74" s="467">
        <f t="shared" si="8"/>
        <v>10000000</v>
      </c>
      <c r="H74" s="468">
        <f t="shared" si="9"/>
        <v>1000</v>
      </c>
      <c r="I74" s="433" t="s">
        <v>928</v>
      </c>
      <c r="J74" s="432"/>
      <c r="K74" s="432"/>
      <c r="L74" s="432"/>
      <c r="M74" s="432"/>
      <c r="N74" s="432"/>
      <c r="O74" s="432"/>
      <c r="P74" s="429"/>
      <c r="Q74" s="429"/>
      <c r="R74" s="429"/>
      <c r="S74" s="429"/>
      <c r="T74" s="429"/>
      <c r="U74" s="429"/>
      <c r="V74" s="429"/>
      <c r="W74" s="429"/>
      <c r="X74" s="429"/>
      <c r="Y74" s="429"/>
      <c r="Z74" s="429"/>
      <c r="AA74" s="429"/>
    </row>
    <row r="75" spans="1:27" ht="16">
      <c r="A75" s="429"/>
      <c r="B75" s="443" t="s">
        <v>912</v>
      </c>
      <c r="C75" s="432"/>
      <c r="D75" s="474">
        <v>1</v>
      </c>
      <c r="E75" s="474">
        <v>5000000</v>
      </c>
      <c r="F75" s="474">
        <v>1</v>
      </c>
      <c r="G75" s="467">
        <f t="shared" si="8"/>
        <v>5000000</v>
      </c>
      <c r="H75" s="468">
        <f t="shared" si="9"/>
        <v>500</v>
      </c>
      <c r="I75" s="433" t="s">
        <v>913</v>
      </c>
      <c r="J75" s="433"/>
      <c r="K75" s="433"/>
      <c r="L75" s="433"/>
      <c r="M75" s="433"/>
      <c r="N75" s="433"/>
      <c r="O75" s="433"/>
      <c r="P75" s="429"/>
      <c r="Q75" s="429"/>
      <c r="R75" s="429"/>
      <c r="S75" s="429"/>
      <c r="T75" s="429"/>
      <c r="U75" s="429"/>
      <c r="V75" s="429"/>
      <c r="W75" s="429"/>
      <c r="X75" s="429"/>
      <c r="Y75" s="429"/>
      <c r="Z75" s="429"/>
      <c r="AA75" s="429"/>
    </row>
    <row r="76" spans="1:27" ht="16">
      <c r="A76" s="431"/>
      <c r="B76" s="443" t="s">
        <v>929</v>
      </c>
      <c r="C76" s="432"/>
      <c r="D76" s="474">
        <v>1</v>
      </c>
      <c r="E76" s="474">
        <v>5000000</v>
      </c>
      <c r="F76" s="474">
        <v>1</v>
      </c>
      <c r="G76" s="467">
        <f t="shared" si="8"/>
        <v>5000000</v>
      </c>
      <c r="H76" s="468">
        <f t="shared" si="9"/>
        <v>500</v>
      </c>
      <c r="I76" s="432"/>
      <c r="J76" s="432"/>
      <c r="K76" s="432"/>
      <c r="L76" s="432"/>
      <c r="M76" s="432"/>
      <c r="N76" s="432"/>
      <c r="O76" s="432"/>
      <c r="P76" s="431"/>
      <c r="Q76" s="431"/>
      <c r="R76" s="431"/>
      <c r="S76" s="431"/>
      <c r="T76" s="431"/>
      <c r="U76" s="431"/>
      <c r="V76" s="431"/>
      <c r="W76" s="431"/>
      <c r="X76" s="431"/>
      <c r="Y76" s="431"/>
      <c r="Z76" s="431"/>
      <c r="AA76" s="431"/>
    </row>
    <row r="77" spans="1:27" ht="16">
      <c r="A77" s="431"/>
      <c r="B77" s="443" t="s">
        <v>924</v>
      </c>
      <c r="C77" s="432"/>
      <c r="D77" s="474">
        <v>1</v>
      </c>
      <c r="E77" s="474">
        <v>5000000</v>
      </c>
      <c r="F77" s="474">
        <v>1</v>
      </c>
      <c r="G77" s="470">
        <f t="shared" si="8"/>
        <v>5000000</v>
      </c>
      <c r="H77" s="468">
        <f t="shared" si="9"/>
        <v>500</v>
      </c>
      <c r="I77" s="432"/>
      <c r="J77" s="432"/>
      <c r="K77" s="432"/>
      <c r="L77" s="432"/>
      <c r="M77" s="432"/>
      <c r="N77" s="432"/>
      <c r="O77" s="432"/>
      <c r="P77" s="431"/>
      <c r="Q77" s="431"/>
      <c r="R77" s="431"/>
      <c r="S77" s="431"/>
      <c r="T77" s="431"/>
      <c r="U77" s="431"/>
      <c r="V77" s="431"/>
      <c r="W77" s="431"/>
      <c r="X77" s="431"/>
      <c r="Y77" s="431"/>
      <c r="Z77" s="431"/>
      <c r="AA77" s="431"/>
    </row>
    <row r="78" spans="1:27" ht="16">
      <c r="A78" s="431"/>
      <c r="B78" s="444" t="s">
        <v>632</v>
      </c>
      <c r="C78" s="445"/>
      <c r="D78" s="445"/>
      <c r="E78" s="445"/>
      <c r="F78" s="445"/>
      <c r="G78" s="458">
        <f>SUM(G71:G77)</f>
        <v>50000000</v>
      </c>
      <c r="H78" s="456">
        <f>SUM(H71:H77)</f>
        <v>5000</v>
      </c>
      <c r="I78" s="432"/>
      <c r="J78" s="432"/>
      <c r="K78" s="432"/>
      <c r="L78" s="432"/>
      <c r="M78" s="432"/>
      <c r="N78" s="432"/>
      <c r="O78" s="432"/>
      <c r="P78" s="431"/>
      <c r="Q78" s="431"/>
      <c r="R78" s="431"/>
      <c r="S78" s="431"/>
      <c r="T78" s="431"/>
      <c r="U78" s="431"/>
      <c r="V78" s="431"/>
      <c r="W78" s="431"/>
      <c r="X78" s="431"/>
      <c r="Y78" s="431"/>
      <c r="Z78" s="431"/>
      <c r="AA78" s="431"/>
    </row>
    <row r="79" spans="1:27" ht="16">
      <c r="A79" s="431"/>
      <c r="B79" s="432"/>
      <c r="C79" s="432"/>
      <c r="D79" s="432"/>
      <c r="E79" s="432"/>
      <c r="F79" s="432"/>
      <c r="G79" s="432"/>
      <c r="H79" s="432"/>
      <c r="I79" s="432"/>
      <c r="J79" s="432"/>
      <c r="K79" s="432"/>
      <c r="L79" s="432"/>
      <c r="M79" s="432"/>
      <c r="N79" s="432"/>
      <c r="O79" s="432"/>
      <c r="P79" s="431"/>
      <c r="Q79" s="431"/>
      <c r="R79" s="431"/>
      <c r="S79" s="431"/>
      <c r="T79" s="431"/>
      <c r="U79" s="431"/>
      <c r="V79" s="431"/>
      <c r="W79" s="431"/>
      <c r="X79" s="431"/>
      <c r="Y79" s="431"/>
      <c r="Z79" s="431"/>
      <c r="AA79" s="431"/>
    </row>
    <row r="80" spans="1:27" ht="16">
      <c r="A80" s="431"/>
      <c r="B80" s="454" t="s">
        <v>937</v>
      </c>
      <c r="C80" s="475"/>
      <c r="D80" s="475"/>
      <c r="E80" s="475"/>
      <c r="F80" s="475"/>
      <c r="G80" s="476">
        <f>G12+G22+G30+G47+G59+G68+G78</f>
        <v>623130000</v>
      </c>
      <c r="H80" s="477">
        <f>G80/exchange_rate</f>
        <v>62313</v>
      </c>
      <c r="I80" s="432"/>
      <c r="J80" s="432"/>
      <c r="K80" s="432"/>
      <c r="L80" s="432"/>
      <c r="M80" s="432"/>
      <c r="N80" s="432"/>
      <c r="O80" s="432"/>
      <c r="P80" s="431"/>
      <c r="Q80" s="431"/>
      <c r="R80" s="431"/>
      <c r="S80" s="431"/>
      <c r="T80" s="431"/>
      <c r="U80" s="431"/>
      <c r="V80" s="431"/>
      <c r="W80" s="431"/>
      <c r="X80" s="431"/>
      <c r="Y80" s="431"/>
      <c r="Z80" s="431"/>
      <c r="AA80" s="431"/>
    </row>
    <row r="81" spans="1:27" ht="16">
      <c r="A81" s="431"/>
      <c r="B81" s="432"/>
      <c r="C81" s="432"/>
      <c r="D81" s="432"/>
      <c r="E81" s="432"/>
      <c r="F81" s="432"/>
      <c r="G81" s="432"/>
      <c r="H81" s="432"/>
      <c r="I81" s="432"/>
      <c r="J81" s="432"/>
      <c r="K81" s="432"/>
      <c r="L81" s="432"/>
      <c r="M81" s="432"/>
      <c r="N81" s="432"/>
      <c r="O81" s="432"/>
      <c r="P81" s="431"/>
      <c r="Q81" s="431"/>
      <c r="R81" s="431"/>
      <c r="S81" s="431"/>
      <c r="T81" s="431"/>
      <c r="U81" s="431"/>
      <c r="V81" s="431"/>
      <c r="W81" s="431"/>
      <c r="X81" s="431"/>
      <c r="Y81" s="431"/>
      <c r="Z81" s="431"/>
      <c r="AA81" s="431"/>
    </row>
    <row r="82" spans="1:27" ht="16">
      <c r="A82" s="431"/>
      <c r="B82" s="432"/>
      <c r="C82" s="432"/>
      <c r="D82" s="432"/>
      <c r="E82" s="432"/>
      <c r="F82" s="432"/>
      <c r="G82" s="432"/>
      <c r="H82" s="432"/>
      <c r="I82" s="432"/>
      <c r="J82" s="432"/>
      <c r="K82" s="432"/>
      <c r="L82" s="432"/>
      <c r="M82" s="432"/>
      <c r="N82" s="432"/>
      <c r="O82" s="432"/>
      <c r="P82" s="431"/>
      <c r="Q82" s="431"/>
      <c r="R82" s="431"/>
      <c r="S82" s="431"/>
      <c r="T82" s="431"/>
      <c r="U82" s="431"/>
      <c r="V82" s="431"/>
      <c r="W82" s="431"/>
      <c r="X82" s="431"/>
      <c r="Y82" s="431"/>
      <c r="Z82" s="431"/>
      <c r="AA82" s="431"/>
    </row>
    <row r="83" spans="1:27" ht="16">
      <c r="A83" s="431"/>
      <c r="B83" s="432"/>
      <c r="C83" s="432"/>
      <c r="D83" s="432"/>
      <c r="E83" s="432"/>
      <c r="F83" s="432"/>
      <c r="G83" s="432"/>
      <c r="H83" s="432"/>
      <c r="I83" s="432"/>
      <c r="J83" s="432"/>
      <c r="K83" s="432"/>
      <c r="L83" s="432"/>
      <c r="M83" s="432"/>
      <c r="N83" s="432"/>
      <c r="O83" s="432"/>
      <c r="P83" s="431"/>
      <c r="Q83" s="431"/>
      <c r="R83" s="431"/>
      <c r="S83" s="431"/>
      <c r="T83" s="431"/>
      <c r="U83" s="431"/>
      <c r="V83" s="431"/>
      <c r="W83" s="431"/>
      <c r="X83" s="431"/>
      <c r="Y83" s="431"/>
      <c r="Z83" s="431"/>
      <c r="AA83" s="431"/>
    </row>
    <row r="84" spans="1:27" ht="16">
      <c r="A84" s="431"/>
      <c r="B84" s="432"/>
      <c r="C84" s="432"/>
      <c r="D84" s="432"/>
      <c r="E84" s="432"/>
      <c r="F84" s="432"/>
      <c r="G84" s="432"/>
      <c r="H84" s="432"/>
      <c r="I84" s="432"/>
      <c r="J84" s="432"/>
      <c r="K84" s="432"/>
      <c r="L84" s="432"/>
      <c r="M84" s="432"/>
      <c r="N84" s="432"/>
      <c r="O84" s="432"/>
      <c r="P84" s="431"/>
      <c r="Q84" s="431"/>
      <c r="R84" s="431"/>
      <c r="S84" s="431"/>
      <c r="T84" s="431"/>
      <c r="U84" s="431"/>
      <c r="V84" s="431"/>
      <c r="W84" s="431"/>
      <c r="X84" s="431"/>
      <c r="Y84" s="431"/>
      <c r="Z84" s="431"/>
      <c r="AA84" s="431"/>
    </row>
    <row r="85" spans="1:27" ht="16">
      <c r="A85" s="431"/>
      <c r="B85" s="432"/>
      <c r="C85" s="432"/>
      <c r="D85" s="432"/>
      <c r="E85" s="432"/>
      <c r="F85" s="432"/>
      <c r="G85" s="432"/>
      <c r="H85" s="432"/>
      <c r="I85" s="432"/>
      <c r="J85" s="432"/>
      <c r="K85" s="432"/>
      <c r="L85" s="432"/>
      <c r="M85" s="432"/>
      <c r="N85" s="432"/>
      <c r="O85" s="432"/>
      <c r="P85" s="431"/>
      <c r="Q85" s="431"/>
      <c r="R85" s="431"/>
      <c r="S85" s="431"/>
      <c r="T85" s="431"/>
      <c r="U85" s="431"/>
      <c r="V85" s="431"/>
      <c r="W85" s="431"/>
      <c r="X85" s="431"/>
      <c r="Y85" s="431"/>
      <c r="Z85" s="431"/>
      <c r="AA85" s="431"/>
    </row>
    <row r="86" spans="1:27" ht="16">
      <c r="A86" s="431"/>
      <c r="B86" s="432"/>
      <c r="C86" s="432"/>
      <c r="D86" s="432"/>
      <c r="E86" s="432"/>
      <c r="F86" s="432"/>
      <c r="G86" s="432"/>
      <c r="H86" s="432"/>
      <c r="I86" s="432"/>
      <c r="J86" s="432"/>
      <c r="K86" s="432"/>
      <c r="L86" s="432"/>
      <c r="M86" s="432"/>
      <c r="N86" s="432"/>
      <c r="O86" s="432"/>
      <c r="P86" s="431"/>
      <c r="Q86" s="431"/>
      <c r="R86" s="431"/>
      <c r="S86" s="431"/>
      <c r="T86" s="431"/>
      <c r="U86" s="431"/>
      <c r="V86" s="431"/>
      <c r="W86" s="431"/>
      <c r="X86" s="431"/>
      <c r="Y86" s="431"/>
      <c r="Z86" s="431"/>
      <c r="AA86" s="431"/>
    </row>
    <row r="87" spans="1:27" ht="16">
      <c r="A87" s="431"/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2"/>
      <c r="M87" s="432"/>
      <c r="N87" s="432"/>
      <c r="O87" s="432"/>
      <c r="P87" s="431"/>
      <c r="Q87" s="431"/>
      <c r="R87" s="431"/>
      <c r="S87" s="431"/>
      <c r="T87" s="431"/>
      <c r="U87" s="431"/>
      <c r="V87" s="431"/>
      <c r="W87" s="431"/>
      <c r="X87" s="431"/>
      <c r="Y87" s="431"/>
      <c r="Z87" s="431"/>
      <c r="AA87" s="431"/>
    </row>
    <row r="88" spans="1:27" ht="16">
      <c r="A88" s="431"/>
      <c r="B88" s="432"/>
      <c r="C88" s="432"/>
      <c r="D88" s="432"/>
      <c r="E88" s="432"/>
      <c r="F88" s="432"/>
      <c r="G88" s="432"/>
      <c r="H88" s="432"/>
      <c r="I88" s="432"/>
      <c r="J88" s="432"/>
      <c r="K88" s="432"/>
      <c r="L88" s="432"/>
      <c r="M88" s="432"/>
      <c r="N88" s="432"/>
      <c r="O88" s="432"/>
      <c r="P88" s="431"/>
      <c r="Q88" s="431"/>
      <c r="R88" s="431"/>
      <c r="S88" s="431"/>
      <c r="T88" s="431"/>
      <c r="U88" s="431"/>
      <c r="V88" s="431"/>
      <c r="W88" s="431"/>
      <c r="X88" s="431"/>
      <c r="Y88" s="431"/>
      <c r="Z88" s="431"/>
      <c r="AA88" s="431"/>
    </row>
    <row r="89" spans="1:27" ht="16">
      <c r="A89" s="431"/>
      <c r="B89" s="432"/>
      <c r="C89" s="432"/>
      <c r="D89" s="432"/>
      <c r="E89" s="432"/>
      <c r="F89" s="432"/>
      <c r="G89" s="432"/>
      <c r="H89" s="432"/>
      <c r="I89" s="432"/>
      <c r="J89" s="432"/>
      <c r="K89" s="432"/>
      <c r="L89" s="432"/>
      <c r="M89" s="432"/>
      <c r="N89" s="432"/>
      <c r="O89" s="432"/>
      <c r="P89" s="431"/>
      <c r="Q89" s="431"/>
      <c r="R89" s="431"/>
      <c r="S89" s="431"/>
      <c r="T89" s="431"/>
      <c r="U89" s="431"/>
      <c r="V89" s="431"/>
      <c r="W89" s="431"/>
      <c r="X89" s="431"/>
      <c r="Y89" s="431"/>
      <c r="Z89" s="431"/>
      <c r="AA89" s="431"/>
    </row>
    <row r="90" spans="1:27" ht="16">
      <c r="A90" s="431"/>
      <c r="B90" s="432"/>
      <c r="C90" s="432"/>
      <c r="D90" s="432"/>
      <c r="E90" s="432"/>
      <c r="F90" s="432"/>
      <c r="G90" s="432"/>
      <c r="H90" s="432"/>
      <c r="I90" s="432"/>
      <c r="J90" s="432"/>
      <c r="K90" s="432"/>
      <c r="L90" s="432"/>
      <c r="M90" s="432"/>
      <c r="N90" s="432"/>
      <c r="O90" s="432"/>
      <c r="P90" s="431"/>
      <c r="Q90" s="431"/>
      <c r="R90" s="431"/>
      <c r="S90" s="431"/>
      <c r="T90" s="431"/>
      <c r="U90" s="431"/>
      <c r="V90" s="431"/>
      <c r="W90" s="431"/>
      <c r="X90" s="431"/>
      <c r="Y90" s="431"/>
      <c r="Z90" s="431"/>
      <c r="AA90" s="431"/>
    </row>
    <row r="91" spans="1:27" ht="16">
      <c r="A91" s="431"/>
      <c r="B91" s="432"/>
      <c r="C91" s="432"/>
      <c r="D91" s="432"/>
      <c r="E91" s="432"/>
      <c r="F91" s="432"/>
      <c r="G91" s="432"/>
      <c r="H91" s="432"/>
      <c r="I91" s="432"/>
      <c r="J91" s="432"/>
      <c r="K91" s="432"/>
      <c r="L91" s="432"/>
      <c r="M91" s="432"/>
      <c r="N91" s="432"/>
      <c r="O91" s="432"/>
      <c r="P91" s="431"/>
      <c r="Q91" s="431"/>
      <c r="R91" s="431"/>
      <c r="S91" s="431"/>
      <c r="T91" s="431"/>
      <c r="U91" s="431"/>
      <c r="V91" s="431"/>
      <c r="W91" s="431"/>
      <c r="X91" s="431"/>
      <c r="Y91" s="431"/>
      <c r="Z91" s="431"/>
      <c r="AA91" s="431"/>
    </row>
    <row r="92" spans="1:27" ht="16">
      <c r="A92" s="431"/>
      <c r="B92" s="432"/>
      <c r="C92" s="432"/>
      <c r="D92" s="432"/>
      <c r="E92" s="432"/>
      <c r="F92" s="432"/>
      <c r="G92" s="432"/>
      <c r="H92" s="432"/>
      <c r="I92" s="432"/>
      <c r="J92" s="432"/>
      <c r="K92" s="432"/>
      <c r="L92" s="432"/>
      <c r="M92" s="432"/>
      <c r="N92" s="432"/>
      <c r="O92" s="432"/>
      <c r="P92" s="431"/>
      <c r="Q92" s="431"/>
      <c r="R92" s="431"/>
      <c r="S92" s="431"/>
      <c r="T92" s="431"/>
      <c r="U92" s="431"/>
      <c r="V92" s="431"/>
      <c r="W92" s="431"/>
      <c r="X92" s="431"/>
      <c r="Y92" s="431"/>
      <c r="Z92" s="431"/>
      <c r="AA92" s="431"/>
    </row>
    <row r="93" spans="1:27" ht="16">
      <c r="A93" s="431"/>
      <c r="B93" s="432"/>
      <c r="C93" s="432"/>
      <c r="D93" s="432"/>
      <c r="E93" s="432"/>
      <c r="F93" s="432"/>
      <c r="G93" s="432"/>
      <c r="H93" s="432"/>
      <c r="I93" s="432"/>
      <c r="J93" s="432"/>
      <c r="K93" s="432"/>
      <c r="L93" s="432"/>
      <c r="M93" s="432"/>
      <c r="N93" s="432"/>
      <c r="O93" s="432"/>
      <c r="P93" s="431"/>
      <c r="Q93" s="431"/>
      <c r="R93" s="431"/>
      <c r="S93" s="431"/>
      <c r="T93" s="431"/>
      <c r="U93" s="431"/>
      <c r="V93" s="431"/>
      <c r="W93" s="431"/>
      <c r="X93" s="431"/>
      <c r="Y93" s="431"/>
      <c r="Z93" s="431"/>
      <c r="AA93" s="431"/>
    </row>
    <row r="94" spans="1:27" ht="16">
      <c r="A94" s="431"/>
      <c r="B94" s="432"/>
      <c r="C94" s="432"/>
      <c r="D94" s="432"/>
      <c r="E94" s="432"/>
      <c r="F94" s="432"/>
      <c r="G94" s="432"/>
      <c r="H94" s="432"/>
      <c r="I94" s="432"/>
      <c r="J94" s="432"/>
      <c r="K94" s="432"/>
      <c r="L94" s="432"/>
      <c r="M94" s="432"/>
      <c r="N94" s="432"/>
      <c r="O94" s="432"/>
      <c r="P94" s="431"/>
      <c r="Q94" s="431"/>
      <c r="R94" s="431"/>
      <c r="S94" s="431"/>
      <c r="T94" s="431"/>
      <c r="U94" s="431"/>
      <c r="V94" s="431"/>
      <c r="W94" s="431"/>
      <c r="X94" s="431"/>
      <c r="Y94" s="431"/>
      <c r="Z94" s="431"/>
      <c r="AA94" s="431"/>
    </row>
    <row r="95" spans="1:27" ht="16">
      <c r="A95" s="431"/>
      <c r="B95" s="432"/>
      <c r="C95" s="432"/>
      <c r="D95" s="432"/>
      <c r="E95" s="432"/>
      <c r="F95" s="432"/>
      <c r="G95" s="432"/>
      <c r="H95" s="432"/>
      <c r="I95" s="432"/>
      <c r="J95" s="432"/>
      <c r="K95" s="432"/>
      <c r="L95" s="432"/>
      <c r="M95" s="432"/>
      <c r="N95" s="432"/>
      <c r="O95" s="432"/>
      <c r="P95" s="431"/>
      <c r="Q95" s="431"/>
      <c r="R95" s="431"/>
      <c r="S95" s="431"/>
      <c r="T95" s="431"/>
      <c r="U95" s="431"/>
      <c r="V95" s="431"/>
      <c r="W95" s="431"/>
      <c r="X95" s="431"/>
      <c r="Y95" s="431"/>
      <c r="Z95" s="431"/>
      <c r="AA95" s="431"/>
    </row>
    <row r="96" spans="1:27" ht="16">
      <c r="A96" s="431"/>
      <c r="B96" s="432"/>
      <c r="C96" s="432"/>
      <c r="D96" s="432"/>
      <c r="E96" s="432"/>
      <c r="F96" s="432"/>
      <c r="G96" s="432"/>
      <c r="H96" s="432"/>
      <c r="I96" s="432"/>
      <c r="J96" s="432"/>
      <c r="K96" s="432"/>
      <c r="L96" s="432"/>
      <c r="M96" s="432"/>
      <c r="N96" s="432"/>
      <c r="O96" s="432"/>
      <c r="P96" s="431"/>
      <c r="Q96" s="431"/>
      <c r="R96" s="431"/>
      <c r="S96" s="431"/>
      <c r="T96" s="431"/>
      <c r="U96" s="431"/>
      <c r="V96" s="431"/>
      <c r="W96" s="431"/>
      <c r="X96" s="431"/>
      <c r="Y96" s="431"/>
      <c r="Z96" s="431"/>
      <c r="AA96" s="431"/>
    </row>
    <row r="97" spans="1:27" ht="16">
      <c r="A97" s="431"/>
      <c r="B97" s="432"/>
      <c r="C97" s="432"/>
      <c r="D97" s="432"/>
      <c r="E97" s="432"/>
      <c r="F97" s="432"/>
      <c r="G97" s="432"/>
      <c r="H97" s="432"/>
      <c r="I97" s="432"/>
      <c r="J97" s="432"/>
      <c r="K97" s="432"/>
      <c r="L97" s="432"/>
      <c r="M97" s="432"/>
      <c r="N97" s="432"/>
      <c r="O97" s="432"/>
      <c r="P97" s="431"/>
      <c r="Q97" s="431"/>
      <c r="R97" s="431"/>
      <c r="S97" s="431"/>
      <c r="T97" s="431"/>
      <c r="U97" s="431"/>
      <c r="V97" s="431"/>
      <c r="W97" s="431"/>
      <c r="X97" s="431"/>
      <c r="Y97" s="431"/>
      <c r="Z97" s="431"/>
      <c r="AA97" s="431"/>
    </row>
    <row r="98" spans="1:27" ht="16">
      <c r="A98" s="431"/>
      <c r="B98" s="432"/>
      <c r="C98" s="432"/>
      <c r="D98" s="432"/>
      <c r="E98" s="432"/>
      <c r="F98" s="432"/>
      <c r="G98" s="432"/>
      <c r="H98" s="432"/>
      <c r="I98" s="432"/>
      <c r="J98" s="432"/>
      <c r="K98" s="432"/>
      <c r="L98" s="432"/>
      <c r="M98" s="432"/>
      <c r="N98" s="432"/>
      <c r="O98" s="432"/>
      <c r="P98" s="431"/>
      <c r="Q98" s="431"/>
      <c r="R98" s="431"/>
      <c r="S98" s="431"/>
      <c r="T98" s="431"/>
      <c r="U98" s="431"/>
      <c r="V98" s="431"/>
      <c r="W98" s="431"/>
      <c r="X98" s="431"/>
      <c r="Y98" s="431"/>
      <c r="Z98" s="431"/>
      <c r="AA98" s="431"/>
    </row>
    <row r="99" spans="1:27" ht="16">
      <c r="A99" s="431"/>
      <c r="B99" s="432"/>
      <c r="C99" s="432"/>
      <c r="D99" s="432"/>
      <c r="E99" s="432"/>
      <c r="F99" s="432"/>
      <c r="G99" s="432"/>
      <c r="H99" s="432"/>
      <c r="I99" s="432"/>
      <c r="J99" s="432"/>
      <c r="K99" s="432"/>
      <c r="L99" s="432"/>
      <c r="M99" s="432"/>
      <c r="N99" s="432"/>
      <c r="O99" s="432"/>
      <c r="P99" s="431"/>
      <c r="Q99" s="431"/>
      <c r="R99" s="431"/>
      <c r="S99" s="431"/>
      <c r="T99" s="431"/>
      <c r="U99" s="431"/>
      <c r="V99" s="431"/>
      <c r="W99" s="431"/>
      <c r="X99" s="431"/>
      <c r="Y99" s="431"/>
      <c r="Z99" s="431"/>
      <c r="AA99" s="431"/>
    </row>
    <row r="100" spans="1:27" ht="16">
      <c r="A100" s="431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  <c r="L100" s="432"/>
      <c r="M100" s="432"/>
      <c r="N100" s="432"/>
      <c r="O100" s="432"/>
      <c r="P100" s="431"/>
      <c r="Q100" s="431"/>
      <c r="R100" s="431"/>
      <c r="S100" s="431"/>
      <c r="T100" s="431"/>
      <c r="U100" s="431"/>
      <c r="V100" s="431"/>
      <c r="W100" s="431"/>
      <c r="X100" s="431"/>
      <c r="Y100" s="431"/>
      <c r="Z100" s="431"/>
      <c r="AA100" s="431"/>
    </row>
    <row r="101" spans="1:27" ht="16">
      <c r="A101" s="431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  <c r="L101" s="432"/>
      <c r="M101" s="432"/>
      <c r="N101" s="432"/>
      <c r="O101" s="432"/>
      <c r="P101" s="431"/>
      <c r="Q101" s="431"/>
      <c r="R101" s="431"/>
      <c r="S101" s="431"/>
      <c r="T101" s="431"/>
      <c r="U101" s="431"/>
      <c r="V101" s="431"/>
      <c r="W101" s="431"/>
      <c r="X101" s="431"/>
      <c r="Y101" s="431"/>
      <c r="Z101" s="431"/>
      <c r="AA101" s="431"/>
    </row>
    <row r="102" spans="1:27" ht="16">
      <c r="A102" s="431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  <c r="L102" s="432"/>
      <c r="M102" s="432"/>
      <c r="N102" s="432"/>
      <c r="O102" s="432"/>
      <c r="P102" s="431"/>
      <c r="Q102" s="431"/>
      <c r="R102" s="431"/>
      <c r="S102" s="431"/>
      <c r="T102" s="431"/>
      <c r="U102" s="431"/>
      <c r="V102" s="431"/>
      <c r="W102" s="431"/>
      <c r="X102" s="431"/>
      <c r="Y102" s="431"/>
      <c r="Z102" s="431"/>
      <c r="AA102" s="431"/>
    </row>
    <row r="103" spans="1:27" ht="16">
      <c r="A103" s="431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  <c r="L103" s="432"/>
      <c r="M103" s="432"/>
      <c r="N103" s="432"/>
      <c r="O103" s="432"/>
      <c r="P103" s="431"/>
      <c r="Q103" s="431"/>
      <c r="R103" s="431"/>
      <c r="S103" s="431"/>
      <c r="T103" s="431"/>
      <c r="U103" s="431"/>
      <c r="V103" s="431"/>
      <c r="W103" s="431"/>
      <c r="X103" s="431"/>
      <c r="Y103" s="431"/>
      <c r="Z103" s="431"/>
      <c r="AA103" s="43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70D-9A19-9941-90BC-8E1BDDF982B8}">
  <sheetPr codeName="Sheet3">
    <tabColor theme="4"/>
  </sheetPr>
  <dimension ref="A3:U76"/>
  <sheetViews>
    <sheetView showGridLines="0" zoomScale="132" zoomScaleNormal="132" workbookViewId="0">
      <pane ySplit="3" topLeftCell="A7" activePane="bottomLeft" state="frozen"/>
      <selection pane="bottomLeft" activeCell="G25" sqref="G25"/>
    </sheetView>
  </sheetViews>
  <sheetFormatPr baseColWidth="10" defaultRowHeight="14"/>
  <cols>
    <col min="2" max="2" width="3" customWidth="1"/>
    <col min="3" max="3" width="32.1640625" customWidth="1"/>
    <col min="4" max="4" width="2.33203125" customWidth="1"/>
    <col min="5" max="5" width="14.5" customWidth="1"/>
    <col min="6" max="6" width="2.33203125" customWidth="1"/>
    <col min="7" max="7" width="13.5" customWidth="1"/>
    <col min="8" max="8" width="2.33203125" customWidth="1"/>
    <col min="9" max="9" width="13" customWidth="1"/>
    <col min="10" max="10" width="2.33203125" customWidth="1"/>
    <col min="12" max="12" width="2.33203125" customWidth="1"/>
    <col min="13" max="13" width="11.5" bestFit="1" customWidth="1"/>
    <col min="14" max="14" width="2.33203125" customWidth="1"/>
    <col min="15" max="15" width="14.33203125" customWidth="1"/>
    <col min="16" max="16" width="2.33203125" customWidth="1"/>
    <col min="17" max="17" width="15" customWidth="1"/>
    <col min="18" max="18" width="2.33203125" customWidth="1"/>
    <col min="20" max="20" width="2.33203125" customWidth="1"/>
  </cols>
  <sheetData>
    <row r="3" spans="1:18" ht="29" customHeight="1">
      <c r="A3" s="78"/>
      <c r="R3" s="78"/>
    </row>
    <row r="4" spans="1:18" ht="4" customHeight="1">
      <c r="A4" s="78"/>
      <c r="C4" s="4"/>
      <c r="D4" s="4"/>
      <c r="R4" s="78"/>
    </row>
    <row r="5" spans="1:18">
      <c r="A5" s="78"/>
      <c r="C5" s="2" t="s">
        <v>315</v>
      </c>
      <c r="E5" s="123">
        <f ca="1">IF(prob=1,Q5,G5)</f>
        <v>2.8046147180901455</v>
      </c>
      <c r="G5" s="124">
        <v>2.73</v>
      </c>
      <c r="I5" s="124">
        <v>3.09</v>
      </c>
      <c r="K5" s="123">
        <f>(G5/I5)^2</f>
        <v>0.78056367235366209</v>
      </c>
      <c r="M5" s="123">
        <f>(I5^2)/G5</f>
        <v>3.4974725274725276</v>
      </c>
      <c r="O5" s="77" t="s">
        <v>294</v>
      </c>
      <c r="Q5" s="123">
        <f ca="1">_xlfn.GAMMA.INV(RAND(),K5,M5)</f>
        <v>2.8046147180901455</v>
      </c>
      <c r="R5" s="78"/>
    </row>
    <row r="6" spans="1:18" ht="4" customHeight="1">
      <c r="A6" s="78"/>
      <c r="C6" s="10"/>
      <c r="R6" s="78"/>
    </row>
    <row r="7" spans="1:18">
      <c r="A7" s="78"/>
      <c r="C7" s="2" t="s">
        <v>316</v>
      </c>
      <c r="E7" s="133">
        <f ca="1">IF(prob=1,Q7,G7)</f>
        <v>5.5540103494553383</v>
      </c>
      <c r="G7" s="81">
        <v>2.73</v>
      </c>
      <c r="I7" s="130">
        <v>2.73</v>
      </c>
      <c r="K7" s="133">
        <f>(G7/I7)^2</f>
        <v>1</v>
      </c>
      <c r="M7" s="133">
        <f>(I7^2)/G7</f>
        <v>2.73</v>
      </c>
      <c r="O7" s="77" t="s">
        <v>294</v>
      </c>
      <c r="Q7" s="133">
        <f ca="1">_xlfn.GAMMA.INV(RAND(),K7,M7)</f>
        <v>5.5540103494553383</v>
      </c>
      <c r="R7" s="78"/>
    </row>
    <row r="8" spans="1:18" ht="4" customHeight="1">
      <c r="A8" s="78"/>
      <c r="R8" s="78"/>
    </row>
    <row r="9" spans="1:18">
      <c r="A9" s="78"/>
      <c r="C9" s="2" t="s">
        <v>317</v>
      </c>
      <c r="E9" s="133">
        <f ca="1">IF(prob=1,Q9,G9)</f>
        <v>3.1054764964589787</v>
      </c>
      <c r="G9" s="81">
        <v>2.73</v>
      </c>
      <c r="I9" s="130">
        <v>2.73</v>
      </c>
      <c r="K9" s="133">
        <f>(G9/I9)^2</f>
        <v>1</v>
      </c>
      <c r="M9" s="133">
        <f>(I9^2)/G9</f>
        <v>2.73</v>
      </c>
      <c r="O9" s="77" t="s">
        <v>294</v>
      </c>
      <c r="Q9" s="133">
        <f ca="1">_xlfn.GAMMA.INV(RAND(),K9,M9)</f>
        <v>3.1054764964589787</v>
      </c>
      <c r="R9" s="78"/>
    </row>
    <row r="10" spans="1:18" ht="4" customHeight="1">
      <c r="A10" s="78"/>
      <c r="R10" s="78"/>
    </row>
    <row r="11" spans="1:18">
      <c r="A11" s="78"/>
      <c r="C11" s="2" t="s">
        <v>318</v>
      </c>
      <c r="E11" s="133">
        <f ca="1">IF(prob=1,Q11,G11)</f>
        <v>73.338161986443183</v>
      </c>
      <c r="G11" s="81">
        <v>60.5</v>
      </c>
      <c r="I11" s="130">
        <v>20.05</v>
      </c>
      <c r="K11" s="133">
        <f>(G11/I11)^2</f>
        <v>9.1050428790865716</v>
      </c>
      <c r="M11" s="133">
        <f>(I11^2)/G11</f>
        <v>6.6446694214876043</v>
      </c>
      <c r="O11" s="77" t="s">
        <v>294</v>
      </c>
      <c r="Q11" s="133">
        <f ca="1">_xlfn.GAMMA.INV(RAND(),K11,M11)</f>
        <v>73.338161986443183</v>
      </c>
      <c r="R11" s="78"/>
    </row>
    <row r="12" spans="1:18" ht="4" customHeight="1">
      <c r="A12" s="78"/>
      <c r="C12" s="4"/>
      <c r="D12" s="4"/>
      <c r="R12" s="78"/>
    </row>
    <row r="13" spans="1:18">
      <c r="A13" s="78"/>
      <c r="C13" s="2" t="s">
        <v>307</v>
      </c>
      <c r="E13" s="119">
        <f ca="1">IF(prob=1,Q13,G13)</f>
        <v>0.99714898405830887</v>
      </c>
      <c r="G13" s="122">
        <v>0.998</v>
      </c>
      <c r="I13" s="122">
        <v>1E-3</v>
      </c>
      <c r="K13" s="77">
        <f>G13*(G13*(1-G13)/(I13^2)-1)</f>
        <v>1991.0100000000018</v>
      </c>
      <c r="M13" s="77">
        <f>G13*(1-G13)/(I13^2)-1-K13</f>
        <v>3.9900000000000091</v>
      </c>
      <c r="O13" s="77" t="s">
        <v>49</v>
      </c>
      <c r="Q13" s="119">
        <f ca="1">BETAINV(RAND(),K13,M13)</f>
        <v>0.99714898405830887</v>
      </c>
      <c r="R13" s="78"/>
    </row>
    <row r="14" spans="1:18" ht="4" customHeight="1">
      <c r="A14" s="78"/>
      <c r="R14" s="78"/>
    </row>
    <row r="15" spans="1:18">
      <c r="A15" s="78"/>
      <c r="C15" s="2" t="s">
        <v>308</v>
      </c>
      <c r="E15" s="119">
        <f ca="1">IF(prob=1,Q15,G15)</f>
        <v>6.8040730444867789E-2</v>
      </c>
      <c r="G15" s="81">
        <v>0.11</v>
      </c>
      <c r="I15" s="122">
        <v>4.2000000000000003E-2</v>
      </c>
      <c r="K15" s="119">
        <f>G15*(G15*(1-G15)/(I15^2)-1)</f>
        <v>5.9948752834467109</v>
      </c>
      <c r="M15" s="119">
        <f>G15*(1-G15)/(I15^2)-1-K15</f>
        <v>48.503990929705211</v>
      </c>
      <c r="O15" s="77" t="s">
        <v>49</v>
      </c>
      <c r="Q15" s="119">
        <f ca="1">BETAINV(RAND(),K15,M15)</f>
        <v>6.8040730444867789E-2</v>
      </c>
      <c r="R15" s="78"/>
    </row>
    <row r="16" spans="1:18" ht="4" customHeight="1">
      <c r="A16" s="78"/>
      <c r="R16" s="78"/>
    </row>
    <row r="17" spans="1:21">
      <c r="A17" s="78"/>
      <c r="C17" s="2" t="s">
        <v>309</v>
      </c>
      <c r="E17" s="119">
        <f ca="1">IF(prob=1,Q17,G17)</f>
        <v>0.11571596244246773</v>
      </c>
      <c r="G17" s="81">
        <v>0.11</v>
      </c>
      <c r="I17" s="122">
        <v>4.2000000000000003E-2</v>
      </c>
      <c r="K17" s="119">
        <f>G17*(G17*(1-G17)/(I17^2)-1)</f>
        <v>5.9948752834467109</v>
      </c>
      <c r="M17" s="119">
        <f>G17*(1-G17)/(I17^2)-1-K17</f>
        <v>48.503990929705211</v>
      </c>
      <c r="O17" s="77" t="s">
        <v>49</v>
      </c>
      <c r="Q17" s="119">
        <f ca="1">BETAINV(RAND(),K17,M17)</f>
        <v>0.11571596244246773</v>
      </c>
      <c r="R17" s="78"/>
    </row>
    <row r="18" spans="1:21" ht="4" customHeight="1">
      <c r="A18" s="78"/>
      <c r="R18" s="78"/>
    </row>
    <row r="19" spans="1:21">
      <c r="A19" s="78"/>
      <c r="C19" s="2" t="s">
        <v>310</v>
      </c>
      <c r="E19" s="119">
        <f ca="1">IF(prob=1,Q19,G19)</f>
        <v>0.26764799805614969</v>
      </c>
      <c r="G19" s="81">
        <v>0.2</v>
      </c>
      <c r="I19" s="81">
        <v>0.1</v>
      </c>
      <c r="K19" s="77">
        <f>G19*(G19*(1-G19)/(I19^2)-1)</f>
        <v>3</v>
      </c>
      <c r="M19" s="77">
        <f>G19*(1-G19)/(I19^2)-1-K19</f>
        <v>12</v>
      </c>
      <c r="O19" s="77" t="s">
        <v>49</v>
      </c>
      <c r="Q19" s="119">
        <f ca="1">BETAINV(RAND(),K19,M19)</f>
        <v>0.26764799805614969</v>
      </c>
      <c r="R19" s="78"/>
    </row>
    <row r="20" spans="1:21" ht="4" customHeight="1">
      <c r="A20" s="78"/>
      <c r="C20" s="4"/>
      <c r="D20" s="4"/>
      <c r="R20" s="78"/>
    </row>
    <row r="21" spans="1:21">
      <c r="A21" s="78"/>
      <c r="C21" s="2" t="s">
        <v>469</v>
      </c>
      <c r="E21" s="121">
        <f ca="1">MAX(0.4,MIN(0.95,(IF(prob=1,Q21,G21)*(1+LN(Dashboard!AA7/100)))))</f>
        <v>0.95</v>
      </c>
      <c r="G21" s="120">
        <v>0.91</v>
      </c>
      <c r="I21" s="120">
        <v>0.04</v>
      </c>
      <c r="K21" s="77"/>
      <c r="M21" s="77"/>
      <c r="O21" s="77" t="s">
        <v>293</v>
      </c>
      <c r="Q21" s="121">
        <f ca="1">NORMINV(RAND(),G21,I21)</f>
        <v>0.91618713100013671</v>
      </c>
      <c r="R21" s="78"/>
      <c r="U21" s="34"/>
    </row>
    <row r="22" spans="1:21" ht="4" customHeight="1">
      <c r="A22" s="78"/>
      <c r="R22" s="78"/>
    </row>
    <row r="23" spans="1:21">
      <c r="A23" s="78"/>
      <c r="C23" s="2" t="s">
        <v>320</v>
      </c>
      <c r="E23" s="119">
        <f ca="1">MIN(0.8,MAX(0.3,(IF(prob=1,Q23,G23)*(1+LN(Dashboard!AA7/100)))))</f>
        <v>0.3</v>
      </c>
      <c r="G23" s="81">
        <v>0.6</v>
      </c>
      <c r="I23" s="81">
        <v>0.3</v>
      </c>
      <c r="K23" s="77"/>
      <c r="M23" s="77"/>
      <c r="O23" s="77" t="s">
        <v>293</v>
      </c>
      <c r="Q23" s="119">
        <f ca="1">NORMINV(RAND(),G23,I23)</f>
        <v>2.6821657098753615E-2</v>
      </c>
      <c r="R23" s="78"/>
    </row>
    <row r="24" spans="1:21" ht="4" customHeight="1">
      <c r="A24" s="78"/>
      <c r="R24" s="78"/>
    </row>
    <row r="25" spans="1:21">
      <c r="A25" s="78"/>
      <c r="C25" s="2" t="s">
        <v>329</v>
      </c>
      <c r="E25" s="133">
        <f ca="1">IF(prob=1,Q25,G25)</f>
        <v>3209094.1094426345</v>
      </c>
      <c r="G25" s="132">
        <f>pop_calc!D2</f>
        <v>3335852.9181640688</v>
      </c>
      <c r="I25" s="130">
        <v>200000</v>
      </c>
      <c r="K25" s="133">
        <f>(G25/I25)^2</f>
        <v>278.19786729059336</v>
      </c>
      <c r="M25" s="133">
        <f>(I25^2)/G25</f>
        <v>11990.936345603192</v>
      </c>
      <c r="O25" s="77" t="s">
        <v>294</v>
      </c>
      <c r="Q25" s="133">
        <f ca="1">_xlfn.GAMMA.INV(RAND(),K25,M25)</f>
        <v>3209094.1094426345</v>
      </c>
      <c r="R25" s="78"/>
    </row>
    <row r="26" spans="1:21" ht="4" customHeight="1">
      <c r="A26" s="78"/>
      <c r="R26" s="78"/>
    </row>
    <row r="27" spans="1:21">
      <c r="A27" s="78"/>
      <c r="C27" s="2" t="s">
        <v>367</v>
      </c>
      <c r="E27" s="133">
        <f ca="1">IF(prob=1,Q27,G27)</f>
        <v>3529681.9821056235</v>
      </c>
      <c r="G27" s="132">
        <f>G25*Dashboard!AA7*0.01</f>
        <v>4236533.2060683677</v>
      </c>
      <c r="I27" s="132">
        <f>I25*Dashboard!AA7*0.01</f>
        <v>254000</v>
      </c>
      <c r="K27" s="133">
        <f>(G27/I27)^2</f>
        <v>278.19786729059336</v>
      </c>
      <c r="M27" s="133">
        <f>(I27^2)/G27</f>
        <v>15228.489158916051</v>
      </c>
      <c r="O27" s="77" t="s">
        <v>294</v>
      </c>
      <c r="Q27" s="133">
        <f ca="1">_xlfn.GAMMA.INV(RAND(),K27,M27)</f>
        <v>3529681.9821056235</v>
      </c>
      <c r="R27" s="78"/>
    </row>
    <row r="28" spans="1:21" ht="4" customHeight="1">
      <c r="A28" s="78"/>
      <c r="C28" s="4"/>
      <c r="D28" s="4"/>
      <c r="R28" s="78"/>
    </row>
    <row r="29" spans="1:21">
      <c r="A29" s="78"/>
      <c r="C29" s="2" t="s">
        <v>306</v>
      </c>
      <c r="E29" s="80">
        <f>G29</f>
        <v>0.03</v>
      </c>
      <c r="G29" s="82">
        <f>'Country details'!$C$11</f>
        <v>0.03</v>
      </c>
      <c r="I29" s="81"/>
      <c r="K29" s="77"/>
      <c r="M29" s="77"/>
      <c r="O29" s="77" t="s">
        <v>295</v>
      </c>
      <c r="Q29" s="77"/>
      <c r="R29" s="78"/>
    </row>
    <row r="30" spans="1:21" ht="4" customHeight="1">
      <c r="A30" s="78"/>
      <c r="R30" s="78"/>
    </row>
    <row r="31" spans="1:21">
      <c r="A31" s="78"/>
      <c r="C31" s="2" t="s">
        <v>314</v>
      </c>
      <c r="E31" s="80">
        <f>G31</f>
        <v>0.03</v>
      </c>
      <c r="G31" s="82">
        <f>G29</f>
        <v>0.03</v>
      </c>
      <c r="I31" s="81"/>
      <c r="K31" s="77"/>
      <c r="M31" s="77"/>
      <c r="O31" s="77" t="s">
        <v>295</v>
      </c>
      <c r="Q31" s="77"/>
      <c r="R31" s="78"/>
    </row>
    <row r="32" spans="1:21" ht="4" customHeight="1">
      <c r="A32" s="78"/>
      <c r="E32" s="83"/>
      <c r="G32" s="83"/>
      <c r="R32" s="78"/>
    </row>
    <row r="33" spans="1:18">
      <c r="A33" s="78"/>
      <c r="C33" s="2" t="s">
        <v>296</v>
      </c>
      <c r="E33" s="123">
        <f ca="1">IF(prob=1,Q33,G33)</f>
        <v>2.626321149283831</v>
      </c>
      <c r="G33" s="124">
        <v>2.35</v>
      </c>
      <c r="I33" s="124">
        <v>0.4</v>
      </c>
      <c r="K33" s="123">
        <f>(G33/I33)^2</f>
        <v>34.515625</v>
      </c>
      <c r="M33" s="123">
        <f>(I33^2)/G33</f>
        <v>6.8085106382978738E-2</v>
      </c>
      <c r="O33" s="77" t="s">
        <v>294</v>
      </c>
      <c r="Q33" s="123">
        <f ca="1">_xlfn.GAMMA.INV(RAND(),K33,M33)</f>
        <v>2.626321149283831</v>
      </c>
      <c r="R33" s="78"/>
    </row>
    <row r="34" spans="1:18" ht="4" customHeight="1">
      <c r="A34" s="78"/>
      <c r="E34" s="83"/>
      <c r="G34" s="83"/>
      <c r="R34" s="78"/>
    </row>
    <row r="35" spans="1:18">
      <c r="A35" s="78"/>
      <c r="C35" s="2" t="s">
        <v>297</v>
      </c>
      <c r="E35" s="123">
        <f ca="1">IF(prob=1,Q35,G35)</f>
        <v>410.72455881667833</v>
      </c>
      <c r="G35" s="124">
        <v>616</v>
      </c>
      <c r="I35" s="124">
        <v>104.8</v>
      </c>
      <c r="K35" s="123">
        <f>(G35/I35)^2</f>
        <v>34.549268690635742</v>
      </c>
      <c r="M35" s="123">
        <f>(I35^2)/G35</f>
        <v>17.829610389610387</v>
      </c>
      <c r="O35" s="77" t="s">
        <v>294</v>
      </c>
      <c r="Q35" s="123">
        <f ca="1">_xlfn.GAMMA.INV(RAND(),K35,M35)</f>
        <v>410.72455881667833</v>
      </c>
      <c r="R35" s="78"/>
    </row>
    <row r="36" spans="1:18" ht="4" customHeight="1">
      <c r="A36" s="78"/>
      <c r="R36" s="78"/>
    </row>
    <row r="37" spans="1:18">
      <c r="A37" s="78"/>
      <c r="C37" s="2" t="s">
        <v>298</v>
      </c>
      <c r="E37" s="119">
        <f ca="1">IF(prob=1,Q37,G37)</f>
        <v>4.9841233711709716</v>
      </c>
      <c r="G37" s="81">
        <v>4.6500000000000004</v>
      </c>
      <c r="I37" s="122">
        <v>2.165</v>
      </c>
      <c r="K37" s="119">
        <f>(G37/I37)^2</f>
        <v>4.6130706334771645</v>
      </c>
      <c r="M37" s="119">
        <f>(I37^2)/G37</f>
        <v>1.0080053763440859</v>
      </c>
      <c r="O37" s="77" t="s">
        <v>294</v>
      </c>
      <c r="Q37" s="119">
        <f ca="1">_xlfn.GAMMA.INV(RAND(),K37,M37)</f>
        <v>4.9841233711709716</v>
      </c>
      <c r="R37" s="78"/>
    </row>
    <row r="38" spans="1:18" ht="4" customHeight="1">
      <c r="A38" s="78"/>
      <c r="R38" s="78"/>
    </row>
    <row r="39" spans="1:18">
      <c r="A39" s="78"/>
      <c r="C39" s="2" t="s">
        <v>299</v>
      </c>
      <c r="E39" s="119">
        <f ca="1">IF(prob=1,Q39,G39)</f>
        <v>3.8732857586827865</v>
      </c>
      <c r="G39" s="81">
        <v>2</v>
      </c>
      <c r="I39" s="81">
        <v>2</v>
      </c>
      <c r="K39" s="77">
        <f>(G39/I39)^2</f>
        <v>1</v>
      </c>
      <c r="M39" s="77">
        <f>(I39^2)/G39</f>
        <v>2</v>
      </c>
      <c r="O39" s="77" t="s">
        <v>294</v>
      </c>
      <c r="Q39" s="119">
        <f ca="1">_xlfn.GAMMA.INV(RAND(),K39,M39)</f>
        <v>3.8732857586827865</v>
      </c>
      <c r="R39" s="78"/>
    </row>
    <row r="40" spans="1:18" ht="4" customHeight="1">
      <c r="A40" s="78"/>
      <c r="R40" s="78"/>
    </row>
    <row r="41" spans="1:18">
      <c r="A41" s="78"/>
      <c r="C41" s="2" t="s">
        <v>300</v>
      </c>
      <c r="E41" s="119">
        <f ca="1">IF(prob=1,Q41,G41)</f>
        <v>9.677775250892374</v>
      </c>
      <c r="G41" s="81">
        <v>4</v>
      </c>
      <c r="I41" s="81">
        <v>2</v>
      </c>
      <c r="K41" s="77">
        <f>(G41/I41)^2</f>
        <v>4</v>
      </c>
      <c r="M41" s="77">
        <f>(I41^2)/G41</f>
        <v>1</v>
      </c>
      <c r="O41" s="77" t="s">
        <v>294</v>
      </c>
      <c r="Q41" s="119">
        <f ca="1">_xlfn.GAMMA.INV(RAND(),K41,M41)</f>
        <v>9.677775250892374</v>
      </c>
      <c r="R41" s="78"/>
    </row>
    <row r="42" spans="1:18" ht="4" customHeight="1">
      <c r="A42" s="78"/>
      <c r="R42" s="78"/>
    </row>
    <row r="43" spans="1:18">
      <c r="A43" s="78"/>
      <c r="C43" s="2" t="s">
        <v>301</v>
      </c>
      <c r="E43" s="119">
        <f ca="1">IF(prob=1,Q43,G43)</f>
        <v>4.1936629995887502</v>
      </c>
      <c r="G43" s="81">
        <v>3.93</v>
      </c>
      <c r="I43" s="81">
        <v>1.94</v>
      </c>
      <c r="K43" s="119">
        <f>(G43/I43)^2</f>
        <v>4.1037570411308337</v>
      </c>
      <c r="M43" s="119">
        <f>(I43^2)/G43</f>
        <v>0.95765903307888034</v>
      </c>
      <c r="O43" s="77" t="s">
        <v>294</v>
      </c>
      <c r="Q43" s="119">
        <f ca="1">_xlfn.GAMMA.INV(RAND(),K43,M43)</f>
        <v>4.1936629995887502</v>
      </c>
      <c r="R43" s="78"/>
    </row>
    <row r="44" spans="1:18" ht="4" customHeight="1">
      <c r="A44" s="78"/>
      <c r="R44" s="78"/>
    </row>
    <row r="45" spans="1:18">
      <c r="A45" s="78"/>
      <c r="C45" s="2" t="s">
        <v>302</v>
      </c>
      <c r="E45" s="121">
        <f ca="1">IF(prob=1,Q45,G45)</f>
        <v>0.72486533298577893</v>
      </c>
      <c r="G45" s="120">
        <v>0.78</v>
      </c>
      <c r="I45" s="120">
        <v>0.12</v>
      </c>
      <c r="K45" s="119">
        <f>(G45/I45)^2</f>
        <v>42.250000000000014</v>
      </c>
      <c r="M45" s="119">
        <f>(I45^2)/G45</f>
        <v>1.846153846153846E-2</v>
      </c>
      <c r="O45" s="77" t="s">
        <v>294</v>
      </c>
      <c r="Q45" s="121">
        <f ca="1">_xlfn.GAMMA.INV(RAND(),K45,M45)</f>
        <v>0.72486533298577893</v>
      </c>
      <c r="R45" s="78"/>
    </row>
    <row r="46" spans="1:18" ht="4" customHeight="1">
      <c r="A46" s="78"/>
      <c r="R46" s="78"/>
    </row>
    <row r="47" spans="1:18">
      <c r="A47" s="78"/>
      <c r="C47" s="2" t="s">
        <v>303</v>
      </c>
      <c r="E47" s="121">
        <f ca="1">IF(prob=1,Q47,G47)</f>
        <v>7.0438550965890301E-2</v>
      </c>
      <c r="G47" s="120">
        <v>0.15</v>
      </c>
      <c r="I47" s="120">
        <v>7.0000000000000007E-2</v>
      </c>
      <c r="K47" s="119">
        <f>(G47/I47)^2</f>
        <v>4.5918367346938771</v>
      </c>
      <c r="M47" s="119">
        <f>(I47^2)/G47</f>
        <v>3.266666666666667E-2</v>
      </c>
      <c r="O47" s="77" t="s">
        <v>294</v>
      </c>
      <c r="Q47" s="121">
        <f ca="1">_xlfn.GAMMA.INV(RAND(),K47,M47)</f>
        <v>7.0438550965890301E-2</v>
      </c>
      <c r="R47" s="78"/>
    </row>
    <row r="48" spans="1:18" ht="4" customHeight="1">
      <c r="A48" s="78"/>
      <c r="R48" s="78"/>
    </row>
    <row r="49" spans="1:18">
      <c r="A49" s="78"/>
      <c r="C49" s="2" t="s">
        <v>304</v>
      </c>
      <c r="E49" s="121">
        <f ca="1">IF(prob=1,Q49,G49)</f>
        <v>0.13594075571338313</v>
      </c>
      <c r="G49" s="120">
        <v>0.18</v>
      </c>
      <c r="I49" s="120">
        <v>0.08</v>
      </c>
      <c r="K49" s="119">
        <f>(G49/I49)^2</f>
        <v>5.0625</v>
      </c>
      <c r="M49" s="119">
        <f>(I49^2)/G49</f>
        <v>3.5555555555555556E-2</v>
      </c>
      <c r="O49" s="77" t="s">
        <v>294</v>
      </c>
      <c r="Q49" s="121">
        <f ca="1">_xlfn.GAMMA.INV(RAND(),K49,M49)</f>
        <v>0.13594075571338313</v>
      </c>
      <c r="R49" s="78"/>
    </row>
    <row r="50" spans="1:18" ht="4" customHeight="1">
      <c r="A50" s="78"/>
      <c r="C50" s="4"/>
      <c r="R50" s="78"/>
    </row>
    <row r="51" spans="1:18">
      <c r="A51" s="78"/>
      <c r="C51" s="2" t="s">
        <v>311</v>
      </c>
      <c r="E51" s="133">
        <f ca="1">IF(prob=1,Q51,G51)</f>
        <v>44.027637372349375</v>
      </c>
      <c r="G51" s="130">
        <v>50</v>
      </c>
      <c r="I51" s="81">
        <v>5</v>
      </c>
      <c r="K51" s="77">
        <f>(G51/I51)^2</f>
        <v>100</v>
      </c>
      <c r="M51" s="77">
        <f>(I51^2)/G51</f>
        <v>0.5</v>
      </c>
      <c r="O51" s="77" t="s">
        <v>294</v>
      </c>
      <c r="Q51" s="133">
        <f ca="1">_xlfn.GAMMA.INV(RAND(),K51,M51)</f>
        <v>44.027637372349375</v>
      </c>
      <c r="R51" s="78"/>
    </row>
    <row r="52" spans="1:18" ht="4" customHeight="1">
      <c r="A52" s="78"/>
      <c r="R52" s="78"/>
    </row>
    <row r="53" spans="1:18">
      <c r="A53" s="78"/>
      <c r="C53" s="2" t="s">
        <v>312</v>
      </c>
      <c r="E53" s="133">
        <f ca="1">IF(prob=1,Q53,G53)</f>
        <v>49.905600976742718</v>
      </c>
      <c r="G53" s="130">
        <v>50</v>
      </c>
      <c r="I53" s="81">
        <v>5</v>
      </c>
      <c r="K53" s="77">
        <f>(G53/I53)^2</f>
        <v>100</v>
      </c>
      <c r="M53" s="77">
        <f>(I53^2)/G53</f>
        <v>0.5</v>
      </c>
      <c r="O53" s="77" t="s">
        <v>294</v>
      </c>
      <c r="Q53" s="133">
        <f ca="1">_xlfn.GAMMA.INV(RAND(),K53,M53)</f>
        <v>49.905600976742718</v>
      </c>
      <c r="R53" s="78"/>
    </row>
    <row r="54" spans="1:18" ht="4" customHeight="1">
      <c r="A54" s="78"/>
      <c r="G54" s="58"/>
      <c r="R54" s="78"/>
    </row>
    <row r="55" spans="1:18">
      <c r="A55" s="78"/>
      <c r="C55" s="2" t="s">
        <v>313</v>
      </c>
      <c r="E55" s="133">
        <f ca="1">IF(prob=1,Q55,G55)</f>
        <v>42.98016492152486</v>
      </c>
      <c r="G55" s="130">
        <v>50</v>
      </c>
      <c r="I55" s="81">
        <v>5</v>
      </c>
      <c r="K55" s="77">
        <f>(G55/I55)^2</f>
        <v>100</v>
      </c>
      <c r="M55" s="77">
        <f>(I55^2)/G55</f>
        <v>0.5</v>
      </c>
      <c r="O55" s="77" t="s">
        <v>294</v>
      </c>
      <c r="Q55" s="133">
        <f ca="1">_xlfn.GAMMA.INV(RAND(),K55,M55)</f>
        <v>42.98016492152486</v>
      </c>
    </row>
    <row r="56" spans="1:18" ht="4" customHeight="1">
      <c r="A56" s="78"/>
      <c r="R56" s="78"/>
    </row>
    <row r="57" spans="1:18" ht="14" customHeight="1">
      <c r="C57" s="2" t="s">
        <v>366</v>
      </c>
      <c r="E57" s="123">
        <f>G57</f>
        <v>1E-4</v>
      </c>
      <c r="G57" s="130">
        <f>1/'Country details'!C6</f>
        <v>1E-4</v>
      </c>
      <c r="I57" s="81"/>
      <c r="K57" s="77"/>
      <c r="M57" s="77"/>
      <c r="O57" s="77" t="s">
        <v>295</v>
      </c>
      <c r="Q57" s="77"/>
    </row>
    <row r="58" spans="1:18" ht="4" customHeight="1"/>
    <row r="59" spans="1:18" ht="16" customHeight="1">
      <c r="C59" s="2" t="s">
        <v>541</v>
      </c>
      <c r="E59" s="77">
        <f ca="1">IF(prob=1,Q59,G59)</f>
        <v>1.0513767514103856</v>
      </c>
      <c r="G59" s="81">
        <v>1</v>
      </c>
      <c r="I59" s="81">
        <v>0.1</v>
      </c>
      <c r="K59" s="77">
        <f>(G59/I59)^2</f>
        <v>100</v>
      </c>
      <c r="M59" s="119">
        <f>(I59^2)/G59</f>
        <v>1.0000000000000002E-2</v>
      </c>
      <c r="O59" s="77" t="s">
        <v>294</v>
      </c>
      <c r="Q59" s="119">
        <f ca="1">_xlfn.GAMMA.INV(RAND(),K59,M59)</f>
        <v>1.0513767514103856</v>
      </c>
    </row>
    <row r="60" spans="1:18" ht="4" customHeight="1">
      <c r="M60" s="31"/>
      <c r="Q60" s="31"/>
    </row>
    <row r="61" spans="1:18" ht="16" customHeight="1">
      <c r="C61" s="2" t="s">
        <v>542</v>
      </c>
      <c r="E61" s="77">
        <f ca="1">IF(prob=1,Q61,G61)</f>
        <v>1.1191072365486394E-3</v>
      </c>
      <c r="G61" s="81">
        <v>1E-3</v>
      </c>
      <c r="I61" s="81">
        <v>1E-4</v>
      </c>
      <c r="K61" s="77">
        <f>(G61/I61)^2</f>
        <v>100</v>
      </c>
      <c r="M61" s="119">
        <f>(I61^2)/G61</f>
        <v>1.0000000000000001E-5</v>
      </c>
      <c r="O61" s="77" t="s">
        <v>294</v>
      </c>
      <c r="Q61" s="119">
        <f ca="1">_xlfn.GAMMA.INV(RAND(),K61,M61)</f>
        <v>1.1191072365486394E-3</v>
      </c>
    </row>
    <row r="63" spans="1:18">
      <c r="C63" s="79" t="s">
        <v>3</v>
      </c>
    </row>
    <row r="64" spans="1:18">
      <c r="C64" s="79" t="s">
        <v>305</v>
      </c>
    </row>
    <row r="65" spans="3:3">
      <c r="C65" s="79" t="s">
        <v>319</v>
      </c>
    </row>
    <row r="66" spans="3:3">
      <c r="C66" s="79" t="s">
        <v>321</v>
      </c>
    </row>
    <row r="67" spans="3:3">
      <c r="C67" s="79" t="s">
        <v>330</v>
      </c>
    </row>
    <row r="68" spans="3:3">
      <c r="C68" s="79" t="s">
        <v>331</v>
      </c>
    </row>
    <row r="69" spans="3:3">
      <c r="C69" s="79" t="s">
        <v>343</v>
      </c>
    </row>
    <row r="70" spans="3:3" ht="31">
      <c r="C70" s="118"/>
    </row>
    <row r="71" spans="3:3">
      <c r="C71" s="79" t="s">
        <v>357</v>
      </c>
    </row>
    <row r="72" spans="3:3">
      <c r="C72" s="79" t="s">
        <v>358</v>
      </c>
    </row>
    <row r="73" spans="3:3">
      <c r="C73" s="79" t="s">
        <v>359</v>
      </c>
    </row>
    <row r="74" spans="3:3">
      <c r="C74" s="79" t="s">
        <v>360</v>
      </c>
    </row>
    <row r="75" spans="3:3">
      <c r="C75" s="79" t="s">
        <v>368</v>
      </c>
    </row>
    <row r="76" spans="3:3">
      <c r="C76" s="79" t="s">
        <v>551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9A410-2692-E043-836A-906FE1088020}">
  <sheetPr codeName="Sheet10">
    <tabColor theme="4"/>
  </sheetPr>
  <dimension ref="A2:AJ98"/>
  <sheetViews>
    <sheetView workbookViewId="0">
      <pane xSplit="2" ySplit="29" topLeftCell="C30" activePane="bottomRight" state="frozen"/>
      <selection pane="topRight" activeCell="C1" sqref="C1"/>
      <selection pane="bottomLeft" activeCell="A30" sqref="A30"/>
      <selection pane="bottomRight" activeCell="S46" sqref="S46"/>
    </sheetView>
  </sheetViews>
  <sheetFormatPr baseColWidth="10" defaultRowHeight="14"/>
  <cols>
    <col min="2" max="2" width="20.33203125" customWidth="1"/>
    <col min="4" max="4" width="1.83203125" customWidth="1"/>
    <col min="6" max="6" width="10.1640625" customWidth="1"/>
    <col min="7" max="7" width="1.83203125" customWidth="1"/>
    <col min="9" max="9" width="12.6640625" customWidth="1"/>
    <col min="10" max="10" width="1.83203125" customWidth="1"/>
    <col min="13" max="13" width="1.83203125" customWidth="1"/>
    <col min="16" max="16" width="1.83203125" customWidth="1"/>
    <col min="19" max="19" width="1.83203125" customWidth="1"/>
    <col min="21" max="21" width="11.6640625" customWidth="1"/>
    <col min="22" max="22" width="2.83203125" customWidth="1"/>
    <col min="23" max="24" width="11.6640625" customWidth="1"/>
    <col min="25" max="25" width="1.83203125" customWidth="1"/>
    <col min="27" max="27" width="13.1640625" customWidth="1"/>
    <col min="28" max="31" width="15.83203125" customWidth="1"/>
    <col min="32" max="33" width="14.33203125" customWidth="1"/>
    <col min="34" max="35" width="16.83203125" customWidth="1"/>
    <col min="36" max="36" width="17.33203125" customWidth="1"/>
  </cols>
  <sheetData>
    <row r="2" spans="2:36">
      <c r="F2" s="21"/>
      <c r="G2" s="21"/>
      <c r="AE2" s="494" t="s">
        <v>344</v>
      </c>
      <c r="AF2" s="495"/>
      <c r="AG2" s="494" t="s">
        <v>345</v>
      </c>
      <c r="AH2" s="494"/>
      <c r="AI2" s="494" t="s">
        <v>346</v>
      </c>
      <c r="AJ2" s="494"/>
    </row>
    <row r="3" spans="2:36" ht="45">
      <c r="E3" s="19" t="s">
        <v>45</v>
      </c>
      <c r="F3" s="85" t="s">
        <v>47</v>
      </c>
      <c r="G3" s="87"/>
      <c r="H3" s="3" t="s">
        <v>45</v>
      </c>
      <c r="I3" s="84" t="s">
        <v>48</v>
      </c>
      <c r="K3" s="3" t="s">
        <v>45</v>
      </c>
      <c r="L3" s="84" t="s">
        <v>332</v>
      </c>
      <c r="N3" s="89" t="s">
        <v>45</v>
      </c>
      <c r="O3" s="90" t="s">
        <v>333</v>
      </c>
      <c r="Q3" s="89" t="s">
        <v>45</v>
      </c>
      <c r="R3" s="90" t="s">
        <v>334</v>
      </c>
      <c r="T3" s="89" t="s">
        <v>45</v>
      </c>
      <c r="U3" s="90" t="s">
        <v>335</v>
      </c>
      <c r="V3" s="95"/>
      <c r="W3" s="101" t="s">
        <v>45</v>
      </c>
      <c r="X3" s="90" t="s">
        <v>349</v>
      </c>
      <c r="Z3" s="89" t="s">
        <v>45</v>
      </c>
      <c r="AA3" s="90" t="s">
        <v>336</v>
      </c>
      <c r="AB3" s="90" t="s">
        <v>337</v>
      </c>
      <c r="AC3" s="90" t="s">
        <v>338</v>
      </c>
      <c r="AD3" s="90" t="s">
        <v>339</v>
      </c>
      <c r="AE3" s="89" t="s">
        <v>45</v>
      </c>
      <c r="AF3" s="90" t="s">
        <v>342</v>
      </c>
      <c r="AG3" s="89" t="s">
        <v>45</v>
      </c>
      <c r="AH3" s="90" t="s">
        <v>340</v>
      </c>
      <c r="AI3" s="89" t="s">
        <v>45</v>
      </c>
      <c r="AJ3" s="90" t="s">
        <v>341</v>
      </c>
    </row>
    <row r="4" spans="2:36">
      <c r="E4" s="10">
        <v>0</v>
      </c>
      <c r="F4" s="86">
        <v>4.8399999999999999E-2</v>
      </c>
      <c r="H4" s="15">
        <v>0</v>
      </c>
      <c r="I4" s="88">
        <v>0</v>
      </c>
      <c r="K4" s="15">
        <v>0</v>
      </c>
      <c r="L4" s="88">
        <f>Dashboard!$AC$13/100</f>
        <v>0.03</v>
      </c>
      <c r="N4" s="91">
        <v>0</v>
      </c>
      <c r="O4" s="92">
        <v>0.01</v>
      </c>
      <c r="Q4" s="91">
        <v>0</v>
      </c>
      <c r="R4" s="92">
        <v>0.625</v>
      </c>
      <c r="T4" s="91">
        <v>0</v>
      </c>
      <c r="U4" s="92">
        <v>0.375</v>
      </c>
      <c r="V4" s="96"/>
      <c r="W4" s="97">
        <v>0</v>
      </c>
      <c r="X4" s="98">
        <v>0</v>
      </c>
      <c r="Z4" s="91">
        <v>0</v>
      </c>
      <c r="AA4" s="125">
        <v>0</v>
      </c>
      <c r="AB4" s="126">
        <f t="shared" ref="AB4:AB35" ca="1" si="0">AA4*prod_loss_adl</f>
        <v>0</v>
      </c>
      <c r="AC4" s="126">
        <f t="shared" ref="AC4:AC35" ca="1" si="1">AA4*prod_loss_lymphedema</f>
        <v>0</v>
      </c>
      <c r="AD4" s="126">
        <f t="shared" ref="AD4:AD35" ca="1" si="2">AA4*prod_loss_hydrocele</f>
        <v>0</v>
      </c>
      <c r="AE4" s="91">
        <v>0</v>
      </c>
      <c r="AF4" s="92">
        <f t="shared" ref="AF4:AF35" ca="1" si="3">IF(study_perspective=1,0,AB4)</f>
        <v>0</v>
      </c>
      <c r="AG4" s="91">
        <v>0</v>
      </c>
      <c r="AH4" s="92">
        <f t="shared" ref="AH4:AH35" ca="1" si="4">IF(study_perspective=1,0,AC4)</f>
        <v>0</v>
      </c>
      <c r="AI4" s="91">
        <v>0</v>
      </c>
      <c r="AJ4" s="92">
        <f t="shared" ref="AJ4:AJ35" ca="1" si="5">IF(study_perspective=1,0,AD4)</f>
        <v>0</v>
      </c>
    </row>
    <row r="5" spans="2:36">
      <c r="E5" s="10">
        <v>1</v>
      </c>
      <c r="F5" s="86">
        <v>7.7399999999999997E-2</v>
      </c>
      <c r="H5" s="15">
        <v>1</v>
      </c>
      <c r="I5" s="88">
        <v>0</v>
      </c>
      <c r="K5" s="15">
        <v>1</v>
      </c>
      <c r="L5" s="88">
        <f>Dashboard!$AC$13/100</f>
        <v>0.03</v>
      </c>
      <c r="N5" s="91">
        <v>1</v>
      </c>
      <c r="O5" s="92">
        <v>0.01</v>
      </c>
      <c r="Q5" s="91">
        <v>1</v>
      </c>
      <c r="R5" s="92">
        <v>0.625</v>
      </c>
      <c r="T5" s="91">
        <v>1</v>
      </c>
      <c r="U5" s="92">
        <v>0.375</v>
      </c>
      <c r="V5" s="96"/>
      <c r="W5" s="99">
        <v>1</v>
      </c>
      <c r="X5" s="92">
        <v>0</v>
      </c>
      <c r="Z5" s="91">
        <v>1</v>
      </c>
      <c r="AA5" s="127">
        <v>0</v>
      </c>
      <c r="AB5" s="126">
        <f t="shared" ca="1" si="0"/>
        <v>0</v>
      </c>
      <c r="AC5" s="126">
        <f t="shared" ca="1" si="1"/>
        <v>0</v>
      </c>
      <c r="AD5" s="126">
        <f t="shared" ca="1" si="2"/>
        <v>0</v>
      </c>
      <c r="AE5" s="91">
        <v>1</v>
      </c>
      <c r="AF5" s="92">
        <f t="shared" ca="1" si="3"/>
        <v>0</v>
      </c>
      <c r="AG5" s="91">
        <v>1</v>
      </c>
      <c r="AH5" s="92">
        <f t="shared" ca="1" si="4"/>
        <v>0</v>
      </c>
      <c r="AI5" s="91">
        <v>1</v>
      </c>
      <c r="AJ5" s="92">
        <f t="shared" ca="1" si="5"/>
        <v>0</v>
      </c>
    </row>
    <row r="6" spans="2:36">
      <c r="E6" s="10">
        <v>2</v>
      </c>
      <c r="F6" s="86">
        <v>7.7399999999999997E-2</v>
      </c>
      <c r="H6" s="15">
        <v>2</v>
      </c>
      <c r="I6" s="88">
        <v>0</v>
      </c>
      <c r="K6" s="15">
        <v>2</v>
      </c>
      <c r="L6" s="88">
        <f>Dashboard!$AC$13/100</f>
        <v>0.03</v>
      </c>
      <c r="N6" s="91">
        <v>2</v>
      </c>
      <c r="O6" s="92">
        <v>0.01</v>
      </c>
      <c r="Q6" s="91">
        <v>2</v>
      </c>
      <c r="R6" s="92">
        <v>0.625</v>
      </c>
      <c r="T6" s="91">
        <v>2</v>
      </c>
      <c r="U6" s="92">
        <v>0.375</v>
      </c>
      <c r="V6" s="96"/>
      <c r="W6" s="99">
        <v>2</v>
      </c>
      <c r="X6" s="92">
        <v>0</v>
      </c>
      <c r="Z6" s="91">
        <v>2</v>
      </c>
      <c r="AA6" s="127">
        <v>0</v>
      </c>
      <c r="AB6" s="126">
        <f t="shared" ca="1" si="0"/>
        <v>0</v>
      </c>
      <c r="AC6" s="126">
        <f t="shared" ca="1" si="1"/>
        <v>0</v>
      </c>
      <c r="AD6" s="126">
        <f t="shared" ca="1" si="2"/>
        <v>0</v>
      </c>
      <c r="AE6" s="91">
        <v>2</v>
      </c>
      <c r="AF6" s="92">
        <f t="shared" ca="1" si="3"/>
        <v>0</v>
      </c>
      <c r="AG6" s="91">
        <v>2</v>
      </c>
      <c r="AH6" s="92">
        <f t="shared" ca="1" si="4"/>
        <v>0</v>
      </c>
      <c r="AI6" s="91">
        <v>2</v>
      </c>
      <c r="AJ6" s="92">
        <f t="shared" ca="1" si="5"/>
        <v>0</v>
      </c>
    </row>
    <row r="7" spans="2:36">
      <c r="B7" s="20" t="s">
        <v>322</v>
      </c>
      <c r="C7" s="14">
        <v>1</v>
      </c>
      <c r="E7" s="10">
        <v>3</v>
      </c>
      <c r="F7" s="86">
        <v>7.7399999999999997E-2</v>
      </c>
      <c r="H7" s="15">
        <v>3</v>
      </c>
      <c r="I7" s="88">
        <v>0</v>
      </c>
      <c r="K7" s="15">
        <v>3</v>
      </c>
      <c r="L7" s="88">
        <f>Dashboard!$AC$13/100</f>
        <v>0.03</v>
      </c>
      <c r="N7" s="91">
        <v>3</v>
      </c>
      <c r="O7" s="92">
        <v>0.01</v>
      </c>
      <c r="Q7" s="91">
        <v>3</v>
      </c>
      <c r="R7" s="92">
        <v>0.625</v>
      </c>
      <c r="T7" s="91">
        <v>3</v>
      </c>
      <c r="U7" s="92">
        <v>0.375</v>
      </c>
      <c r="V7" s="96"/>
      <c r="W7" s="99">
        <v>3</v>
      </c>
      <c r="X7" s="92">
        <v>0</v>
      </c>
      <c r="Z7" s="91">
        <v>3</v>
      </c>
      <c r="AA7" s="127">
        <v>0</v>
      </c>
      <c r="AB7" s="126">
        <f t="shared" ca="1" si="0"/>
        <v>0</v>
      </c>
      <c r="AC7" s="126">
        <f t="shared" ca="1" si="1"/>
        <v>0</v>
      </c>
      <c r="AD7" s="126">
        <f t="shared" ca="1" si="2"/>
        <v>0</v>
      </c>
      <c r="AE7" s="91">
        <v>3</v>
      </c>
      <c r="AF7" s="92">
        <f t="shared" ca="1" si="3"/>
        <v>0</v>
      </c>
      <c r="AG7" s="91">
        <v>3</v>
      </c>
      <c r="AH7" s="92">
        <f t="shared" ca="1" si="4"/>
        <v>0</v>
      </c>
      <c r="AI7" s="91">
        <v>3</v>
      </c>
      <c r="AJ7" s="92">
        <f t="shared" ca="1" si="5"/>
        <v>0</v>
      </c>
    </row>
    <row r="8" spans="2:36">
      <c r="B8" s="29" t="s">
        <v>97</v>
      </c>
      <c r="C8" s="9"/>
      <c r="E8" s="10">
        <v>4</v>
      </c>
      <c r="F8" s="86">
        <v>7.7399999999999997E-2</v>
      </c>
      <c r="H8" s="15">
        <v>4</v>
      </c>
      <c r="I8" s="88">
        <v>0</v>
      </c>
      <c r="K8" s="15">
        <v>4</v>
      </c>
      <c r="L8" s="88">
        <f>Dashboard!$AC$13/100</f>
        <v>0.03</v>
      </c>
      <c r="N8" s="91">
        <v>4</v>
      </c>
      <c r="O8" s="92">
        <v>0.01</v>
      </c>
      <c r="Q8" s="91">
        <v>4</v>
      </c>
      <c r="R8" s="92">
        <v>0.625</v>
      </c>
      <c r="T8" s="91">
        <v>4</v>
      </c>
      <c r="U8" s="92">
        <v>0.375</v>
      </c>
      <c r="V8" s="96"/>
      <c r="W8" s="99">
        <v>4</v>
      </c>
      <c r="X8" s="92">
        <v>0</v>
      </c>
      <c r="Z8" s="91">
        <v>4</v>
      </c>
      <c r="AA8" s="127">
        <v>0</v>
      </c>
      <c r="AB8" s="126">
        <f t="shared" ca="1" si="0"/>
        <v>0</v>
      </c>
      <c r="AC8" s="126">
        <f t="shared" ca="1" si="1"/>
        <v>0</v>
      </c>
      <c r="AD8" s="126">
        <f t="shared" ca="1" si="2"/>
        <v>0</v>
      </c>
      <c r="AE8" s="91">
        <v>4</v>
      </c>
      <c r="AF8" s="92">
        <f t="shared" ca="1" si="3"/>
        <v>0</v>
      </c>
      <c r="AG8" s="91">
        <v>4</v>
      </c>
      <c r="AH8" s="92">
        <f t="shared" ca="1" si="4"/>
        <v>0</v>
      </c>
      <c r="AI8" s="91">
        <v>4</v>
      </c>
      <c r="AJ8" s="92">
        <f t="shared" ca="1" si="5"/>
        <v>0</v>
      </c>
    </row>
    <row r="9" spans="2:36">
      <c r="B9" s="30" t="s">
        <v>96</v>
      </c>
      <c r="C9" s="12"/>
      <c r="E9" s="10">
        <v>5</v>
      </c>
      <c r="F9" s="86">
        <v>2.3599999999999999E-2</v>
      </c>
      <c r="H9" s="15">
        <v>5</v>
      </c>
      <c r="I9" s="88">
        <v>0</v>
      </c>
      <c r="K9" s="15">
        <v>5</v>
      </c>
      <c r="L9" s="88">
        <f>Dashboard!$AC$13/100</f>
        <v>0.03</v>
      </c>
      <c r="N9" s="91">
        <v>5</v>
      </c>
      <c r="O9" s="92">
        <v>0.01</v>
      </c>
      <c r="Q9" s="91">
        <v>5</v>
      </c>
      <c r="R9" s="92">
        <v>0.625</v>
      </c>
      <c r="T9" s="91">
        <v>5</v>
      </c>
      <c r="U9" s="92">
        <v>0.375</v>
      </c>
      <c r="V9" s="96"/>
      <c r="W9" s="99">
        <v>5</v>
      </c>
      <c r="X9" s="92">
        <v>0</v>
      </c>
      <c r="Z9" s="91">
        <v>5</v>
      </c>
      <c r="AA9" s="127">
        <v>0</v>
      </c>
      <c r="AB9" s="126">
        <f t="shared" ca="1" si="0"/>
        <v>0</v>
      </c>
      <c r="AC9" s="126">
        <f t="shared" ca="1" si="1"/>
        <v>0</v>
      </c>
      <c r="AD9" s="126">
        <f t="shared" ca="1" si="2"/>
        <v>0</v>
      </c>
      <c r="AE9" s="91">
        <v>5</v>
      </c>
      <c r="AF9" s="92">
        <f t="shared" ca="1" si="3"/>
        <v>0</v>
      </c>
      <c r="AG9" s="91">
        <v>5</v>
      </c>
      <c r="AH9" s="92">
        <f t="shared" ca="1" si="4"/>
        <v>0</v>
      </c>
      <c r="AI9" s="91">
        <v>5</v>
      </c>
      <c r="AJ9" s="92">
        <f t="shared" ca="1" si="5"/>
        <v>0</v>
      </c>
    </row>
    <row r="10" spans="2:36">
      <c r="B10" s="8"/>
      <c r="C10" s="9"/>
      <c r="E10" s="10">
        <v>6</v>
      </c>
      <c r="F10" s="86">
        <v>2.3599999999999999E-2</v>
      </c>
      <c r="H10" s="15">
        <v>6</v>
      </c>
      <c r="I10" s="88">
        <v>0</v>
      </c>
      <c r="K10" s="15">
        <v>6</v>
      </c>
      <c r="L10" s="88">
        <f>Dashboard!$AC$13/100</f>
        <v>0.03</v>
      </c>
      <c r="N10" s="91">
        <v>6</v>
      </c>
      <c r="O10" s="92">
        <v>0.01</v>
      </c>
      <c r="Q10" s="91">
        <v>6</v>
      </c>
      <c r="R10" s="92">
        <v>0.625</v>
      </c>
      <c r="T10" s="91">
        <v>6</v>
      </c>
      <c r="U10" s="92">
        <v>0.375</v>
      </c>
      <c r="V10" s="96"/>
      <c r="W10" s="99">
        <v>6</v>
      </c>
      <c r="X10" s="92">
        <v>0</v>
      </c>
      <c r="Z10" s="91">
        <v>6</v>
      </c>
      <c r="AA10" s="127">
        <v>0</v>
      </c>
      <c r="AB10" s="126">
        <f t="shared" ca="1" si="0"/>
        <v>0</v>
      </c>
      <c r="AC10" s="126">
        <f t="shared" ca="1" si="1"/>
        <v>0</v>
      </c>
      <c r="AD10" s="126">
        <f t="shared" ca="1" si="2"/>
        <v>0</v>
      </c>
      <c r="AE10" s="91">
        <v>6</v>
      </c>
      <c r="AF10" s="92">
        <f t="shared" ca="1" si="3"/>
        <v>0</v>
      </c>
      <c r="AG10" s="91">
        <v>6</v>
      </c>
      <c r="AH10" s="92">
        <f t="shared" ca="1" si="4"/>
        <v>0</v>
      </c>
      <c r="AI10" s="91">
        <v>6</v>
      </c>
      <c r="AJ10" s="92">
        <f t="shared" ca="1" si="5"/>
        <v>0</v>
      </c>
    </row>
    <row r="11" spans="2:36">
      <c r="B11" s="20" t="s">
        <v>325</v>
      </c>
      <c r="C11" s="14">
        <v>1</v>
      </c>
      <c r="E11" s="10">
        <v>7</v>
      </c>
      <c r="F11" s="86">
        <v>2.3599999999999999E-2</v>
      </c>
      <c r="H11" s="15">
        <v>7</v>
      </c>
      <c r="I11" s="88">
        <v>0</v>
      </c>
      <c r="K11" s="15">
        <v>7</v>
      </c>
      <c r="L11" s="88">
        <f>Dashboard!$AC$13/100</f>
        <v>0.03</v>
      </c>
      <c r="N11" s="91">
        <v>7</v>
      </c>
      <c r="O11" s="92">
        <v>0.01</v>
      </c>
      <c r="Q11" s="91">
        <v>7</v>
      </c>
      <c r="R11" s="92">
        <v>0.625</v>
      </c>
      <c r="T11" s="91">
        <v>7</v>
      </c>
      <c r="U11" s="92">
        <v>0.375</v>
      </c>
      <c r="V11" s="96"/>
      <c r="W11" s="99">
        <v>7</v>
      </c>
      <c r="X11" s="92">
        <v>0</v>
      </c>
      <c r="Z11" s="91">
        <v>7</v>
      </c>
      <c r="AA11" s="127">
        <v>0</v>
      </c>
      <c r="AB11" s="126">
        <f t="shared" ca="1" si="0"/>
        <v>0</v>
      </c>
      <c r="AC11" s="126">
        <f t="shared" ca="1" si="1"/>
        <v>0</v>
      </c>
      <c r="AD11" s="126">
        <f t="shared" ca="1" si="2"/>
        <v>0</v>
      </c>
      <c r="AE11" s="91">
        <v>7</v>
      </c>
      <c r="AF11" s="92">
        <f t="shared" ca="1" si="3"/>
        <v>0</v>
      </c>
      <c r="AG11" s="91">
        <v>7</v>
      </c>
      <c r="AH11" s="92">
        <f t="shared" ca="1" si="4"/>
        <v>0</v>
      </c>
      <c r="AI11" s="91">
        <v>7</v>
      </c>
      <c r="AJ11" s="92">
        <f t="shared" ca="1" si="5"/>
        <v>0</v>
      </c>
    </row>
    <row r="12" spans="2:36">
      <c r="B12" s="29" t="s">
        <v>348</v>
      </c>
      <c r="C12" s="9">
        <f>IF(C11=1,15,IF(C11=2,20, IF(C11=3,25, IF(C11=4,30,IF(C11=5,35,IF(C11=6,40,45))))))</f>
        <v>15</v>
      </c>
      <c r="E12" s="10">
        <v>8</v>
      </c>
      <c r="F12" s="86">
        <v>2.3599999999999999E-2</v>
      </c>
      <c r="H12" s="15">
        <v>8</v>
      </c>
      <c r="I12" s="88">
        <v>0</v>
      </c>
      <c r="K12" s="15">
        <v>8</v>
      </c>
      <c r="L12" s="88">
        <f>Dashboard!$AC$13/100</f>
        <v>0.03</v>
      </c>
      <c r="N12" s="91">
        <v>8</v>
      </c>
      <c r="O12" s="92">
        <v>0.01</v>
      </c>
      <c r="Q12" s="91">
        <v>8</v>
      </c>
      <c r="R12" s="92">
        <v>0.625</v>
      </c>
      <c r="T12" s="91">
        <v>8</v>
      </c>
      <c r="U12" s="92">
        <v>0.375</v>
      </c>
      <c r="V12" s="96"/>
      <c r="W12" s="99">
        <v>8</v>
      </c>
      <c r="X12" s="92">
        <v>0</v>
      </c>
      <c r="Z12" s="91">
        <v>8</v>
      </c>
      <c r="AA12" s="127">
        <v>0</v>
      </c>
      <c r="AB12" s="126">
        <f t="shared" ca="1" si="0"/>
        <v>0</v>
      </c>
      <c r="AC12" s="126">
        <f t="shared" ca="1" si="1"/>
        <v>0</v>
      </c>
      <c r="AD12" s="126">
        <f t="shared" ca="1" si="2"/>
        <v>0</v>
      </c>
      <c r="AE12" s="91">
        <v>8</v>
      </c>
      <c r="AF12" s="92">
        <f t="shared" ca="1" si="3"/>
        <v>0</v>
      </c>
      <c r="AG12" s="91">
        <v>8</v>
      </c>
      <c r="AH12" s="92">
        <f t="shared" ca="1" si="4"/>
        <v>0</v>
      </c>
      <c r="AI12" s="91">
        <v>8</v>
      </c>
      <c r="AJ12" s="92">
        <f t="shared" ca="1" si="5"/>
        <v>0</v>
      </c>
    </row>
    <row r="13" spans="2:36">
      <c r="B13" s="29" t="s">
        <v>327</v>
      </c>
      <c r="C13" s="9"/>
      <c r="E13" s="10">
        <v>9</v>
      </c>
      <c r="F13" s="86">
        <v>2.3599999999999999E-2</v>
      </c>
      <c r="H13" s="15">
        <v>9</v>
      </c>
      <c r="I13" s="88">
        <v>0</v>
      </c>
      <c r="K13" s="15">
        <v>9</v>
      </c>
      <c r="L13" s="88">
        <f>Dashboard!$AC$13/100</f>
        <v>0.03</v>
      </c>
      <c r="N13" s="91">
        <v>9</v>
      </c>
      <c r="O13" s="92">
        <v>0.01</v>
      </c>
      <c r="Q13" s="91">
        <v>9</v>
      </c>
      <c r="R13" s="92">
        <v>0.625</v>
      </c>
      <c r="T13" s="91">
        <v>9</v>
      </c>
      <c r="U13" s="92">
        <v>0.375</v>
      </c>
      <c r="V13" s="96"/>
      <c r="W13" s="99">
        <v>9</v>
      </c>
      <c r="X13" s="92">
        <v>0</v>
      </c>
      <c r="Z13" s="91">
        <v>9</v>
      </c>
      <c r="AA13" s="127">
        <v>0</v>
      </c>
      <c r="AB13" s="126">
        <f t="shared" ca="1" si="0"/>
        <v>0</v>
      </c>
      <c r="AC13" s="126">
        <f t="shared" ca="1" si="1"/>
        <v>0</v>
      </c>
      <c r="AD13" s="126">
        <f t="shared" ca="1" si="2"/>
        <v>0</v>
      </c>
      <c r="AE13" s="91">
        <v>9</v>
      </c>
      <c r="AF13" s="92">
        <f t="shared" ca="1" si="3"/>
        <v>0</v>
      </c>
      <c r="AG13" s="91">
        <v>9</v>
      </c>
      <c r="AH13" s="92">
        <f t="shared" ca="1" si="4"/>
        <v>0</v>
      </c>
      <c r="AI13" s="91">
        <v>9</v>
      </c>
      <c r="AJ13" s="92">
        <f t="shared" ca="1" si="5"/>
        <v>0</v>
      </c>
    </row>
    <row r="14" spans="2:36">
      <c r="B14" s="29" t="s">
        <v>350</v>
      </c>
      <c r="C14" s="9"/>
      <c r="E14" s="10">
        <v>10</v>
      </c>
      <c r="F14" s="86">
        <v>2.0199999999999999E-2</v>
      </c>
      <c r="H14" s="15">
        <v>10</v>
      </c>
      <c r="I14" s="88">
        <v>0</v>
      </c>
      <c r="K14" s="15">
        <v>10</v>
      </c>
      <c r="L14" s="88">
        <f>Dashboard!$AC$13/100</f>
        <v>0.03</v>
      </c>
      <c r="N14" s="91">
        <v>10</v>
      </c>
      <c r="O14" s="92">
        <v>0.01</v>
      </c>
      <c r="Q14" s="91">
        <v>10</v>
      </c>
      <c r="R14" s="92">
        <v>0.625</v>
      </c>
      <c r="T14" s="91">
        <v>10</v>
      </c>
      <c r="U14" s="92">
        <v>0.375</v>
      </c>
      <c r="V14" s="96"/>
      <c r="W14" s="99">
        <v>10</v>
      </c>
      <c r="X14" s="92">
        <v>0</v>
      </c>
      <c r="Z14" s="91">
        <v>10</v>
      </c>
      <c r="AA14" s="127">
        <v>0</v>
      </c>
      <c r="AB14" s="126">
        <f t="shared" ca="1" si="0"/>
        <v>0</v>
      </c>
      <c r="AC14" s="126">
        <f t="shared" ca="1" si="1"/>
        <v>0</v>
      </c>
      <c r="AD14" s="126">
        <f t="shared" ca="1" si="2"/>
        <v>0</v>
      </c>
      <c r="AE14" s="91">
        <v>10</v>
      </c>
      <c r="AF14" s="92">
        <f t="shared" ca="1" si="3"/>
        <v>0</v>
      </c>
      <c r="AG14" s="91">
        <v>10</v>
      </c>
      <c r="AH14" s="92">
        <f t="shared" ca="1" si="4"/>
        <v>0</v>
      </c>
      <c r="AI14" s="91">
        <v>10</v>
      </c>
      <c r="AJ14" s="92">
        <f t="shared" ca="1" si="5"/>
        <v>0</v>
      </c>
    </row>
    <row r="15" spans="2:36">
      <c r="B15" s="29" t="s">
        <v>328</v>
      </c>
      <c r="C15" s="9"/>
      <c r="E15" s="10">
        <v>11</v>
      </c>
      <c r="F15" s="86">
        <v>2.0199999999999999E-2</v>
      </c>
      <c r="H15" s="15">
        <v>11</v>
      </c>
      <c r="I15" s="88">
        <v>0</v>
      </c>
      <c r="K15" s="15">
        <v>11</v>
      </c>
      <c r="L15" s="88">
        <f>Dashboard!$AC$13/100</f>
        <v>0.03</v>
      </c>
      <c r="N15" s="91">
        <v>11</v>
      </c>
      <c r="O15" s="92">
        <v>0.05</v>
      </c>
      <c r="Q15" s="91">
        <v>11</v>
      </c>
      <c r="R15" s="92">
        <v>0.625</v>
      </c>
      <c r="T15" s="91">
        <v>11</v>
      </c>
      <c r="U15" s="92">
        <v>0.375</v>
      </c>
      <c r="V15" s="96"/>
      <c r="W15" s="99">
        <v>11</v>
      </c>
      <c r="X15" s="92">
        <v>0</v>
      </c>
      <c r="Z15" s="91">
        <v>11</v>
      </c>
      <c r="AA15" s="127">
        <v>0</v>
      </c>
      <c r="AB15" s="126">
        <f t="shared" ca="1" si="0"/>
        <v>0</v>
      </c>
      <c r="AC15" s="126">
        <f t="shared" ca="1" si="1"/>
        <v>0</v>
      </c>
      <c r="AD15" s="126">
        <f t="shared" ca="1" si="2"/>
        <v>0</v>
      </c>
      <c r="AE15" s="91">
        <v>11</v>
      </c>
      <c r="AF15" s="92">
        <f t="shared" ca="1" si="3"/>
        <v>0</v>
      </c>
      <c r="AG15" s="91">
        <v>11</v>
      </c>
      <c r="AH15" s="92">
        <f t="shared" ca="1" si="4"/>
        <v>0</v>
      </c>
      <c r="AI15" s="91">
        <v>11</v>
      </c>
      <c r="AJ15" s="92">
        <f t="shared" ca="1" si="5"/>
        <v>0</v>
      </c>
    </row>
    <row r="16" spans="2:36">
      <c r="B16" s="29" t="s">
        <v>351</v>
      </c>
      <c r="C16" s="9"/>
      <c r="E16" s="10">
        <v>12</v>
      </c>
      <c r="F16" s="86">
        <v>2.0199999999999999E-2</v>
      </c>
      <c r="H16" s="15">
        <v>12</v>
      </c>
      <c r="I16" s="88">
        <v>0</v>
      </c>
      <c r="K16" s="15">
        <v>12</v>
      </c>
      <c r="L16" s="88">
        <f>Dashboard!$AC$13/100</f>
        <v>0.03</v>
      </c>
      <c r="N16" s="91">
        <v>12</v>
      </c>
      <c r="O16" s="92">
        <v>0.05</v>
      </c>
      <c r="Q16" s="91">
        <v>12</v>
      </c>
      <c r="R16" s="92">
        <v>0.625</v>
      </c>
      <c r="T16" s="91">
        <v>12</v>
      </c>
      <c r="U16" s="92">
        <v>0.375</v>
      </c>
      <c r="V16" s="96"/>
      <c r="W16" s="99">
        <v>12</v>
      </c>
      <c r="X16" s="92">
        <v>0</v>
      </c>
      <c r="Z16" s="91">
        <v>12</v>
      </c>
      <c r="AA16" s="127">
        <v>0</v>
      </c>
      <c r="AB16" s="126">
        <f t="shared" ca="1" si="0"/>
        <v>0</v>
      </c>
      <c r="AC16" s="126">
        <f t="shared" ca="1" si="1"/>
        <v>0</v>
      </c>
      <c r="AD16" s="126">
        <f t="shared" ca="1" si="2"/>
        <v>0</v>
      </c>
      <c r="AE16" s="91">
        <v>12</v>
      </c>
      <c r="AF16" s="92">
        <f t="shared" ca="1" si="3"/>
        <v>0</v>
      </c>
      <c r="AG16" s="91">
        <v>12</v>
      </c>
      <c r="AH16" s="92">
        <f t="shared" ca="1" si="4"/>
        <v>0</v>
      </c>
      <c r="AI16" s="91">
        <v>12</v>
      </c>
      <c r="AJ16" s="92">
        <f t="shared" ca="1" si="5"/>
        <v>0</v>
      </c>
    </row>
    <row r="17" spans="1:36">
      <c r="B17" s="29" t="s">
        <v>352</v>
      </c>
      <c r="C17" s="9"/>
      <c r="E17" s="10">
        <v>13</v>
      </c>
      <c r="F17" s="86">
        <v>2.0199999999999999E-2</v>
      </c>
      <c r="H17" s="15">
        <v>13</v>
      </c>
      <c r="I17" s="88">
        <v>0</v>
      </c>
      <c r="K17" s="15">
        <v>13</v>
      </c>
      <c r="L17" s="88">
        <f>Dashboard!$AC$13/100</f>
        <v>0.03</v>
      </c>
      <c r="N17" s="91">
        <v>13</v>
      </c>
      <c r="O17" s="92">
        <v>0.05</v>
      </c>
      <c r="Q17" s="91">
        <v>13</v>
      </c>
      <c r="R17" s="92">
        <v>0.625</v>
      </c>
      <c r="T17" s="91">
        <v>13</v>
      </c>
      <c r="U17" s="92">
        <v>0.375</v>
      </c>
      <c r="V17" s="96"/>
      <c r="W17" s="99">
        <v>13</v>
      </c>
      <c r="X17" s="92">
        <v>0</v>
      </c>
      <c r="Z17" s="91">
        <v>13</v>
      </c>
      <c r="AA17" s="127">
        <v>0</v>
      </c>
      <c r="AB17" s="126">
        <f t="shared" ca="1" si="0"/>
        <v>0</v>
      </c>
      <c r="AC17" s="126">
        <f t="shared" ca="1" si="1"/>
        <v>0</v>
      </c>
      <c r="AD17" s="126">
        <f t="shared" ca="1" si="2"/>
        <v>0</v>
      </c>
      <c r="AE17" s="91">
        <v>13</v>
      </c>
      <c r="AF17" s="92">
        <f t="shared" ca="1" si="3"/>
        <v>0</v>
      </c>
      <c r="AG17" s="91">
        <v>13</v>
      </c>
      <c r="AH17" s="92">
        <f t="shared" ca="1" si="4"/>
        <v>0</v>
      </c>
      <c r="AI17" s="91">
        <v>13</v>
      </c>
      <c r="AJ17" s="92">
        <f t="shared" ca="1" si="5"/>
        <v>0</v>
      </c>
    </row>
    <row r="18" spans="1:36">
      <c r="B18" s="30" t="s">
        <v>353</v>
      </c>
      <c r="C18" s="12"/>
      <c r="E18" s="10">
        <v>14</v>
      </c>
      <c r="F18" s="86">
        <v>2.0199999999999999E-2</v>
      </c>
      <c r="H18" s="15">
        <v>14</v>
      </c>
      <c r="I18" s="88">
        <v>0</v>
      </c>
      <c r="K18" s="15">
        <v>14</v>
      </c>
      <c r="L18" s="88">
        <f>Dashboard!$AC$13/100</f>
        <v>0.03</v>
      </c>
      <c r="N18" s="91">
        <v>14</v>
      </c>
      <c r="O18" s="92">
        <v>0.05</v>
      </c>
      <c r="Q18" s="91">
        <v>14</v>
      </c>
      <c r="R18" s="92">
        <v>0.625</v>
      </c>
      <c r="T18" s="91">
        <v>14</v>
      </c>
      <c r="U18" s="92">
        <v>0.375</v>
      </c>
      <c r="V18" s="96"/>
      <c r="W18" s="99">
        <v>14</v>
      </c>
      <c r="X18" s="92">
        <v>0</v>
      </c>
      <c r="Z18" s="91">
        <v>14</v>
      </c>
      <c r="AA18" s="127">
        <v>0</v>
      </c>
      <c r="AB18" s="126">
        <f t="shared" ca="1" si="0"/>
        <v>0</v>
      </c>
      <c r="AC18" s="126">
        <f t="shared" ca="1" si="1"/>
        <v>0</v>
      </c>
      <c r="AD18" s="126">
        <f t="shared" ca="1" si="2"/>
        <v>0</v>
      </c>
      <c r="AE18" s="91">
        <v>14</v>
      </c>
      <c r="AF18" s="92">
        <f t="shared" ca="1" si="3"/>
        <v>0</v>
      </c>
      <c r="AG18" s="91">
        <v>14</v>
      </c>
      <c r="AH18" s="92">
        <f t="shared" ca="1" si="4"/>
        <v>0</v>
      </c>
      <c r="AI18" s="91">
        <v>14</v>
      </c>
      <c r="AJ18" s="92">
        <f t="shared" ca="1" si="5"/>
        <v>0</v>
      </c>
    </row>
    <row r="19" spans="1:36">
      <c r="B19" s="8"/>
      <c r="C19" s="9"/>
      <c r="E19" s="10">
        <v>15</v>
      </c>
      <c r="F19" s="86">
        <v>2.7799999999999998E-2</v>
      </c>
      <c r="H19" s="15">
        <v>15</v>
      </c>
      <c r="I19" s="88">
        <v>0</v>
      </c>
      <c r="K19" s="15">
        <v>15</v>
      </c>
      <c r="L19" s="88">
        <f>Dashboard!$AC$13/100</f>
        <v>0.03</v>
      </c>
      <c r="N19" s="91">
        <v>15</v>
      </c>
      <c r="O19" s="92">
        <v>0.05</v>
      </c>
      <c r="Q19" s="91">
        <v>15</v>
      </c>
      <c r="R19" s="92">
        <v>0.625</v>
      </c>
      <c r="T19" s="91">
        <v>15</v>
      </c>
      <c r="U19" s="92">
        <v>0.375</v>
      </c>
      <c r="V19" s="96"/>
      <c r="W19" s="99">
        <v>15</v>
      </c>
      <c r="X19" s="92">
        <v>0</v>
      </c>
      <c r="Z19" s="91">
        <v>15</v>
      </c>
      <c r="AA19" s="128">
        <f t="shared" ref="AA19:AA50" ca="1" si="6">min_annual_wage</f>
        <v>410.72455881667833</v>
      </c>
      <c r="AB19" s="126">
        <f ca="1">AA19*prod_loss_adl</f>
        <v>297.71999409208865</v>
      </c>
      <c r="AC19" s="126">
        <f ca="1">AA19*prod_loss_lymphedema</f>
        <v>55.834206915585128</v>
      </c>
      <c r="AD19" s="126">
        <f ca="1">AA19*prod_loss_hydrocele</f>
        <v>28.930842769151404</v>
      </c>
      <c r="AE19" s="91">
        <v>15</v>
      </c>
      <c r="AF19" s="92">
        <f t="shared" ca="1" si="3"/>
        <v>297.71999409208865</v>
      </c>
      <c r="AG19" s="91">
        <v>15</v>
      </c>
      <c r="AH19" s="92">
        <f t="shared" ca="1" si="4"/>
        <v>55.834206915585128</v>
      </c>
      <c r="AI19" s="91">
        <v>15</v>
      </c>
      <c r="AJ19" s="92">
        <f t="shared" ca="1" si="5"/>
        <v>28.930842769151404</v>
      </c>
    </row>
    <row r="20" spans="1:36">
      <c r="B20" s="20"/>
      <c r="C20" s="14">
        <v>1</v>
      </c>
      <c r="E20" s="10">
        <v>16</v>
      </c>
      <c r="F20" s="86">
        <v>2.7799999999999998E-2</v>
      </c>
      <c r="H20" s="15">
        <v>16</v>
      </c>
      <c r="I20" s="88">
        <v>0</v>
      </c>
      <c r="K20" s="15">
        <v>16</v>
      </c>
      <c r="L20" s="88">
        <f>Dashboard!$AC$13/100</f>
        <v>0.03</v>
      </c>
      <c r="N20" s="91">
        <v>16</v>
      </c>
      <c r="O20" s="92">
        <v>0.05</v>
      </c>
      <c r="Q20" s="91">
        <v>16</v>
      </c>
      <c r="R20" s="92">
        <v>0.625</v>
      </c>
      <c r="T20" s="91">
        <v>16</v>
      </c>
      <c r="U20" s="92">
        <v>0.375</v>
      </c>
      <c r="V20" s="96"/>
      <c r="W20" s="99">
        <v>16</v>
      </c>
      <c r="X20" s="92">
        <v>0.1</v>
      </c>
      <c r="Z20" s="91">
        <v>16</v>
      </c>
      <c r="AA20" s="128">
        <f t="shared" ca="1" si="6"/>
        <v>410.72455881667833</v>
      </c>
      <c r="AB20" s="126">
        <f t="shared" ca="1" si="0"/>
        <v>297.71999409208865</v>
      </c>
      <c r="AC20" s="126">
        <f t="shared" ca="1" si="1"/>
        <v>55.834206915585128</v>
      </c>
      <c r="AD20" s="126">
        <f t="shared" ca="1" si="2"/>
        <v>28.930842769151404</v>
      </c>
      <c r="AE20" s="91">
        <v>16</v>
      </c>
      <c r="AF20" s="92">
        <f t="shared" ca="1" si="3"/>
        <v>297.71999409208865</v>
      </c>
      <c r="AG20" s="91">
        <v>16</v>
      </c>
      <c r="AH20" s="92">
        <f t="shared" ca="1" si="4"/>
        <v>55.834206915585128</v>
      </c>
      <c r="AI20" s="91">
        <v>16</v>
      </c>
      <c r="AJ20" s="92">
        <f t="shared" ca="1" si="5"/>
        <v>28.930842769151404</v>
      </c>
    </row>
    <row r="21" spans="1:36">
      <c r="B21" s="29"/>
      <c r="C21" s="9"/>
      <c r="E21" s="10">
        <v>17</v>
      </c>
      <c r="F21" s="86">
        <v>2.7799999999999998E-2</v>
      </c>
      <c r="H21" s="15">
        <v>17</v>
      </c>
      <c r="I21" s="88">
        <v>0.01</v>
      </c>
      <c r="K21" s="15">
        <v>17</v>
      </c>
      <c r="L21" s="88">
        <f>Dashboard!$AC$13/100</f>
        <v>0.03</v>
      </c>
      <c r="N21" s="91">
        <v>17</v>
      </c>
      <c r="O21" s="92">
        <v>0.05</v>
      </c>
      <c r="Q21" s="91">
        <v>17</v>
      </c>
      <c r="R21" s="92">
        <v>0.625</v>
      </c>
      <c r="T21" s="91">
        <v>17</v>
      </c>
      <c r="U21" s="92">
        <v>0.375</v>
      </c>
      <c r="V21" s="96"/>
      <c r="W21" s="99">
        <v>17</v>
      </c>
      <c r="X21" s="92">
        <v>0.1</v>
      </c>
      <c r="Z21" s="91">
        <v>17</v>
      </c>
      <c r="AA21" s="128">
        <f t="shared" ca="1" si="6"/>
        <v>410.72455881667833</v>
      </c>
      <c r="AB21" s="126">
        <f t="shared" ca="1" si="0"/>
        <v>297.71999409208865</v>
      </c>
      <c r="AC21" s="126">
        <f t="shared" ca="1" si="1"/>
        <v>55.834206915585128</v>
      </c>
      <c r="AD21" s="126">
        <f t="shared" ca="1" si="2"/>
        <v>28.930842769151404</v>
      </c>
      <c r="AE21" s="91">
        <v>17</v>
      </c>
      <c r="AF21" s="92">
        <f t="shared" ca="1" si="3"/>
        <v>297.71999409208865</v>
      </c>
      <c r="AG21" s="91">
        <v>17</v>
      </c>
      <c r="AH21" s="92">
        <f t="shared" ca="1" si="4"/>
        <v>55.834206915585128</v>
      </c>
      <c r="AI21" s="91">
        <v>17</v>
      </c>
      <c r="AJ21" s="92">
        <f t="shared" ca="1" si="5"/>
        <v>28.930842769151404</v>
      </c>
    </row>
    <row r="22" spans="1:36">
      <c r="B22" s="29"/>
      <c r="C22" s="9"/>
      <c r="E22" s="10">
        <v>18</v>
      </c>
      <c r="F22" s="86">
        <v>2.7799999999999998E-2</v>
      </c>
      <c r="H22" s="15">
        <v>18</v>
      </c>
      <c r="I22" s="88">
        <v>0.01</v>
      </c>
      <c r="K22" s="15">
        <v>18</v>
      </c>
      <c r="L22" s="88">
        <f>Dashboard!$AC$13/100</f>
        <v>0.03</v>
      </c>
      <c r="N22" s="91">
        <v>18</v>
      </c>
      <c r="O22" s="92">
        <v>0.05</v>
      </c>
      <c r="Q22" s="91">
        <v>18</v>
      </c>
      <c r="R22" s="92">
        <v>0.625</v>
      </c>
      <c r="T22" s="91">
        <v>18</v>
      </c>
      <c r="U22" s="92">
        <v>0.375</v>
      </c>
      <c r="V22" s="96"/>
      <c r="W22" s="99">
        <v>18</v>
      </c>
      <c r="X22" s="92">
        <v>0.1</v>
      </c>
      <c r="Z22" s="91">
        <v>18</v>
      </c>
      <c r="AA22" s="128">
        <f t="shared" ca="1" si="6"/>
        <v>410.72455881667833</v>
      </c>
      <c r="AB22" s="126">
        <f t="shared" ca="1" si="0"/>
        <v>297.71999409208865</v>
      </c>
      <c r="AC22" s="126">
        <f t="shared" ca="1" si="1"/>
        <v>55.834206915585128</v>
      </c>
      <c r="AD22" s="126">
        <f t="shared" ca="1" si="2"/>
        <v>28.930842769151404</v>
      </c>
      <c r="AE22" s="91">
        <v>18</v>
      </c>
      <c r="AF22" s="92">
        <f t="shared" ca="1" si="3"/>
        <v>297.71999409208865</v>
      </c>
      <c r="AG22" s="91">
        <v>18</v>
      </c>
      <c r="AH22" s="92">
        <f t="shared" ca="1" si="4"/>
        <v>55.834206915585128</v>
      </c>
      <c r="AI22" s="91">
        <v>18</v>
      </c>
      <c r="AJ22" s="92">
        <f t="shared" ca="1" si="5"/>
        <v>28.930842769151404</v>
      </c>
    </row>
    <row r="23" spans="1:36">
      <c r="B23" s="30"/>
      <c r="C23" s="12"/>
      <c r="E23" s="10">
        <v>19</v>
      </c>
      <c r="F23" s="86">
        <v>2.7799999999999998E-2</v>
      </c>
      <c r="H23" s="15">
        <v>19</v>
      </c>
      <c r="I23" s="88">
        <v>0.01</v>
      </c>
      <c r="K23" s="15">
        <v>19</v>
      </c>
      <c r="L23" s="88">
        <f>Dashboard!$AC$13/100</f>
        <v>0.03</v>
      </c>
      <c r="N23" s="91">
        <v>19</v>
      </c>
      <c r="O23" s="92">
        <v>0.05</v>
      </c>
      <c r="Q23" s="91">
        <v>19</v>
      </c>
      <c r="R23" s="92">
        <v>0.625</v>
      </c>
      <c r="T23" s="91">
        <v>19</v>
      </c>
      <c r="U23" s="92">
        <v>0.375</v>
      </c>
      <c r="V23" s="96"/>
      <c r="W23" s="99">
        <v>19</v>
      </c>
      <c r="X23" s="92">
        <v>0.1</v>
      </c>
      <c r="Z23" s="91">
        <v>19</v>
      </c>
      <c r="AA23" s="128">
        <f t="shared" ca="1" si="6"/>
        <v>410.72455881667833</v>
      </c>
      <c r="AB23" s="126">
        <f t="shared" ca="1" si="0"/>
        <v>297.71999409208865</v>
      </c>
      <c r="AC23" s="126">
        <f t="shared" ca="1" si="1"/>
        <v>55.834206915585128</v>
      </c>
      <c r="AD23" s="126">
        <f t="shared" ca="1" si="2"/>
        <v>28.930842769151404</v>
      </c>
      <c r="AE23" s="91">
        <v>19</v>
      </c>
      <c r="AF23" s="92">
        <f t="shared" ca="1" si="3"/>
        <v>297.71999409208865</v>
      </c>
      <c r="AG23" s="91">
        <v>19</v>
      </c>
      <c r="AH23" s="92">
        <f t="shared" ca="1" si="4"/>
        <v>55.834206915585128</v>
      </c>
      <c r="AI23" s="91">
        <v>19</v>
      </c>
      <c r="AJ23" s="92">
        <f t="shared" ca="1" si="5"/>
        <v>28.930842769151404</v>
      </c>
    </row>
    <row r="24" spans="1:36">
      <c r="B24" s="8"/>
      <c r="C24" s="9"/>
      <c r="E24" s="10">
        <v>20</v>
      </c>
      <c r="F24" s="86">
        <v>3.6200000000000003E-2</v>
      </c>
      <c r="H24" s="15">
        <v>20</v>
      </c>
      <c r="I24" s="88">
        <v>0.01</v>
      </c>
      <c r="K24" s="15">
        <v>20</v>
      </c>
      <c r="L24" s="88">
        <f>Dashboard!$AC$13/100</f>
        <v>0.03</v>
      </c>
      <c r="N24" s="91">
        <v>20</v>
      </c>
      <c r="O24" s="92">
        <v>5.5E-2</v>
      </c>
      <c r="Q24" s="91">
        <v>20</v>
      </c>
      <c r="R24" s="92">
        <v>0.625</v>
      </c>
      <c r="T24" s="91">
        <v>20</v>
      </c>
      <c r="U24" s="92">
        <v>0.375</v>
      </c>
      <c r="V24" s="96"/>
      <c r="W24" s="99">
        <v>20</v>
      </c>
      <c r="X24" s="92">
        <v>0.1</v>
      </c>
      <c r="Z24" s="91">
        <v>20</v>
      </c>
      <c r="AA24" s="128">
        <f t="shared" ca="1" si="6"/>
        <v>410.72455881667833</v>
      </c>
      <c r="AB24" s="126">
        <f t="shared" ca="1" si="0"/>
        <v>297.71999409208865</v>
      </c>
      <c r="AC24" s="126">
        <f t="shared" ca="1" si="1"/>
        <v>55.834206915585128</v>
      </c>
      <c r="AD24" s="126">
        <f t="shared" ca="1" si="2"/>
        <v>28.930842769151404</v>
      </c>
      <c r="AE24" s="91">
        <v>20</v>
      </c>
      <c r="AF24" s="92">
        <f t="shared" ca="1" si="3"/>
        <v>297.71999409208865</v>
      </c>
      <c r="AG24" s="91">
        <v>20</v>
      </c>
      <c r="AH24" s="92">
        <f t="shared" ca="1" si="4"/>
        <v>55.834206915585128</v>
      </c>
      <c r="AI24" s="91">
        <v>20</v>
      </c>
      <c r="AJ24" s="92">
        <f t="shared" ca="1" si="5"/>
        <v>28.930842769151404</v>
      </c>
    </row>
    <row r="25" spans="1:36">
      <c r="B25" s="20" t="s">
        <v>323</v>
      </c>
      <c r="C25" s="14">
        <v>2</v>
      </c>
      <c r="E25" s="10">
        <v>21</v>
      </c>
      <c r="F25" s="86">
        <v>3.6200000000000003E-2</v>
      </c>
      <c r="H25" s="15">
        <v>21</v>
      </c>
      <c r="I25" s="88">
        <v>0.01</v>
      </c>
      <c r="K25" s="15">
        <v>21</v>
      </c>
      <c r="L25" s="88">
        <f>Dashboard!$AC$13/100</f>
        <v>0.03</v>
      </c>
      <c r="N25" s="91">
        <v>21</v>
      </c>
      <c r="O25" s="92">
        <v>5.5E-2</v>
      </c>
      <c r="Q25" s="91">
        <v>21</v>
      </c>
      <c r="R25" s="92">
        <v>0.625</v>
      </c>
      <c r="T25" s="91">
        <v>21</v>
      </c>
      <c r="U25" s="92">
        <v>0.375</v>
      </c>
      <c r="V25" s="96"/>
      <c r="W25" s="99">
        <v>21</v>
      </c>
      <c r="X25" s="92">
        <v>0.1</v>
      </c>
      <c r="Z25" s="91">
        <v>21</v>
      </c>
      <c r="AA25" s="128">
        <f t="shared" ca="1" si="6"/>
        <v>410.72455881667833</v>
      </c>
      <c r="AB25" s="126">
        <f t="shared" ca="1" si="0"/>
        <v>297.71999409208865</v>
      </c>
      <c r="AC25" s="126">
        <f t="shared" ca="1" si="1"/>
        <v>55.834206915585128</v>
      </c>
      <c r="AD25" s="126">
        <f t="shared" ca="1" si="2"/>
        <v>28.930842769151404</v>
      </c>
      <c r="AE25" s="91">
        <v>21</v>
      </c>
      <c r="AF25" s="92">
        <f t="shared" ca="1" si="3"/>
        <v>297.71999409208865</v>
      </c>
      <c r="AG25" s="91">
        <v>21</v>
      </c>
      <c r="AH25" s="92">
        <f t="shared" ca="1" si="4"/>
        <v>55.834206915585128</v>
      </c>
      <c r="AI25" s="91">
        <v>21</v>
      </c>
      <c r="AJ25" s="92">
        <f t="shared" ca="1" si="5"/>
        <v>28.930842769151404</v>
      </c>
    </row>
    <row r="26" spans="1:36">
      <c r="B26" s="29" t="s">
        <v>326</v>
      </c>
      <c r="C26" s="9"/>
      <c r="E26" s="10">
        <v>22</v>
      </c>
      <c r="F26" s="86">
        <v>3.6200000000000003E-2</v>
      </c>
      <c r="H26" s="15">
        <v>22</v>
      </c>
      <c r="I26" s="88">
        <v>0.01</v>
      </c>
      <c r="K26" s="15">
        <v>22</v>
      </c>
      <c r="L26" s="88">
        <f>Dashboard!$AC$13/100</f>
        <v>0.03</v>
      </c>
      <c r="N26" s="91">
        <v>22</v>
      </c>
      <c r="O26" s="92">
        <v>5.5E-2</v>
      </c>
      <c r="Q26" s="91">
        <v>22</v>
      </c>
      <c r="R26" s="92">
        <v>0.625</v>
      </c>
      <c r="T26" s="91">
        <v>22</v>
      </c>
      <c r="U26" s="92">
        <v>0.375</v>
      </c>
      <c r="V26" s="96"/>
      <c r="W26" s="99">
        <v>22</v>
      </c>
      <c r="X26" s="92">
        <v>0.1</v>
      </c>
      <c r="Z26" s="91">
        <v>22</v>
      </c>
      <c r="AA26" s="128">
        <f t="shared" ca="1" si="6"/>
        <v>410.72455881667833</v>
      </c>
      <c r="AB26" s="126">
        <f t="shared" ca="1" si="0"/>
        <v>297.71999409208865</v>
      </c>
      <c r="AC26" s="126">
        <f t="shared" ca="1" si="1"/>
        <v>55.834206915585128</v>
      </c>
      <c r="AD26" s="126">
        <f t="shared" ca="1" si="2"/>
        <v>28.930842769151404</v>
      </c>
      <c r="AE26" s="91">
        <v>22</v>
      </c>
      <c r="AF26" s="92">
        <f t="shared" ca="1" si="3"/>
        <v>297.71999409208865</v>
      </c>
      <c r="AG26" s="91">
        <v>22</v>
      </c>
      <c r="AH26" s="92">
        <f t="shared" ca="1" si="4"/>
        <v>55.834206915585128</v>
      </c>
      <c r="AI26" s="91">
        <v>22</v>
      </c>
      <c r="AJ26" s="92">
        <f t="shared" ca="1" si="5"/>
        <v>28.930842769151404</v>
      </c>
    </row>
    <row r="27" spans="1:36">
      <c r="B27" s="30" t="s">
        <v>324</v>
      </c>
      <c r="C27" s="12"/>
      <c r="E27" s="10">
        <v>23</v>
      </c>
      <c r="F27" s="86">
        <v>3.6200000000000003E-2</v>
      </c>
      <c r="H27" s="15">
        <v>23</v>
      </c>
      <c r="I27" s="88">
        <v>0.01</v>
      </c>
      <c r="K27" s="15">
        <v>23</v>
      </c>
      <c r="L27" s="88">
        <f>Dashboard!$AC$13/100</f>
        <v>0.03</v>
      </c>
      <c r="N27" s="91">
        <v>23</v>
      </c>
      <c r="O27" s="92">
        <v>5.5E-2</v>
      </c>
      <c r="Q27" s="91">
        <v>23</v>
      </c>
      <c r="R27" s="92">
        <v>0.625</v>
      </c>
      <c r="T27" s="91">
        <v>23</v>
      </c>
      <c r="U27" s="92">
        <v>0.375</v>
      </c>
      <c r="V27" s="96"/>
      <c r="W27" s="99">
        <v>23</v>
      </c>
      <c r="X27" s="92">
        <v>0.1</v>
      </c>
      <c r="Z27" s="91">
        <v>23</v>
      </c>
      <c r="AA27" s="128">
        <f t="shared" ca="1" si="6"/>
        <v>410.72455881667833</v>
      </c>
      <c r="AB27" s="126">
        <f t="shared" ca="1" si="0"/>
        <v>297.71999409208865</v>
      </c>
      <c r="AC27" s="126">
        <f t="shared" ca="1" si="1"/>
        <v>55.834206915585128</v>
      </c>
      <c r="AD27" s="126">
        <f t="shared" ca="1" si="2"/>
        <v>28.930842769151404</v>
      </c>
      <c r="AE27" s="91">
        <v>23</v>
      </c>
      <c r="AF27" s="92">
        <f t="shared" ca="1" si="3"/>
        <v>297.71999409208865</v>
      </c>
      <c r="AG27" s="91">
        <v>23</v>
      </c>
      <c r="AH27" s="92">
        <f t="shared" ca="1" si="4"/>
        <v>55.834206915585128</v>
      </c>
      <c r="AI27" s="91">
        <v>23</v>
      </c>
      <c r="AJ27" s="92">
        <f t="shared" ca="1" si="5"/>
        <v>28.930842769151404</v>
      </c>
    </row>
    <row r="28" spans="1:36">
      <c r="A28" t="s">
        <v>398</v>
      </c>
      <c r="B28" s="4"/>
      <c r="E28" s="10">
        <v>24</v>
      </c>
      <c r="F28" s="86">
        <v>3.6200000000000003E-2</v>
      </c>
      <c r="H28" s="15">
        <v>24</v>
      </c>
      <c r="I28" s="88">
        <v>0.01</v>
      </c>
      <c r="K28" s="15">
        <v>24</v>
      </c>
      <c r="L28" s="88">
        <f>Dashboard!$AC$13/100</f>
        <v>0.03</v>
      </c>
      <c r="N28" s="91">
        <v>24</v>
      </c>
      <c r="O28" s="92">
        <v>5.5E-2</v>
      </c>
      <c r="Q28" s="91">
        <v>24</v>
      </c>
      <c r="R28" s="92">
        <v>0.625</v>
      </c>
      <c r="T28" s="91">
        <v>24</v>
      </c>
      <c r="U28" s="92">
        <v>0.375</v>
      </c>
      <c r="V28" s="96"/>
      <c r="W28" s="99">
        <v>24</v>
      </c>
      <c r="X28" s="92">
        <v>0.1</v>
      </c>
      <c r="Z28" s="91">
        <v>24</v>
      </c>
      <c r="AA28" s="128">
        <f t="shared" ca="1" si="6"/>
        <v>410.72455881667833</v>
      </c>
      <c r="AB28" s="126">
        <f t="shared" ca="1" si="0"/>
        <v>297.71999409208865</v>
      </c>
      <c r="AC28" s="126">
        <f t="shared" ca="1" si="1"/>
        <v>55.834206915585128</v>
      </c>
      <c r="AD28" s="126">
        <f t="shared" ca="1" si="2"/>
        <v>28.930842769151404</v>
      </c>
      <c r="AE28" s="91">
        <v>24</v>
      </c>
      <c r="AF28" s="92">
        <f t="shared" ca="1" si="3"/>
        <v>297.71999409208865</v>
      </c>
      <c r="AG28" s="91">
        <v>24</v>
      </c>
      <c r="AH28" s="92">
        <f t="shared" ca="1" si="4"/>
        <v>55.834206915585128</v>
      </c>
      <c r="AI28" s="91">
        <v>24</v>
      </c>
      <c r="AJ28" s="92">
        <f t="shared" ca="1" si="5"/>
        <v>28.930842769151404</v>
      </c>
    </row>
    <row r="29" spans="1:36">
      <c r="B29" s="19" t="s">
        <v>397</v>
      </c>
      <c r="C29" s="2">
        <v>1</v>
      </c>
      <c r="E29" s="10">
        <v>25</v>
      </c>
      <c r="F29" s="86">
        <v>4.9799999999999997E-2</v>
      </c>
      <c r="H29" s="15">
        <v>25</v>
      </c>
      <c r="I29" s="88">
        <v>0.01</v>
      </c>
      <c r="K29" s="15">
        <v>25</v>
      </c>
      <c r="L29" s="88">
        <f>Dashboard!$AC$13/100</f>
        <v>0.03</v>
      </c>
      <c r="N29" s="91">
        <v>25</v>
      </c>
      <c r="O29" s="92">
        <v>5.5E-2</v>
      </c>
      <c r="Q29" s="91">
        <v>25</v>
      </c>
      <c r="R29" s="92">
        <v>0.625</v>
      </c>
      <c r="T29" s="91">
        <v>25</v>
      </c>
      <c r="U29" s="92">
        <v>0.375</v>
      </c>
      <c r="V29" s="96"/>
      <c r="W29" s="99">
        <v>25</v>
      </c>
      <c r="X29" s="92">
        <v>0.1</v>
      </c>
      <c r="Z29" s="91">
        <v>25</v>
      </c>
      <c r="AA29" s="128">
        <f t="shared" ca="1" si="6"/>
        <v>410.72455881667833</v>
      </c>
      <c r="AB29" s="126">
        <f t="shared" ca="1" si="0"/>
        <v>297.71999409208865</v>
      </c>
      <c r="AC29" s="126">
        <f t="shared" ca="1" si="1"/>
        <v>55.834206915585128</v>
      </c>
      <c r="AD29" s="126">
        <f t="shared" ca="1" si="2"/>
        <v>28.930842769151404</v>
      </c>
      <c r="AE29" s="91">
        <v>25</v>
      </c>
      <c r="AF29" s="92">
        <f t="shared" ca="1" si="3"/>
        <v>297.71999409208865</v>
      </c>
      <c r="AG29" s="91">
        <v>25</v>
      </c>
      <c r="AH29" s="92">
        <f t="shared" ca="1" si="4"/>
        <v>55.834206915585128</v>
      </c>
      <c r="AI29" s="91">
        <v>25</v>
      </c>
      <c r="AJ29" s="92">
        <f t="shared" ca="1" si="5"/>
        <v>28.930842769151404</v>
      </c>
    </row>
    <row r="30" spans="1:36">
      <c r="A30">
        <v>1</v>
      </c>
      <c r="B30" s="152" t="str">
        <f>$A$28&amp;TEXT(A30,"0")</f>
        <v>Year 1</v>
      </c>
      <c r="C30" s="14"/>
      <c r="E30" s="10">
        <v>26</v>
      </c>
      <c r="F30" s="86">
        <v>4.9799999999999997E-2</v>
      </c>
      <c r="H30" s="15">
        <v>26</v>
      </c>
      <c r="I30" s="88">
        <v>0.01</v>
      </c>
      <c r="K30" s="15">
        <v>26</v>
      </c>
      <c r="L30" s="88">
        <f>Dashboard!$AC$13/100</f>
        <v>0.03</v>
      </c>
      <c r="N30" s="91">
        <v>26</v>
      </c>
      <c r="O30" s="92">
        <v>5.5E-2</v>
      </c>
      <c r="Q30" s="91">
        <v>26</v>
      </c>
      <c r="R30" s="92">
        <v>0.625</v>
      </c>
      <c r="T30" s="91">
        <v>26</v>
      </c>
      <c r="U30" s="92">
        <v>0.375</v>
      </c>
      <c r="V30" s="96"/>
      <c r="W30" s="99">
        <v>26</v>
      </c>
      <c r="X30" s="92">
        <v>0.1</v>
      </c>
      <c r="Z30" s="91">
        <v>26</v>
      </c>
      <c r="AA30" s="128">
        <f t="shared" ca="1" si="6"/>
        <v>410.72455881667833</v>
      </c>
      <c r="AB30" s="126">
        <f t="shared" ca="1" si="0"/>
        <v>297.71999409208865</v>
      </c>
      <c r="AC30" s="126">
        <f t="shared" ca="1" si="1"/>
        <v>55.834206915585128</v>
      </c>
      <c r="AD30" s="126">
        <f t="shared" ca="1" si="2"/>
        <v>28.930842769151404</v>
      </c>
      <c r="AE30" s="91">
        <v>26</v>
      </c>
      <c r="AF30" s="92">
        <f t="shared" ca="1" si="3"/>
        <v>297.71999409208865</v>
      </c>
      <c r="AG30" s="91">
        <v>26</v>
      </c>
      <c r="AH30" s="92">
        <f t="shared" ca="1" si="4"/>
        <v>55.834206915585128</v>
      </c>
      <c r="AI30" s="91">
        <v>26</v>
      </c>
      <c r="AJ30" s="92">
        <f t="shared" ca="1" si="5"/>
        <v>28.930842769151404</v>
      </c>
    </row>
    <row r="31" spans="1:36">
      <c r="A31">
        <v>2</v>
      </c>
      <c r="B31" s="152" t="str">
        <f t="shared" ref="B31:B89" si="7">$A$28&amp;TEXT(A31,"0")</f>
        <v>Year 2</v>
      </c>
      <c r="C31" s="9"/>
      <c r="E31" s="10">
        <v>27</v>
      </c>
      <c r="F31" s="86">
        <v>4.9799999999999997E-2</v>
      </c>
      <c r="H31" s="15">
        <v>27</v>
      </c>
      <c r="I31" s="88">
        <v>0.01</v>
      </c>
      <c r="K31" s="15">
        <v>27</v>
      </c>
      <c r="L31" s="88">
        <f>Dashboard!$AC$13/100</f>
        <v>0.03</v>
      </c>
      <c r="N31" s="91">
        <v>27</v>
      </c>
      <c r="O31" s="92">
        <v>5.5E-2</v>
      </c>
      <c r="Q31" s="91">
        <v>27</v>
      </c>
      <c r="R31" s="92">
        <v>0.625</v>
      </c>
      <c r="T31" s="91">
        <v>27</v>
      </c>
      <c r="U31" s="92">
        <v>0.375</v>
      </c>
      <c r="V31" s="96"/>
      <c r="W31" s="99">
        <v>27</v>
      </c>
      <c r="X31" s="92">
        <v>0.1</v>
      </c>
      <c r="Z31" s="91">
        <v>27</v>
      </c>
      <c r="AA31" s="128">
        <f t="shared" ca="1" si="6"/>
        <v>410.72455881667833</v>
      </c>
      <c r="AB31" s="126">
        <f t="shared" ca="1" si="0"/>
        <v>297.71999409208865</v>
      </c>
      <c r="AC31" s="126">
        <f t="shared" ca="1" si="1"/>
        <v>55.834206915585128</v>
      </c>
      <c r="AD31" s="126">
        <f t="shared" ca="1" si="2"/>
        <v>28.930842769151404</v>
      </c>
      <c r="AE31" s="91">
        <v>27</v>
      </c>
      <c r="AF31" s="92">
        <f t="shared" ca="1" si="3"/>
        <v>297.71999409208865</v>
      </c>
      <c r="AG31" s="91">
        <v>27</v>
      </c>
      <c r="AH31" s="92">
        <f t="shared" ca="1" si="4"/>
        <v>55.834206915585128</v>
      </c>
      <c r="AI31" s="91">
        <v>27</v>
      </c>
      <c r="AJ31" s="92">
        <f t="shared" ca="1" si="5"/>
        <v>28.930842769151404</v>
      </c>
    </row>
    <row r="32" spans="1:36">
      <c r="A32">
        <v>3</v>
      </c>
      <c r="B32" s="152" t="str">
        <f t="shared" si="7"/>
        <v>Year 3</v>
      </c>
      <c r="C32" s="9"/>
      <c r="E32" s="10">
        <v>28</v>
      </c>
      <c r="F32" s="86">
        <v>4.9799999999999997E-2</v>
      </c>
      <c r="H32" s="15">
        <v>28</v>
      </c>
      <c r="I32" s="88">
        <v>0.01</v>
      </c>
      <c r="K32" s="15">
        <v>28</v>
      </c>
      <c r="L32" s="88">
        <f>Dashboard!$AC$13/100</f>
        <v>0.03</v>
      </c>
      <c r="N32" s="91">
        <v>28</v>
      </c>
      <c r="O32" s="92">
        <v>5.5E-2</v>
      </c>
      <c r="Q32" s="91">
        <v>28</v>
      </c>
      <c r="R32" s="92">
        <v>0.625</v>
      </c>
      <c r="T32" s="91">
        <v>28</v>
      </c>
      <c r="U32" s="92">
        <v>0.375</v>
      </c>
      <c r="V32" s="96"/>
      <c r="W32" s="99">
        <v>28</v>
      </c>
      <c r="X32" s="92">
        <v>0.1</v>
      </c>
      <c r="Z32" s="91">
        <v>28</v>
      </c>
      <c r="AA32" s="128">
        <f t="shared" ca="1" si="6"/>
        <v>410.72455881667833</v>
      </c>
      <c r="AB32" s="126">
        <f t="shared" ca="1" si="0"/>
        <v>297.71999409208865</v>
      </c>
      <c r="AC32" s="126">
        <f t="shared" ca="1" si="1"/>
        <v>55.834206915585128</v>
      </c>
      <c r="AD32" s="126">
        <f t="shared" ca="1" si="2"/>
        <v>28.930842769151404</v>
      </c>
      <c r="AE32" s="91">
        <v>28</v>
      </c>
      <c r="AF32" s="92">
        <f t="shared" ca="1" si="3"/>
        <v>297.71999409208865</v>
      </c>
      <c r="AG32" s="91">
        <v>28</v>
      </c>
      <c r="AH32" s="92">
        <f t="shared" ca="1" si="4"/>
        <v>55.834206915585128</v>
      </c>
      <c r="AI32" s="91">
        <v>28</v>
      </c>
      <c r="AJ32" s="92">
        <f t="shared" ca="1" si="5"/>
        <v>28.930842769151404</v>
      </c>
    </row>
    <row r="33" spans="1:36">
      <c r="A33">
        <v>4</v>
      </c>
      <c r="B33" s="152" t="str">
        <f t="shared" si="7"/>
        <v>Year 4</v>
      </c>
      <c r="C33" s="9"/>
      <c r="E33" s="10">
        <v>29</v>
      </c>
      <c r="F33" s="86">
        <v>4.9799999999999997E-2</v>
      </c>
      <c r="H33" s="15">
        <v>29</v>
      </c>
      <c r="I33" s="88">
        <v>0.01</v>
      </c>
      <c r="K33" s="15">
        <v>29</v>
      </c>
      <c r="L33" s="88">
        <f>Dashboard!$AC$13/100</f>
        <v>0.03</v>
      </c>
      <c r="N33" s="91">
        <v>29</v>
      </c>
      <c r="O33" s="92">
        <v>5.5E-2</v>
      </c>
      <c r="Q33" s="91">
        <v>29</v>
      </c>
      <c r="R33" s="92">
        <v>0.625</v>
      </c>
      <c r="T33" s="91">
        <v>29</v>
      </c>
      <c r="U33" s="92">
        <v>0.375</v>
      </c>
      <c r="V33" s="96"/>
      <c r="W33" s="99">
        <v>29</v>
      </c>
      <c r="X33" s="92">
        <v>0.1</v>
      </c>
      <c r="Z33" s="91">
        <v>29</v>
      </c>
      <c r="AA33" s="128">
        <f t="shared" ca="1" si="6"/>
        <v>410.72455881667833</v>
      </c>
      <c r="AB33" s="126">
        <f t="shared" ca="1" si="0"/>
        <v>297.71999409208865</v>
      </c>
      <c r="AC33" s="126">
        <f t="shared" ca="1" si="1"/>
        <v>55.834206915585128</v>
      </c>
      <c r="AD33" s="126">
        <f t="shared" ca="1" si="2"/>
        <v>28.930842769151404</v>
      </c>
      <c r="AE33" s="91">
        <v>29</v>
      </c>
      <c r="AF33" s="92">
        <f t="shared" ca="1" si="3"/>
        <v>297.71999409208865</v>
      </c>
      <c r="AG33" s="91">
        <v>29</v>
      </c>
      <c r="AH33" s="92">
        <f t="shared" ca="1" si="4"/>
        <v>55.834206915585128</v>
      </c>
      <c r="AI33" s="91">
        <v>29</v>
      </c>
      <c r="AJ33" s="92">
        <f t="shared" ca="1" si="5"/>
        <v>28.930842769151404</v>
      </c>
    </row>
    <row r="34" spans="1:36">
      <c r="A34">
        <v>5</v>
      </c>
      <c r="B34" s="152" t="str">
        <f t="shared" si="7"/>
        <v>Year 5</v>
      </c>
      <c r="C34" s="9"/>
      <c r="E34" s="10">
        <v>30</v>
      </c>
      <c r="F34" s="86">
        <v>6.2700000000000006E-2</v>
      </c>
      <c r="H34" s="15">
        <v>30</v>
      </c>
      <c r="I34" s="88">
        <v>0.01</v>
      </c>
      <c r="K34" s="15">
        <v>30</v>
      </c>
      <c r="L34" s="88">
        <f>Dashboard!$AC$13/100</f>
        <v>0.03</v>
      </c>
      <c r="N34" s="91">
        <v>30</v>
      </c>
      <c r="O34" s="92">
        <v>0.11</v>
      </c>
      <c r="Q34" s="91">
        <v>30</v>
      </c>
      <c r="R34" s="92">
        <v>0.625</v>
      </c>
      <c r="T34" s="91">
        <v>30</v>
      </c>
      <c r="U34" s="92">
        <v>0.375</v>
      </c>
      <c r="V34" s="96"/>
      <c r="W34" s="99">
        <v>30</v>
      </c>
      <c r="X34" s="92">
        <v>0.1</v>
      </c>
      <c r="Z34" s="91">
        <v>30</v>
      </c>
      <c r="AA34" s="128">
        <f t="shared" ca="1" si="6"/>
        <v>410.72455881667833</v>
      </c>
      <c r="AB34" s="126">
        <f t="shared" ca="1" si="0"/>
        <v>297.71999409208865</v>
      </c>
      <c r="AC34" s="126">
        <f t="shared" ca="1" si="1"/>
        <v>55.834206915585128</v>
      </c>
      <c r="AD34" s="126">
        <f t="shared" ca="1" si="2"/>
        <v>28.930842769151404</v>
      </c>
      <c r="AE34" s="91">
        <v>30</v>
      </c>
      <c r="AF34" s="92">
        <f t="shared" ca="1" si="3"/>
        <v>297.71999409208865</v>
      </c>
      <c r="AG34" s="91">
        <v>30</v>
      </c>
      <c r="AH34" s="92">
        <f t="shared" ca="1" si="4"/>
        <v>55.834206915585128</v>
      </c>
      <c r="AI34" s="91">
        <v>30</v>
      </c>
      <c r="AJ34" s="92">
        <f t="shared" ca="1" si="5"/>
        <v>28.930842769151404</v>
      </c>
    </row>
    <row r="35" spans="1:36">
      <c r="A35">
        <v>6</v>
      </c>
      <c r="B35" s="152" t="str">
        <f t="shared" si="7"/>
        <v>Year 6</v>
      </c>
      <c r="C35" s="9"/>
      <c r="E35" s="10">
        <v>31</v>
      </c>
      <c r="F35" s="86">
        <v>6.2700000000000006E-2</v>
      </c>
      <c r="H35" s="15">
        <v>31</v>
      </c>
      <c r="I35" s="88">
        <v>0.01</v>
      </c>
      <c r="K35" s="15">
        <v>31</v>
      </c>
      <c r="L35" s="88">
        <f>Dashboard!$AC$13/100</f>
        <v>0.03</v>
      </c>
      <c r="N35" s="91">
        <v>31</v>
      </c>
      <c r="O35" s="92">
        <v>0.11</v>
      </c>
      <c r="Q35" s="91">
        <v>31</v>
      </c>
      <c r="R35" s="92">
        <v>0.625</v>
      </c>
      <c r="T35" s="91">
        <v>31</v>
      </c>
      <c r="U35" s="92">
        <v>0.375</v>
      </c>
      <c r="V35" s="96"/>
      <c r="W35" s="99">
        <v>31</v>
      </c>
      <c r="X35" s="92">
        <v>0.1</v>
      </c>
      <c r="Z35" s="91">
        <v>31</v>
      </c>
      <c r="AA35" s="128">
        <f t="shared" ca="1" si="6"/>
        <v>410.72455881667833</v>
      </c>
      <c r="AB35" s="126">
        <f t="shared" ca="1" si="0"/>
        <v>297.71999409208865</v>
      </c>
      <c r="AC35" s="126">
        <f t="shared" ca="1" si="1"/>
        <v>55.834206915585128</v>
      </c>
      <c r="AD35" s="126">
        <f t="shared" ca="1" si="2"/>
        <v>28.930842769151404</v>
      </c>
      <c r="AE35" s="91">
        <v>31</v>
      </c>
      <c r="AF35" s="92">
        <f t="shared" ca="1" si="3"/>
        <v>297.71999409208865</v>
      </c>
      <c r="AG35" s="91">
        <v>31</v>
      </c>
      <c r="AH35" s="92">
        <f t="shared" ca="1" si="4"/>
        <v>55.834206915585128</v>
      </c>
      <c r="AI35" s="91">
        <v>31</v>
      </c>
      <c r="AJ35" s="92">
        <f t="shared" ca="1" si="5"/>
        <v>28.930842769151404</v>
      </c>
    </row>
    <row r="36" spans="1:36">
      <c r="A36">
        <v>7</v>
      </c>
      <c r="B36" s="152" t="str">
        <f t="shared" si="7"/>
        <v>Year 7</v>
      </c>
      <c r="C36" s="9"/>
      <c r="E36" s="10">
        <v>32</v>
      </c>
      <c r="F36" s="86">
        <v>6.2700000000000006E-2</v>
      </c>
      <c r="H36" s="15">
        <v>32</v>
      </c>
      <c r="I36" s="88">
        <v>0.01</v>
      </c>
      <c r="K36" s="15">
        <v>32</v>
      </c>
      <c r="L36" s="88">
        <f>Dashboard!$AC$13/100</f>
        <v>0.03</v>
      </c>
      <c r="N36" s="91">
        <v>32</v>
      </c>
      <c r="O36" s="92">
        <v>0.11</v>
      </c>
      <c r="Q36" s="91">
        <v>32</v>
      </c>
      <c r="R36" s="92">
        <v>0.625</v>
      </c>
      <c r="T36" s="91">
        <v>32</v>
      </c>
      <c r="U36" s="92">
        <v>0.375</v>
      </c>
      <c r="V36" s="96"/>
      <c r="W36" s="99">
        <v>32</v>
      </c>
      <c r="X36" s="92">
        <v>0.1</v>
      </c>
      <c r="Z36" s="91">
        <v>32</v>
      </c>
      <c r="AA36" s="128">
        <f t="shared" ca="1" si="6"/>
        <v>410.72455881667833</v>
      </c>
      <c r="AB36" s="126">
        <f t="shared" ref="AB36:AB67" ca="1" si="8">AA36*prod_loss_adl</f>
        <v>297.71999409208865</v>
      </c>
      <c r="AC36" s="126">
        <f t="shared" ref="AC36:AC67" ca="1" si="9">AA36*prod_loss_lymphedema</f>
        <v>55.834206915585128</v>
      </c>
      <c r="AD36" s="126">
        <f t="shared" ref="AD36:AD67" ca="1" si="10">AA36*prod_loss_hydrocele</f>
        <v>28.930842769151404</v>
      </c>
      <c r="AE36" s="91">
        <v>32</v>
      </c>
      <c r="AF36" s="92">
        <f t="shared" ref="AF36:AF67" ca="1" si="11">IF(study_perspective=1,0,AB36)</f>
        <v>297.71999409208865</v>
      </c>
      <c r="AG36" s="91">
        <v>32</v>
      </c>
      <c r="AH36" s="92">
        <f t="shared" ref="AH36:AH67" ca="1" si="12">IF(study_perspective=1,0,AC36)</f>
        <v>55.834206915585128</v>
      </c>
      <c r="AI36" s="91">
        <v>32</v>
      </c>
      <c r="AJ36" s="92">
        <f t="shared" ref="AJ36:AJ67" ca="1" si="13">IF(study_perspective=1,0,AD36)</f>
        <v>28.930842769151404</v>
      </c>
    </row>
    <row r="37" spans="1:36">
      <c r="A37">
        <v>8</v>
      </c>
      <c r="B37" s="152" t="str">
        <f t="shared" si="7"/>
        <v>Year 8</v>
      </c>
      <c r="C37" s="9"/>
      <c r="E37" s="10">
        <v>33</v>
      </c>
      <c r="F37" s="86">
        <v>6.2700000000000006E-2</v>
      </c>
      <c r="H37" s="15">
        <v>33</v>
      </c>
      <c r="I37" s="88">
        <v>0.01</v>
      </c>
      <c r="K37" s="15">
        <v>33</v>
      </c>
      <c r="L37" s="88">
        <f>Dashboard!$AC$13/100</f>
        <v>0.03</v>
      </c>
      <c r="N37" s="91">
        <v>33</v>
      </c>
      <c r="O37" s="92">
        <v>0.11</v>
      </c>
      <c r="Q37" s="91">
        <v>33</v>
      </c>
      <c r="R37" s="92">
        <v>0.625</v>
      </c>
      <c r="T37" s="91">
        <v>33</v>
      </c>
      <c r="U37" s="92">
        <v>0.375</v>
      </c>
      <c r="V37" s="96"/>
      <c r="W37" s="99">
        <v>33</v>
      </c>
      <c r="X37" s="92">
        <v>0.1</v>
      </c>
      <c r="Z37" s="91">
        <v>33</v>
      </c>
      <c r="AA37" s="128">
        <f t="shared" ca="1" si="6"/>
        <v>410.72455881667833</v>
      </c>
      <c r="AB37" s="126">
        <f t="shared" ca="1" si="8"/>
        <v>297.71999409208865</v>
      </c>
      <c r="AC37" s="126">
        <f t="shared" ca="1" si="9"/>
        <v>55.834206915585128</v>
      </c>
      <c r="AD37" s="126">
        <f t="shared" ca="1" si="10"/>
        <v>28.930842769151404</v>
      </c>
      <c r="AE37" s="91">
        <v>33</v>
      </c>
      <c r="AF37" s="92">
        <f t="shared" ca="1" si="11"/>
        <v>297.71999409208865</v>
      </c>
      <c r="AG37" s="91">
        <v>33</v>
      </c>
      <c r="AH37" s="92">
        <f t="shared" ca="1" si="12"/>
        <v>55.834206915585128</v>
      </c>
      <c r="AI37" s="91">
        <v>33</v>
      </c>
      <c r="AJ37" s="92">
        <f t="shared" ca="1" si="13"/>
        <v>28.930842769151404</v>
      </c>
    </row>
    <row r="38" spans="1:36">
      <c r="A38">
        <v>9</v>
      </c>
      <c r="B38" s="152" t="str">
        <f t="shared" si="7"/>
        <v>Year 9</v>
      </c>
      <c r="C38" s="9"/>
      <c r="E38" s="10">
        <v>34</v>
      </c>
      <c r="F38" s="86">
        <v>6.2700000000000006E-2</v>
      </c>
      <c r="H38" s="15">
        <v>34</v>
      </c>
      <c r="I38" s="88">
        <v>0.01</v>
      </c>
      <c r="K38" s="15">
        <v>34</v>
      </c>
      <c r="L38" s="88">
        <f>Dashboard!$AC$13/100</f>
        <v>0.03</v>
      </c>
      <c r="N38" s="91">
        <v>34</v>
      </c>
      <c r="O38" s="92">
        <v>0.11</v>
      </c>
      <c r="Q38" s="91">
        <v>34</v>
      </c>
      <c r="R38" s="92">
        <v>0.625</v>
      </c>
      <c r="T38" s="91">
        <v>34</v>
      </c>
      <c r="U38" s="92">
        <v>0.375</v>
      </c>
      <c r="V38" s="96"/>
      <c r="W38" s="99">
        <v>34</v>
      </c>
      <c r="X38" s="92">
        <v>0.1</v>
      </c>
      <c r="Z38" s="91">
        <v>34</v>
      </c>
      <c r="AA38" s="128">
        <f t="shared" ca="1" si="6"/>
        <v>410.72455881667833</v>
      </c>
      <c r="AB38" s="126">
        <f t="shared" ca="1" si="8"/>
        <v>297.71999409208865</v>
      </c>
      <c r="AC38" s="126">
        <f t="shared" ca="1" si="9"/>
        <v>55.834206915585128</v>
      </c>
      <c r="AD38" s="126">
        <f t="shared" ca="1" si="10"/>
        <v>28.930842769151404</v>
      </c>
      <c r="AE38" s="91">
        <v>34</v>
      </c>
      <c r="AF38" s="92">
        <f t="shared" ca="1" si="11"/>
        <v>297.71999409208865</v>
      </c>
      <c r="AG38" s="91">
        <v>34</v>
      </c>
      <c r="AH38" s="92">
        <f t="shared" ca="1" si="12"/>
        <v>55.834206915585128</v>
      </c>
      <c r="AI38" s="91">
        <v>34</v>
      </c>
      <c r="AJ38" s="92">
        <f t="shared" ca="1" si="13"/>
        <v>28.930842769151404</v>
      </c>
    </row>
    <row r="39" spans="1:36">
      <c r="A39">
        <v>10</v>
      </c>
      <c r="B39" s="152" t="str">
        <f t="shared" si="7"/>
        <v>Year 10</v>
      </c>
      <c r="C39" s="9"/>
      <c r="E39" s="10">
        <v>35</v>
      </c>
      <c r="F39" s="86">
        <v>6.4699999999999994E-2</v>
      </c>
      <c r="H39" s="15">
        <v>35</v>
      </c>
      <c r="I39" s="88">
        <v>0.01</v>
      </c>
      <c r="K39" s="15">
        <v>35</v>
      </c>
      <c r="L39" s="88">
        <f>Dashboard!$AC$13/100</f>
        <v>0.03</v>
      </c>
      <c r="N39" s="91">
        <v>35</v>
      </c>
      <c r="O39" s="92">
        <v>0.11</v>
      </c>
      <c r="Q39" s="91">
        <v>35</v>
      </c>
      <c r="R39" s="92">
        <v>0.625</v>
      </c>
      <c r="T39" s="91">
        <v>35</v>
      </c>
      <c r="U39" s="92">
        <v>0.375</v>
      </c>
      <c r="V39" s="96"/>
      <c r="W39" s="99">
        <v>35</v>
      </c>
      <c r="X39" s="92">
        <v>0.1</v>
      </c>
      <c r="Z39" s="91">
        <v>35</v>
      </c>
      <c r="AA39" s="128">
        <f t="shared" ca="1" si="6"/>
        <v>410.72455881667833</v>
      </c>
      <c r="AB39" s="126">
        <f t="shared" ca="1" si="8"/>
        <v>297.71999409208865</v>
      </c>
      <c r="AC39" s="126">
        <f t="shared" ca="1" si="9"/>
        <v>55.834206915585128</v>
      </c>
      <c r="AD39" s="126">
        <f t="shared" ca="1" si="10"/>
        <v>28.930842769151404</v>
      </c>
      <c r="AE39" s="91">
        <v>35</v>
      </c>
      <c r="AF39" s="92">
        <f t="shared" ca="1" si="11"/>
        <v>297.71999409208865</v>
      </c>
      <c r="AG39" s="91">
        <v>35</v>
      </c>
      <c r="AH39" s="92">
        <f t="shared" ca="1" si="12"/>
        <v>55.834206915585128</v>
      </c>
      <c r="AI39" s="91">
        <v>35</v>
      </c>
      <c r="AJ39" s="92">
        <f t="shared" ca="1" si="13"/>
        <v>28.930842769151404</v>
      </c>
    </row>
    <row r="40" spans="1:36">
      <c r="A40">
        <v>11</v>
      </c>
      <c r="B40" s="152" t="str">
        <f t="shared" si="7"/>
        <v>Year 11</v>
      </c>
      <c r="C40" s="9"/>
      <c r="E40" s="10">
        <v>36</v>
      </c>
      <c r="F40" s="86">
        <v>6.4699999999999994E-2</v>
      </c>
      <c r="H40" s="15">
        <v>36</v>
      </c>
      <c r="I40" s="88">
        <v>0.01</v>
      </c>
      <c r="K40" s="15">
        <v>36</v>
      </c>
      <c r="L40" s="88">
        <f>Dashboard!$AC$13/100</f>
        <v>0.03</v>
      </c>
      <c r="N40" s="91">
        <v>36</v>
      </c>
      <c r="O40" s="92">
        <v>0.11</v>
      </c>
      <c r="Q40" s="91">
        <v>36</v>
      </c>
      <c r="R40" s="92">
        <v>0.625</v>
      </c>
      <c r="T40" s="91">
        <v>36</v>
      </c>
      <c r="U40" s="92">
        <v>0.375</v>
      </c>
      <c r="V40" s="96"/>
      <c r="W40" s="99">
        <v>36</v>
      </c>
      <c r="X40" s="92">
        <v>0.1</v>
      </c>
      <c r="Z40" s="91">
        <v>36</v>
      </c>
      <c r="AA40" s="128">
        <f t="shared" ca="1" si="6"/>
        <v>410.72455881667833</v>
      </c>
      <c r="AB40" s="126">
        <f t="shared" ca="1" si="8"/>
        <v>297.71999409208865</v>
      </c>
      <c r="AC40" s="126">
        <f t="shared" ca="1" si="9"/>
        <v>55.834206915585128</v>
      </c>
      <c r="AD40" s="126">
        <f t="shared" ca="1" si="10"/>
        <v>28.930842769151404</v>
      </c>
      <c r="AE40" s="91">
        <v>36</v>
      </c>
      <c r="AF40" s="92">
        <f t="shared" ca="1" si="11"/>
        <v>297.71999409208865</v>
      </c>
      <c r="AG40" s="91">
        <v>36</v>
      </c>
      <c r="AH40" s="92">
        <f t="shared" ca="1" si="12"/>
        <v>55.834206915585128</v>
      </c>
      <c r="AI40" s="91">
        <v>36</v>
      </c>
      <c r="AJ40" s="92">
        <f t="shared" ca="1" si="13"/>
        <v>28.930842769151404</v>
      </c>
    </row>
    <row r="41" spans="1:36">
      <c r="A41">
        <v>12</v>
      </c>
      <c r="B41" s="152" t="str">
        <f t="shared" si="7"/>
        <v>Year 12</v>
      </c>
      <c r="C41" s="9"/>
      <c r="E41" s="10">
        <v>37</v>
      </c>
      <c r="F41" s="86">
        <v>6.4699999999999994E-2</v>
      </c>
      <c r="H41" s="15">
        <v>37</v>
      </c>
      <c r="I41" s="88">
        <v>0.01</v>
      </c>
      <c r="K41" s="15">
        <v>37</v>
      </c>
      <c r="L41" s="88">
        <f>Dashboard!$AC$13/100</f>
        <v>0.03</v>
      </c>
      <c r="N41" s="91">
        <v>37</v>
      </c>
      <c r="O41" s="92">
        <v>0.11</v>
      </c>
      <c r="Q41" s="91">
        <v>37</v>
      </c>
      <c r="R41" s="92">
        <v>0.625</v>
      </c>
      <c r="T41" s="91">
        <v>37</v>
      </c>
      <c r="U41" s="92">
        <v>0.375</v>
      </c>
      <c r="V41" s="96"/>
      <c r="W41" s="99">
        <v>37</v>
      </c>
      <c r="X41" s="92">
        <v>0.1</v>
      </c>
      <c r="Z41" s="91">
        <v>37</v>
      </c>
      <c r="AA41" s="128">
        <f t="shared" ca="1" si="6"/>
        <v>410.72455881667833</v>
      </c>
      <c r="AB41" s="126">
        <f t="shared" ca="1" si="8"/>
        <v>297.71999409208865</v>
      </c>
      <c r="AC41" s="126">
        <f t="shared" ca="1" si="9"/>
        <v>55.834206915585128</v>
      </c>
      <c r="AD41" s="126">
        <f t="shared" ca="1" si="10"/>
        <v>28.930842769151404</v>
      </c>
      <c r="AE41" s="91">
        <v>37</v>
      </c>
      <c r="AF41" s="92">
        <f t="shared" ca="1" si="11"/>
        <v>297.71999409208865</v>
      </c>
      <c r="AG41" s="91">
        <v>37</v>
      </c>
      <c r="AH41" s="92">
        <f t="shared" ca="1" si="12"/>
        <v>55.834206915585128</v>
      </c>
      <c r="AI41" s="91">
        <v>37</v>
      </c>
      <c r="AJ41" s="92">
        <f t="shared" ca="1" si="13"/>
        <v>28.930842769151404</v>
      </c>
    </row>
    <row r="42" spans="1:36">
      <c r="A42">
        <v>13</v>
      </c>
      <c r="B42" s="152" t="str">
        <f t="shared" si="7"/>
        <v>Year 13</v>
      </c>
      <c r="C42" s="9"/>
      <c r="E42" s="10">
        <v>38</v>
      </c>
      <c r="F42" s="86">
        <v>6.4699999999999994E-2</v>
      </c>
      <c r="H42" s="15">
        <v>38</v>
      </c>
      <c r="I42" s="88">
        <v>0.01</v>
      </c>
      <c r="K42" s="15">
        <v>38</v>
      </c>
      <c r="L42" s="88">
        <f>Dashboard!$AC$13/100</f>
        <v>0.03</v>
      </c>
      <c r="N42" s="91">
        <v>38</v>
      </c>
      <c r="O42" s="92">
        <v>0.11</v>
      </c>
      <c r="Q42" s="91">
        <v>38</v>
      </c>
      <c r="R42" s="92">
        <v>0.625</v>
      </c>
      <c r="T42" s="91">
        <v>38</v>
      </c>
      <c r="U42" s="92">
        <v>0.375</v>
      </c>
      <c r="V42" s="96"/>
      <c r="W42" s="99">
        <v>38</v>
      </c>
      <c r="X42" s="92">
        <v>0.1</v>
      </c>
      <c r="Z42" s="91">
        <v>38</v>
      </c>
      <c r="AA42" s="128">
        <f t="shared" ca="1" si="6"/>
        <v>410.72455881667833</v>
      </c>
      <c r="AB42" s="126">
        <f t="shared" ca="1" si="8"/>
        <v>297.71999409208865</v>
      </c>
      <c r="AC42" s="126">
        <f t="shared" ca="1" si="9"/>
        <v>55.834206915585128</v>
      </c>
      <c r="AD42" s="126">
        <f t="shared" ca="1" si="10"/>
        <v>28.930842769151404</v>
      </c>
      <c r="AE42" s="91">
        <v>38</v>
      </c>
      <c r="AF42" s="92">
        <f t="shared" ca="1" si="11"/>
        <v>297.71999409208865</v>
      </c>
      <c r="AG42" s="91">
        <v>38</v>
      </c>
      <c r="AH42" s="92">
        <f t="shared" ca="1" si="12"/>
        <v>55.834206915585128</v>
      </c>
      <c r="AI42" s="91">
        <v>38</v>
      </c>
      <c r="AJ42" s="92">
        <f t="shared" ca="1" si="13"/>
        <v>28.930842769151404</v>
      </c>
    </row>
    <row r="43" spans="1:36">
      <c r="A43">
        <v>14</v>
      </c>
      <c r="B43" s="152" t="str">
        <f t="shared" si="7"/>
        <v>Year 14</v>
      </c>
      <c r="C43" s="9"/>
      <c r="E43" s="10">
        <v>39</v>
      </c>
      <c r="F43" s="86">
        <v>6.4699999999999994E-2</v>
      </c>
      <c r="H43" s="15">
        <v>39</v>
      </c>
      <c r="I43" s="88">
        <v>0.01</v>
      </c>
      <c r="K43" s="15">
        <v>39</v>
      </c>
      <c r="L43" s="88">
        <f>Dashboard!$AC$13/100</f>
        <v>0.03</v>
      </c>
      <c r="N43" s="91">
        <v>39</v>
      </c>
      <c r="O43" s="92">
        <v>0.11</v>
      </c>
      <c r="Q43" s="91">
        <v>39</v>
      </c>
      <c r="R43" s="92">
        <v>0.625</v>
      </c>
      <c r="T43" s="91">
        <v>39</v>
      </c>
      <c r="U43" s="92">
        <v>0.375</v>
      </c>
      <c r="V43" s="96"/>
      <c r="W43" s="99">
        <v>39</v>
      </c>
      <c r="X43" s="92">
        <v>0.1</v>
      </c>
      <c r="Z43" s="91">
        <v>39</v>
      </c>
      <c r="AA43" s="128">
        <f t="shared" ca="1" si="6"/>
        <v>410.72455881667833</v>
      </c>
      <c r="AB43" s="126">
        <f t="shared" ca="1" si="8"/>
        <v>297.71999409208865</v>
      </c>
      <c r="AC43" s="126">
        <f t="shared" ca="1" si="9"/>
        <v>55.834206915585128</v>
      </c>
      <c r="AD43" s="126">
        <f t="shared" ca="1" si="10"/>
        <v>28.930842769151404</v>
      </c>
      <c r="AE43" s="91">
        <v>39</v>
      </c>
      <c r="AF43" s="92">
        <f t="shared" ca="1" si="11"/>
        <v>297.71999409208865</v>
      </c>
      <c r="AG43" s="91">
        <v>39</v>
      </c>
      <c r="AH43" s="92">
        <f t="shared" ca="1" si="12"/>
        <v>55.834206915585128</v>
      </c>
      <c r="AI43" s="91">
        <v>39</v>
      </c>
      <c r="AJ43" s="92">
        <f t="shared" ca="1" si="13"/>
        <v>28.930842769151404</v>
      </c>
    </row>
    <row r="44" spans="1:36">
      <c r="A44">
        <v>15</v>
      </c>
      <c r="B44" s="152" t="str">
        <f t="shared" si="7"/>
        <v>Year 15</v>
      </c>
      <c r="C44" s="9"/>
      <c r="E44" s="10">
        <v>40</v>
      </c>
      <c r="F44" s="86">
        <v>8.8999999999999996E-2</v>
      </c>
      <c r="H44" s="15">
        <v>40</v>
      </c>
      <c r="I44" s="88">
        <v>0.01</v>
      </c>
      <c r="K44" s="15">
        <v>40</v>
      </c>
      <c r="L44" s="88">
        <f>Dashboard!$AC$13/100</f>
        <v>0.03</v>
      </c>
      <c r="N44" s="91">
        <v>40</v>
      </c>
      <c r="O44" s="92">
        <v>0.24</v>
      </c>
      <c r="Q44" s="91">
        <v>40</v>
      </c>
      <c r="R44" s="92">
        <v>0.625</v>
      </c>
      <c r="T44" s="91">
        <v>40</v>
      </c>
      <c r="U44" s="92">
        <v>0.375</v>
      </c>
      <c r="V44" s="96"/>
      <c r="W44" s="99">
        <v>40</v>
      </c>
      <c r="X44" s="92">
        <v>0.1</v>
      </c>
      <c r="Z44" s="91">
        <v>40</v>
      </c>
      <c r="AA44" s="128">
        <f t="shared" ca="1" si="6"/>
        <v>410.72455881667833</v>
      </c>
      <c r="AB44" s="126">
        <f t="shared" ca="1" si="8"/>
        <v>297.71999409208865</v>
      </c>
      <c r="AC44" s="126">
        <f t="shared" ca="1" si="9"/>
        <v>55.834206915585128</v>
      </c>
      <c r="AD44" s="126">
        <f t="shared" ca="1" si="10"/>
        <v>28.930842769151404</v>
      </c>
      <c r="AE44" s="91">
        <v>40</v>
      </c>
      <c r="AF44" s="92">
        <f t="shared" ca="1" si="11"/>
        <v>297.71999409208865</v>
      </c>
      <c r="AG44" s="91">
        <v>40</v>
      </c>
      <c r="AH44" s="92">
        <f t="shared" ca="1" si="12"/>
        <v>55.834206915585128</v>
      </c>
      <c r="AI44" s="91">
        <v>40</v>
      </c>
      <c r="AJ44" s="92">
        <f t="shared" ca="1" si="13"/>
        <v>28.930842769151404</v>
      </c>
    </row>
    <row r="45" spans="1:36">
      <c r="A45">
        <v>16</v>
      </c>
      <c r="B45" s="152" t="str">
        <f t="shared" si="7"/>
        <v>Year 16</v>
      </c>
      <c r="C45" s="9"/>
      <c r="E45" s="10">
        <v>41</v>
      </c>
      <c r="F45" s="86">
        <v>8.8999999999999996E-2</v>
      </c>
      <c r="H45" s="15">
        <v>41</v>
      </c>
      <c r="I45" s="88">
        <v>0.01</v>
      </c>
      <c r="K45" s="15">
        <v>41</v>
      </c>
      <c r="L45" s="88">
        <f>Dashboard!$AC$13/100</f>
        <v>0.03</v>
      </c>
      <c r="N45" s="91">
        <v>41</v>
      </c>
      <c r="O45" s="92">
        <v>0.24</v>
      </c>
      <c r="Q45" s="91">
        <v>41</v>
      </c>
      <c r="R45" s="92">
        <v>0.625</v>
      </c>
      <c r="T45" s="91">
        <v>41</v>
      </c>
      <c r="U45" s="92">
        <v>0.375</v>
      </c>
      <c r="V45" s="96"/>
      <c r="W45" s="99">
        <v>41</v>
      </c>
      <c r="X45" s="92">
        <v>0.1</v>
      </c>
      <c r="Z45" s="91">
        <v>41</v>
      </c>
      <c r="AA45" s="128">
        <f t="shared" ca="1" si="6"/>
        <v>410.72455881667833</v>
      </c>
      <c r="AB45" s="126">
        <f t="shared" ca="1" si="8"/>
        <v>297.71999409208865</v>
      </c>
      <c r="AC45" s="126">
        <f t="shared" ca="1" si="9"/>
        <v>55.834206915585128</v>
      </c>
      <c r="AD45" s="126">
        <f t="shared" ca="1" si="10"/>
        <v>28.930842769151404</v>
      </c>
      <c r="AE45" s="91">
        <v>41</v>
      </c>
      <c r="AF45" s="92">
        <f t="shared" ca="1" si="11"/>
        <v>297.71999409208865</v>
      </c>
      <c r="AG45" s="91">
        <v>41</v>
      </c>
      <c r="AH45" s="92">
        <f t="shared" ca="1" si="12"/>
        <v>55.834206915585128</v>
      </c>
      <c r="AI45" s="91">
        <v>41</v>
      </c>
      <c r="AJ45" s="92">
        <f t="shared" ca="1" si="13"/>
        <v>28.930842769151404</v>
      </c>
    </row>
    <row r="46" spans="1:36">
      <c r="A46">
        <v>17</v>
      </c>
      <c r="B46" s="152" t="str">
        <f t="shared" si="7"/>
        <v>Year 17</v>
      </c>
      <c r="C46" s="9"/>
      <c r="E46" s="10">
        <v>42</v>
      </c>
      <c r="F46" s="86">
        <v>8.8999999999999996E-2</v>
      </c>
      <c r="H46" s="15">
        <v>42</v>
      </c>
      <c r="I46" s="88">
        <v>0.01</v>
      </c>
      <c r="K46" s="15">
        <v>42</v>
      </c>
      <c r="L46" s="88">
        <f>Dashboard!$AC$13/100</f>
        <v>0.03</v>
      </c>
      <c r="N46" s="91">
        <v>42</v>
      </c>
      <c r="O46" s="92">
        <v>0.24</v>
      </c>
      <c r="Q46" s="91">
        <v>42</v>
      </c>
      <c r="R46" s="92">
        <v>0.625</v>
      </c>
      <c r="T46" s="91">
        <v>42</v>
      </c>
      <c r="U46" s="92">
        <v>0.375</v>
      </c>
      <c r="V46" s="96"/>
      <c r="W46" s="99">
        <v>42</v>
      </c>
      <c r="X46" s="92">
        <v>0.1</v>
      </c>
      <c r="Z46" s="91">
        <v>42</v>
      </c>
      <c r="AA46" s="128">
        <f t="shared" ca="1" si="6"/>
        <v>410.72455881667833</v>
      </c>
      <c r="AB46" s="126">
        <f t="shared" ca="1" si="8"/>
        <v>297.71999409208865</v>
      </c>
      <c r="AC46" s="126">
        <f t="shared" ca="1" si="9"/>
        <v>55.834206915585128</v>
      </c>
      <c r="AD46" s="126">
        <f t="shared" ca="1" si="10"/>
        <v>28.930842769151404</v>
      </c>
      <c r="AE46" s="91">
        <v>42</v>
      </c>
      <c r="AF46" s="92">
        <f t="shared" ca="1" si="11"/>
        <v>297.71999409208865</v>
      </c>
      <c r="AG46" s="91">
        <v>42</v>
      </c>
      <c r="AH46" s="92">
        <f t="shared" ca="1" si="12"/>
        <v>55.834206915585128</v>
      </c>
      <c r="AI46" s="91">
        <v>42</v>
      </c>
      <c r="AJ46" s="92">
        <f t="shared" ca="1" si="13"/>
        <v>28.930842769151404</v>
      </c>
    </row>
    <row r="47" spans="1:36">
      <c r="A47">
        <v>18</v>
      </c>
      <c r="B47" s="152" t="str">
        <f t="shared" si="7"/>
        <v>Year 18</v>
      </c>
      <c r="C47" s="9"/>
      <c r="E47" s="10">
        <v>43</v>
      </c>
      <c r="F47" s="86">
        <v>8.8999999999999996E-2</v>
      </c>
      <c r="H47" s="15">
        <v>43</v>
      </c>
      <c r="I47" s="88">
        <v>0.01</v>
      </c>
      <c r="K47" s="15">
        <v>43</v>
      </c>
      <c r="L47" s="88">
        <f>Dashboard!$AC$13/100</f>
        <v>0.03</v>
      </c>
      <c r="N47" s="91">
        <v>43</v>
      </c>
      <c r="O47" s="92">
        <v>0.24</v>
      </c>
      <c r="Q47" s="91">
        <v>43</v>
      </c>
      <c r="R47" s="92">
        <v>0.625</v>
      </c>
      <c r="T47" s="91">
        <v>43</v>
      </c>
      <c r="U47" s="92">
        <v>0.375</v>
      </c>
      <c r="V47" s="96"/>
      <c r="W47" s="99">
        <v>43</v>
      </c>
      <c r="X47" s="92">
        <v>0.1</v>
      </c>
      <c r="Z47" s="91">
        <v>43</v>
      </c>
      <c r="AA47" s="128">
        <f t="shared" ca="1" si="6"/>
        <v>410.72455881667833</v>
      </c>
      <c r="AB47" s="126">
        <f t="shared" ca="1" si="8"/>
        <v>297.71999409208865</v>
      </c>
      <c r="AC47" s="126">
        <f t="shared" ca="1" si="9"/>
        <v>55.834206915585128</v>
      </c>
      <c r="AD47" s="126">
        <f t="shared" ca="1" si="10"/>
        <v>28.930842769151404</v>
      </c>
      <c r="AE47" s="91">
        <v>43</v>
      </c>
      <c r="AF47" s="92">
        <f t="shared" ca="1" si="11"/>
        <v>297.71999409208865</v>
      </c>
      <c r="AG47" s="91">
        <v>43</v>
      </c>
      <c r="AH47" s="92">
        <f t="shared" ca="1" si="12"/>
        <v>55.834206915585128</v>
      </c>
      <c r="AI47" s="91">
        <v>43</v>
      </c>
      <c r="AJ47" s="92">
        <f t="shared" ca="1" si="13"/>
        <v>28.930842769151404</v>
      </c>
    </row>
    <row r="48" spans="1:36">
      <c r="A48">
        <v>19</v>
      </c>
      <c r="B48" s="152" t="str">
        <f t="shared" si="7"/>
        <v>Year 19</v>
      </c>
      <c r="C48" s="9"/>
      <c r="E48" s="10">
        <v>44</v>
      </c>
      <c r="F48" s="86">
        <v>8.8999999999999996E-2</v>
      </c>
      <c r="H48" s="15">
        <v>44</v>
      </c>
      <c r="I48" s="88">
        <v>0.01</v>
      </c>
      <c r="K48" s="15">
        <v>44</v>
      </c>
      <c r="L48" s="88">
        <f>Dashboard!$AC$13/100</f>
        <v>0.03</v>
      </c>
      <c r="N48" s="91">
        <v>44</v>
      </c>
      <c r="O48" s="92">
        <v>0.24</v>
      </c>
      <c r="Q48" s="91">
        <v>44</v>
      </c>
      <c r="R48" s="92">
        <v>0.625</v>
      </c>
      <c r="T48" s="91">
        <v>44</v>
      </c>
      <c r="U48" s="92">
        <v>0.375</v>
      </c>
      <c r="V48" s="96"/>
      <c r="W48" s="99">
        <v>44</v>
      </c>
      <c r="X48" s="92">
        <v>0.1</v>
      </c>
      <c r="Z48" s="91">
        <v>44</v>
      </c>
      <c r="AA48" s="128">
        <f t="shared" ca="1" si="6"/>
        <v>410.72455881667833</v>
      </c>
      <c r="AB48" s="126">
        <f t="shared" ca="1" si="8"/>
        <v>297.71999409208865</v>
      </c>
      <c r="AC48" s="126">
        <f t="shared" ca="1" si="9"/>
        <v>55.834206915585128</v>
      </c>
      <c r="AD48" s="126">
        <f t="shared" ca="1" si="10"/>
        <v>28.930842769151404</v>
      </c>
      <c r="AE48" s="91">
        <v>44</v>
      </c>
      <c r="AF48" s="92">
        <f t="shared" ca="1" si="11"/>
        <v>297.71999409208865</v>
      </c>
      <c r="AG48" s="91">
        <v>44</v>
      </c>
      <c r="AH48" s="92">
        <f t="shared" ca="1" si="12"/>
        <v>55.834206915585128</v>
      </c>
      <c r="AI48" s="91">
        <v>44</v>
      </c>
      <c r="AJ48" s="92">
        <f t="shared" ca="1" si="13"/>
        <v>28.930842769151404</v>
      </c>
    </row>
    <row r="49" spans="1:36">
      <c r="A49">
        <v>20</v>
      </c>
      <c r="B49" s="152" t="str">
        <f t="shared" si="7"/>
        <v>Year 20</v>
      </c>
      <c r="C49" s="9"/>
      <c r="E49" s="10">
        <v>45</v>
      </c>
      <c r="F49" s="86">
        <v>8.9499999999999996E-2</v>
      </c>
      <c r="H49" s="15">
        <v>45</v>
      </c>
      <c r="I49" s="88">
        <v>0.01</v>
      </c>
      <c r="K49" s="15">
        <v>45</v>
      </c>
      <c r="L49" s="88">
        <f>Dashboard!$AC$13/100</f>
        <v>0.03</v>
      </c>
      <c r="N49" s="91">
        <v>45</v>
      </c>
      <c r="O49" s="92">
        <v>0.24</v>
      </c>
      <c r="Q49" s="91">
        <v>45</v>
      </c>
      <c r="R49" s="92">
        <v>0.625</v>
      </c>
      <c r="T49" s="91">
        <v>45</v>
      </c>
      <c r="U49" s="92">
        <v>0.375</v>
      </c>
      <c r="V49" s="96"/>
      <c r="W49" s="99">
        <v>45</v>
      </c>
      <c r="X49" s="92">
        <v>0.1</v>
      </c>
      <c r="Z49" s="91">
        <v>45</v>
      </c>
      <c r="AA49" s="128">
        <f t="shared" ca="1" si="6"/>
        <v>410.72455881667833</v>
      </c>
      <c r="AB49" s="126">
        <f t="shared" ca="1" si="8"/>
        <v>297.71999409208865</v>
      </c>
      <c r="AC49" s="126">
        <f t="shared" ca="1" si="9"/>
        <v>55.834206915585128</v>
      </c>
      <c r="AD49" s="126">
        <f t="shared" ca="1" si="10"/>
        <v>28.930842769151404</v>
      </c>
      <c r="AE49" s="91">
        <v>45</v>
      </c>
      <c r="AF49" s="92">
        <f t="shared" ca="1" si="11"/>
        <v>297.71999409208865</v>
      </c>
      <c r="AG49" s="91">
        <v>45</v>
      </c>
      <c r="AH49" s="92">
        <f t="shared" ca="1" si="12"/>
        <v>55.834206915585128</v>
      </c>
      <c r="AI49" s="91">
        <v>45</v>
      </c>
      <c r="AJ49" s="92">
        <f t="shared" ca="1" si="13"/>
        <v>28.930842769151404</v>
      </c>
    </row>
    <row r="50" spans="1:36">
      <c r="A50">
        <v>21</v>
      </c>
      <c r="B50" s="152" t="str">
        <f t="shared" si="7"/>
        <v>Year 21</v>
      </c>
      <c r="C50" s="9"/>
      <c r="E50" s="10">
        <v>46</v>
      </c>
      <c r="F50" s="86">
        <v>8.9499999999999996E-2</v>
      </c>
      <c r="H50" s="15">
        <v>46</v>
      </c>
      <c r="I50" s="88">
        <v>0.01</v>
      </c>
      <c r="K50" s="15">
        <v>46</v>
      </c>
      <c r="L50" s="88">
        <f>Dashboard!$AC$13/100</f>
        <v>0.03</v>
      </c>
      <c r="N50" s="91">
        <v>46</v>
      </c>
      <c r="O50" s="92">
        <v>0.24</v>
      </c>
      <c r="Q50" s="91">
        <v>46</v>
      </c>
      <c r="R50" s="92">
        <v>0.625</v>
      </c>
      <c r="T50" s="91">
        <v>46</v>
      </c>
      <c r="U50" s="92">
        <v>0.375</v>
      </c>
      <c r="V50" s="96"/>
      <c r="W50" s="99">
        <v>46</v>
      </c>
      <c r="X50" s="92">
        <v>0.1</v>
      </c>
      <c r="Z50" s="91">
        <v>46</v>
      </c>
      <c r="AA50" s="128">
        <f t="shared" ca="1" si="6"/>
        <v>410.72455881667833</v>
      </c>
      <c r="AB50" s="126">
        <f t="shared" ca="1" si="8"/>
        <v>297.71999409208865</v>
      </c>
      <c r="AC50" s="126">
        <f t="shared" ca="1" si="9"/>
        <v>55.834206915585128</v>
      </c>
      <c r="AD50" s="126">
        <f t="shared" ca="1" si="10"/>
        <v>28.930842769151404</v>
      </c>
      <c r="AE50" s="91">
        <v>46</v>
      </c>
      <c r="AF50" s="92">
        <f t="shared" ca="1" si="11"/>
        <v>297.71999409208865</v>
      </c>
      <c r="AG50" s="91">
        <v>46</v>
      </c>
      <c r="AH50" s="92">
        <f t="shared" ca="1" si="12"/>
        <v>55.834206915585128</v>
      </c>
      <c r="AI50" s="91">
        <v>46</v>
      </c>
      <c r="AJ50" s="92">
        <f t="shared" ca="1" si="13"/>
        <v>28.930842769151404</v>
      </c>
    </row>
    <row r="51" spans="1:36">
      <c r="A51">
        <v>22</v>
      </c>
      <c r="B51" s="152" t="str">
        <f t="shared" si="7"/>
        <v>Year 22</v>
      </c>
      <c r="C51" s="9"/>
      <c r="E51" s="10">
        <v>47</v>
      </c>
      <c r="F51" s="86">
        <v>8.9499999999999996E-2</v>
      </c>
      <c r="H51" s="15">
        <v>47</v>
      </c>
      <c r="I51" s="88">
        <v>0.01</v>
      </c>
      <c r="K51" s="15">
        <v>47</v>
      </c>
      <c r="L51" s="88">
        <f>Dashboard!$AC$13/100</f>
        <v>0.03</v>
      </c>
      <c r="N51" s="91">
        <v>47</v>
      </c>
      <c r="O51" s="92">
        <v>0.24</v>
      </c>
      <c r="Q51" s="91">
        <v>47</v>
      </c>
      <c r="R51" s="92">
        <v>0.625</v>
      </c>
      <c r="T51" s="91">
        <v>47</v>
      </c>
      <c r="U51" s="92">
        <v>0.375</v>
      </c>
      <c r="V51" s="96"/>
      <c r="W51" s="99">
        <v>47</v>
      </c>
      <c r="X51" s="92">
        <v>0.1</v>
      </c>
      <c r="Z51" s="91">
        <v>47</v>
      </c>
      <c r="AA51" s="128">
        <f t="shared" ref="AA51:AA79" ca="1" si="14">min_annual_wage</f>
        <v>410.72455881667833</v>
      </c>
      <c r="AB51" s="126">
        <f t="shared" ca="1" si="8"/>
        <v>297.71999409208865</v>
      </c>
      <c r="AC51" s="126">
        <f t="shared" ca="1" si="9"/>
        <v>55.834206915585128</v>
      </c>
      <c r="AD51" s="126">
        <f t="shared" ca="1" si="10"/>
        <v>28.930842769151404</v>
      </c>
      <c r="AE51" s="91">
        <v>47</v>
      </c>
      <c r="AF51" s="92">
        <f t="shared" ca="1" si="11"/>
        <v>297.71999409208865</v>
      </c>
      <c r="AG51" s="91">
        <v>47</v>
      </c>
      <c r="AH51" s="92">
        <f t="shared" ca="1" si="12"/>
        <v>55.834206915585128</v>
      </c>
      <c r="AI51" s="91">
        <v>47</v>
      </c>
      <c r="AJ51" s="92">
        <f t="shared" ca="1" si="13"/>
        <v>28.930842769151404</v>
      </c>
    </row>
    <row r="52" spans="1:36">
      <c r="A52">
        <v>23</v>
      </c>
      <c r="B52" s="152" t="str">
        <f t="shared" si="7"/>
        <v>Year 23</v>
      </c>
      <c r="C52" s="9"/>
      <c r="E52" s="10">
        <v>48</v>
      </c>
      <c r="F52" s="86">
        <v>8.9499999999999996E-2</v>
      </c>
      <c r="H52" s="15">
        <v>48</v>
      </c>
      <c r="I52" s="88">
        <v>0.01</v>
      </c>
      <c r="K52" s="15">
        <v>48</v>
      </c>
      <c r="L52" s="88">
        <f>Dashboard!$AC$13/100</f>
        <v>0.03</v>
      </c>
      <c r="N52" s="91">
        <v>48</v>
      </c>
      <c r="O52" s="92">
        <v>0.24</v>
      </c>
      <c r="Q52" s="91">
        <v>48</v>
      </c>
      <c r="R52" s="92">
        <v>0.625</v>
      </c>
      <c r="T52" s="91">
        <v>48</v>
      </c>
      <c r="U52" s="92">
        <v>0.375</v>
      </c>
      <c r="V52" s="96"/>
      <c r="W52" s="99">
        <v>48</v>
      </c>
      <c r="X52" s="92">
        <v>0.1</v>
      </c>
      <c r="Z52" s="91">
        <v>48</v>
      </c>
      <c r="AA52" s="128">
        <f t="shared" ca="1" si="14"/>
        <v>410.72455881667833</v>
      </c>
      <c r="AB52" s="126">
        <f t="shared" ca="1" si="8"/>
        <v>297.71999409208865</v>
      </c>
      <c r="AC52" s="126">
        <f t="shared" ca="1" si="9"/>
        <v>55.834206915585128</v>
      </c>
      <c r="AD52" s="126">
        <f t="shared" ca="1" si="10"/>
        <v>28.930842769151404</v>
      </c>
      <c r="AE52" s="91">
        <v>48</v>
      </c>
      <c r="AF52" s="92">
        <f t="shared" ca="1" si="11"/>
        <v>297.71999409208865</v>
      </c>
      <c r="AG52" s="91">
        <v>48</v>
      </c>
      <c r="AH52" s="92">
        <f t="shared" ca="1" si="12"/>
        <v>55.834206915585128</v>
      </c>
      <c r="AI52" s="91">
        <v>48</v>
      </c>
      <c r="AJ52" s="92">
        <f t="shared" ca="1" si="13"/>
        <v>28.930842769151404</v>
      </c>
    </row>
    <row r="53" spans="1:36">
      <c r="A53">
        <v>24</v>
      </c>
      <c r="B53" s="152" t="str">
        <f t="shared" si="7"/>
        <v>Year 24</v>
      </c>
      <c r="C53" s="9"/>
      <c r="E53" s="10">
        <v>49</v>
      </c>
      <c r="F53" s="86">
        <v>8.9499999999999996E-2</v>
      </c>
      <c r="H53" s="15">
        <v>49</v>
      </c>
      <c r="I53" s="88">
        <v>0.01</v>
      </c>
      <c r="K53" s="15">
        <v>49</v>
      </c>
      <c r="L53" s="88">
        <f>Dashboard!$AC$13/100</f>
        <v>0.03</v>
      </c>
      <c r="N53" s="91">
        <v>49</v>
      </c>
      <c r="O53" s="92">
        <v>0.24</v>
      </c>
      <c r="Q53" s="91">
        <v>49</v>
      </c>
      <c r="R53" s="92">
        <v>0.625</v>
      </c>
      <c r="T53" s="91">
        <v>49</v>
      </c>
      <c r="U53" s="92">
        <v>0.375</v>
      </c>
      <c r="V53" s="96"/>
      <c r="W53" s="99">
        <v>49</v>
      </c>
      <c r="X53" s="92">
        <v>0.1</v>
      </c>
      <c r="Z53" s="91">
        <v>49</v>
      </c>
      <c r="AA53" s="128">
        <f t="shared" ca="1" si="14"/>
        <v>410.72455881667833</v>
      </c>
      <c r="AB53" s="126">
        <f t="shared" ca="1" si="8"/>
        <v>297.71999409208865</v>
      </c>
      <c r="AC53" s="126">
        <f t="shared" ca="1" si="9"/>
        <v>55.834206915585128</v>
      </c>
      <c r="AD53" s="126">
        <f t="shared" ca="1" si="10"/>
        <v>28.930842769151404</v>
      </c>
      <c r="AE53" s="91">
        <v>49</v>
      </c>
      <c r="AF53" s="92">
        <f t="shared" ca="1" si="11"/>
        <v>297.71999409208865</v>
      </c>
      <c r="AG53" s="91">
        <v>49</v>
      </c>
      <c r="AH53" s="92">
        <f t="shared" ca="1" si="12"/>
        <v>55.834206915585128</v>
      </c>
      <c r="AI53" s="91">
        <v>49</v>
      </c>
      <c r="AJ53" s="92">
        <f t="shared" ca="1" si="13"/>
        <v>28.930842769151404</v>
      </c>
    </row>
    <row r="54" spans="1:36">
      <c r="A54">
        <v>25</v>
      </c>
      <c r="B54" s="152" t="str">
        <f t="shared" si="7"/>
        <v>Year 25</v>
      </c>
      <c r="C54" s="9"/>
      <c r="E54" s="10">
        <v>50</v>
      </c>
      <c r="F54" s="86">
        <v>0.12529999999999999</v>
      </c>
      <c r="H54" s="15">
        <v>50</v>
      </c>
      <c r="I54" s="88">
        <v>0.01</v>
      </c>
      <c r="K54" s="15">
        <v>50</v>
      </c>
      <c r="L54" s="88">
        <f>Dashboard!$AC$13/100</f>
        <v>0.03</v>
      </c>
      <c r="N54" s="91">
        <v>50</v>
      </c>
      <c r="O54" s="92">
        <v>0.15</v>
      </c>
      <c r="Q54" s="91">
        <v>50</v>
      </c>
      <c r="R54" s="92">
        <v>0.625</v>
      </c>
      <c r="T54" s="91">
        <v>50</v>
      </c>
      <c r="U54" s="92">
        <v>0.375</v>
      </c>
      <c r="V54" s="96"/>
      <c r="W54" s="99">
        <v>50</v>
      </c>
      <c r="X54" s="92">
        <v>0.1</v>
      </c>
      <c r="Z54" s="91">
        <v>50</v>
      </c>
      <c r="AA54" s="128">
        <f t="shared" ca="1" si="14"/>
        <v>410.72455881667833</v>
      </c>
      <c r="AB54" s="126">
        <f t="shared" ca="1" si="8"/>
        <v>297.71999409208865</v>
      </c>
      <c r="AC54" s="126">
        <f t="shared" ca="1" si="9"/>
        <v>55.834206915585128</v>
      </c>
      <c r="AD54" s="126">
        <f t="shared" ca="1" si="10"/>
        <v>28.930842769151404</v>
      </c>
      <c r="AE54" s="91">
        <v>50</v>
      </c>
      <c r="AF54" s="92">
        <f t="shared" ca="1" si="11"/>
        <v>297.71999409208865</v>
      </c>
      <c r="AG54" s="91">
        <v>50</v>
      </c>
      <c r="AH54" s="92">
        <f t="shared" ca="1" si="12"/>
        <v>55.834206915585128</v>
      </c>
      <c r="AI54" s="91">
        <v>50</v>
      </c>
      <c r="AJ54" s="92">
        <f t="shared" ca="1" si="13"/>
        <v>28.930842769151404</v>
      </c>
    </row>
    <row r="55" spans="1:36">
      <c r="A55">
        <v>26</v>
      </c>
      <c r="B55" s="152" t="str">
        <f t="shared" si="7"/>
        <v>Year 26</v>
      </c>
      <c r="C55" s="9"/>
      <c r="E55" s="10">
        <v>51</v>
      </c>
      <c r="F55" s="86">
        <v>0.12529999999999999</v>
      </c>
      <c r="H55" s="15">
        <v>51</v>
      </c>
      <c r="I55" s="88">
        <v>0.01</v>
      </c>
      <c r="K55" s="15">
        <v>51</v>
      </c>
      <c r="L55" s="88">
        <f>Dashboard!$AC$13/100</f>
        <v>0.03</v>
      </c>
      <c r="N55" s="91">
        <v>51</v>
      </c>
      <c r="O55" s="92">
        <v>0.15</v>
      </c>
      <c r="Q55" s="91">
        <v>51</v>
      </c>
      <c r="R55" s="92">
        <v>0.625</v>
      </c>
      <c r="T55" s="91">
        <v>51</v>
      </c>
      <c r="U55" s="92">
        <v>0.375</v>
      </c>
      <c r="V55" s="96"/>
      <c r="W55" s="99">
        <v>51</v>
      </c>
      <c r="X55" s="92">
        <v>0.1</v>
      </c>
      <c r="Z55" s="91">
        <v>51</v>
      </c>
      <c r="AA55" s="128">
        <f t="shared" ca="1" si="14"/>
        <v>410.72455881667833</v>
      </c>
      <c r="AB55" s="126">
        <f t="shared" ca="1" si="8"/>
        <v>297.71999409208865</v>
      </c>
      <c r="AC55" s="126">
        <f t="shared" ca="1" si="9"/>
        <v>55.834206915585128</v>
      </c>
      <c r="AD55" s="126">
        <f t="shared" ca="1" si="10"/>
        <v>28.930842769151404</v>
      </c>
      <c r="AE55" s="91">
        <v>51</v>
      </c>
      <c r="AF55" s="92">
        <f t="shared" ca="1" si="11"/>
        <v>297.71999409208865</v>
      </c>
      <c r="AG55" s="91">
        <v>51</v>
      </c>
      <c r="AH55" s="92">
        <f t="shared" ca="1" si="12"/>
        <v>55.834206915585128</v>
      </c>
      <c r="AI55" s="91">
        <v>51</v>
      </c>
      <c r="AJ55" s="92">
        <f t="shared" ca="1" si="13"/>
        <v>28.930842769151404</v>
      </c>
    </row>
    <row r="56" spans="1:36">
      <c r="A56">
        <v>27</v>
      </c>
      <c r="B56" s="152" t="str">
        <f t="shared" si="7"/>
        <v>Year 27</v>
      </c>
      <c r="C56" s="9"/>
      <c r="E56" s="10">
        <v>52</v>
      </c>
      <c r="F56" s="86">
        <v>0.12529999999999999</v>
      </c>
      <c r="H56" s="15">
        <v>52</v>
      </c>
      <c r="I56" s="88">
        <v>0.01</v>
      </c>
      <c r="K56" s="15">
        <v>52</v>
      </c>
      <c r="L56" s="88">
        <f>Dashboard!$AC$13/100</f>
        <v>0.03</v>
      </c>
      <c r="N56" s="91">
        <v>52</v>
      </c>
      <c r="O56" s="92">
        <v>0.15</v>
      </c>
      <c r="Q56" s="91">
        <v>52</v>
      </c>
      <c r="R56" s="92">
        <v>0.625</v>
      </c>
      <c r="T56" s="91">
        <v>52</v>
      </c>
      <c r="U56" s="92">
        <v>0.375</v>
      </c>
      <c r="V56" s="96"/>
      <c r="W56" s="99">
        <v>52</v>
      </c>
      <c r="X56" s="92">
        <v>0.1</v>
      </c>
      <c r="Z56" s="91">
        <v>52</v>
      </c>
      <c r="AA56" s="128">
        <f t="shared" ca="1" si="14"/>
        <v>410.72455881667833</v>
      </c>
      <c r="AB56" s="126">
        <f t="shared" ca="1" si="8"/>
        <v>297.71999409208865</v>
      </c>
      <c r="AC56" s="126">
        <f t="shared" ca="1" si="9"/>
        <v>55.834206915585128</v>
      </c>
      <c r="AD56" s="126">
        <f t="shared" ca="1" si="10"/>
        <v>28.930842769151404</v>
      </c>
      <c r="AE56" s="91">
        <v>52</v>
      </c>
      <c r="AF56" s="92">
        <f t="shared" ca="1" si="11"/>
        <v>297.71999409208865</v>
      </c>
      <c r="AG56" s="91">
        <v>52</v>
      </c>
      <c r="AH56" s="92">
        <f t="shared" ca="1" si="12"/>
        <v>55.834206915585128</v>
      </c>
      <c r="AI56" s="91">
        <v>52</v>
      </c>
      <c r="AJ56" s="92">
        <f t="shared" ca="1" si="13"/>
        <v>28.930842769151404</v>
      </c>
    </row>
    <row r="57" spans="1:36">
      <c r="A57">
        <v>28</v>
      </c>
      <c r="B57" s="152" t="str">
        <f t="shared" si="7"/>
        <v>Year 28</v>
      </c>
      <c r="C57" s="9"/>
      <c r="E57" s="10">
        <v>53</v>
      </c>
      <c r="F57" s="86">
        <v>0.12529999999999999</v>
      </c>
      <c r="H57" s="15">
        <v>53</v>
      </c>
      <c r="I57" s="88">
        <v>0.01</v>
      </c>
      <c r="K57" s="15">
        <v>53</v>
      </c>
      <c r="L57" s="88">
        <f>Dashboard!$AC$13/100</f>
        <v>0.03</v>
      </c>
      <c r="N57" s="91">
        <v>53</v>
      </c>
      <c r="O57" s="92">
        <v>0.15</v>
      </c>
      <c r="Q57" s="91">
        <v>53</v>
      </c>
      <c r="R57" s="92">
        <v>0.625</v>
      </c>
      <c r="T57" s="91">
        <v>53</v>
      </c>
      <c r="U57" s="92">
        <v>0.375</v>
      </c>
      <c r="V57" s="96"/>
      <c r="W57" s="99">
        <v>53</v>
      </c>
      <c r="X57" s="92">
        <v>0.1</v>
      </c>
      <c r="Z57" s="91">
        <v>53</v>
      </c>
      <c r="AA57" s="128">
        <f t="shared" ca="1" si="14"/>
        <v>410.72455881667833</v>
      </c>
      <c r="AB57" s="126">
        <f t="shared" ca="1" si="8"/>
        <v>297.71999409208865</v>
      </c>
      <c r="AC57" s="126">
        <f t="shared" ca="1" si="9"/>
        <v>55.834206915585128</v>
      </c>
      <c r="AD57" s="126">
        <f t="shared" ca="1" si="10"/>
        <v>28.930842769151404</v>
      </c>
      <c r="AE57" s="91">
        <v>53</v>
      </c>
      <c r="AF57" s="92">
        <f t="shared" ca="1" si="11"/>
        <v>297.71999409208865</v>
      </c>
      <c r="AG57" s="91">
        <v>53</v>
      </c>
      <c r="AH57" s="92">
        <f t="shared" ca="1" si="12"/>
        <v>55.834206915585128</v>
      </c>
      <c r="AI57" s="91">
        <v>53</v>
      </c>
      <c r="AJ57" s="92">
        <f t="shared" ca="1" si="13"/>
        <v>28.930842769151404</v>
      </c>
    </row>
    <row r="58" spans="1:36">
      <c r="A58">
        <v>29</v>
      </c>
      <c r="B58" s="152" t="str">
        <f t="shared" si="7"/>
        <v>Year 29</v>
      </c>
      <c r="C58" s="9"/>
      <c r="E58" s="10">
        <v>54</v>
      </c>
      <c r="F58" s="86">
        <v>0.12529999999999999</v>
      </c>
      <c r="H58" s="15">
        <v>54</v>
      </c>
      <c r="I58" s="88">
        <v>0.01</v>
      </c>
      <c r="K58" s="15">
        <v>54</v>
      </c>
      <c r="L58" s="88">
        <f>Dashboard!$AC$13/100</f>
        <v>0.03</v>
      </c>
      <c r="N58" s="91">
        <v>54</v>
      </c>
      <c r="O58" s="92">
        <v>0.15</v>
      </c>
      <c r="Q58" s="91">
        <v>54</v>
      </c>
      <c r="R58" s="92">
        <v>0.625</v>
      </c>
      <c r="T58" s="91">
        <v>54</v>
      </c>
      <c r="U58" s="92">
        <v>0.375</v>
      </c>
      <c r="V58" s="96"/>
      <c r="W58" s="99">
        <v>54</v>
      </c>
      <c r="X58" s="92">
        <v>0.1</v>
      </c>
      <c r="Z58" s="91">
        <v>54</v>
      </c>
      <c r="AA58" s="128">
        <f t="shared" ca="1" si="14"/>
        <v>410.72455881667833</v>
      </c>
      <c r="AB58" s="126">
        <f t="shared" ca="1" si="8"/>
        <v>297.71999409208865</v>
      </c>
      <c r="AC58" s="126">
        <f t="shared" ca="1" si="9"/>
        <v>55.834206915585128</v>
      </c>
      <c r="AD58" s="126">
        <f t="shared" ca="1" si="10"/>
        <v>28.930842769151404</v>
      </c>
      <c r="AE58" s="91">
        <v>54</v>
      </c>
      <c r="AF58" s="92">
        <f t="shared" ca="1" si="11"/>
        <v>297.71999409208865</v>
      </c>
      <c r="AG58" s="91">
        <v>54</v>
      </c>
      <c r="AH58" s="92">
        <f t="shared" ca="1" si="12"/>
        <v>55.834206915585128</v>
      </c>
      <c r="AI58" s="91">
        <v>54</v>
      </c>
      <c r="AJ58" s="92">
        <f t="shared" ca="1" si="13"/>
        <v>28.930842769151404</v>
      </c>
    </row>
    <row r="59" spans="1:36">
      <c r="A59">
        <v>30</v>
      </c>
      <c r="B59" s="152" t="str">
        <f t="shared" si="7"/>
        <v>Year 30</v>
      </c>
      <c r="C59" s="9"/>
      <c r="E59" s="10">
        <v>55</v>
      </c>
      <c r="F59" s="86">
        <v>0.1148</v>
      </c>
      <c r="H59" s="15">
        <v>55</v>
      </c>
      <c r="I59" s="88">
        <v>0.01</v>
      </c>
      <c r="K59" s="15">
        <v>55</v>
      </c>
      <c r="L59" s="88">
        <f>Dashboard!$AC$13/100</f>
        <v>0.03</v>
      </c>
      <c r="N59" s="91">
        <v>55</v>
      </c>
      <c r="O59" s="92">
        <v>0.15</v>
      </c>
      <c r="Q59" s="91">
        <v>55</v>
      </c>
      <c r="R59" s="92">
        <v>0.625</v>
      </c>
      <c r="T59" s="91">
        <v>55</v>
      </c>
      <c r="U59" s="92">
        <v>0.375</v>
      </c>
      <c r="V59" s="96"/>
      <c r="W59" s="99">
        <v>55</v>
      </c>
      <c r="X59" s="92">
        <v>0.1</v>
      </c>
      <c r="Z59" s="91">
        <v>55</v>
      </c>
      <c r="AA59" s="128">
        <f t="shared" ca="1" si="14"/>
        <v>410.72455881667833</v>
      </c>
      <c r="AB59" s="126">
        <f t="shared" ca="1" si="8"/>
        <v>297.71999409208865</v>
      </c>
      <c r="AC59" s="126">
        <f t="shared" ca="1" si="9"/>
        <v>55.834206915585128</v>
      </c>
      <c r="AD59" s="126">
        <f t="shared" ca="1" si="10"/>
        <v>28.930842769151404</v>
      </c>
      <c r="AE59" s="91">
        <v>55</v>
      </c>
      <c r="AF59" s="92">
        <f t="shared" ca="1" si="11"/>
        <v>297.71999409208865</v>
      </c>
      <c r="AG59" s="91">
        <v>55</v>
      </c>
      <c r="AH59" s="92">
        <f t="shared" ca="1" si="12"/>
        <v>55.834206915585128</v>
      </c>
      <c r="AI59" s="91">
        <v>55</v>
      </c>
      <c r="AJ59" s="92">
        <f t="shared" ca="1" si="13"/>
        <v>28.930842769151404</v>
      </c>
    </row>
    <row r="60" spans="1:36">
      <c r="A60">
        <v>31</v>
      </c>
      <c r="B60" s="152" t="str">
        <f t="shared" si="7"/>
        <v>Year 31</v>
      </c>
      <c r="C60" s="9"/>
      <c r="E60" s="10">
        <v>56</v>
      </c>
      <c r="F60" s="86">
        <v>0.1148</v>
      </c>
      <c r="H60" s="15">
        <v>56</v>
      </c>
      <c r="I60" s="88">
        <v>0.01</v>
      </c>
      <c r="K60" s="15">
        <v>56</v>
      </c>
      <c r="L60" s="88">
        <f>Dashboard!$AC$13/100</f>
        <v>0.03</v>
      </c>
      <c r="N60" s="91">
        <v>56</v>
      </c>
      <c r="O60" s="92">
        <v>0.15</v>
      </c>
      <c r="Q60" s="91">
        <v>56</v>
      </c>
      <c r="R60" s="92">
        <v>0.625</v>
      </c>
      <c r="T60" s="91">
        <v>56</v>
      </c>
      <c r="U60" s="92">
        <v>0.375</v>
      </c>
      <c r="V60" s="96"/>
      <c r="W60" s="99">
        <v>56</v>
      </c>
      <c r="X60" s="92">
        <v>0.1</v>
      </c>
      <c r="Z60" s="91">
        <v>56</v>
      </c>
      <c r="AA60" s="128">
        <f t="shared" ca="1" si="14"/>
        <v>410.72455881667833</v>
      </c>
      <c r="AB60" s="126">
        <f t="shared" ca="1" si="8"/>
        <v>297.71999409208865</v>
      </c>
      <c r="AC60" s="126">
        <f t="shared" ca="1" si="9"/>
        <v>55.834206915585128</v>
      </c>
      <c r="AD60" s="126">
        <f t="shared" ca="1" si="10"/>
        <v>28.930842769151404</v>
      </c>
      <c r="AE60" s="91">
        <v>56</v>
      </c>
      <c r="AF60" s="92">
        <f t="shared" ca="1" si="11"/>
        <v>297.71999409208865</v>
      </c>
      <c r="AG60" s="91">
        <v>56</v>
      </c>
      <c r="AH60" s="92">
        <f t="shared" ca="1" si="12"/>
        <v>55.834206915585128</v>
      </c>
      <c r="AI60" s="91">
        <v>56</v>
      </c>
      <c r="AJ60" s="92">
        <f t="shared" ca="1" si="13"/>
        <v>28.930842769151404</v>
      </c>
    </row>
    <row r="61" spans="1:36">
      <c r="A61">
        <v>32</v>
      </c>
      <c r="B61" s="152" t="str">
        <f t="shared" si="7"/>
        <v>Year 32</v>
      </c>
      <c r="C61" s="9"/>
      <c r="E61" s="10">
        <v>57</v>
      </c>
      <c r="F61" s="86">
        <v>0.1148</v>
      </c>
      <c r="H61" s="15">
        <v>57</v>
      </c>
      <c r="I61" s="88">
        <v>0.01</v>
      </c>
      <c r="K61" s="15">
        <v>57</v>
      </c>
      <c r="L61" s="88">
        <f>Dashboard!$AC$13/100</f>
        <v>0.03</v>
      </c>
      <c r="N61" s="91">
        <v>57</v>
      </c>
      <c r="O61" s="92">
        <v>0.15</v>
      </c>
      <c r="Q61" s="91">
        <v>57</v>
      </c>
      <c r="R61" s="92">
        <v>0.625</v>
      </c>
      <c r="T61" s="91">
        <v>57</v>
      </c>
      <c r="U61" s="92">
        <v>0.375</v>
      </c>
      <c r="V61" s="96"/>
      <c r="W61" s="99">
        <v>57</v>
      </c>
      <c r="X61" s="92">
        <v>0.1</v>
      </c>
      <c r="Z61" s="91">
        <v>57</v>
      </c>
      <c r="AA61" s="128">
        <f t="shared" ca="1" si="14"/>
        <v>410.72455881667833</v>
      </c>
      <c r="AB61" s="126">
        <f t="shared" ca="1" si="8"/>
        <v>297.71999409208865</v>
      </c>
      <c r="AC61" s="126">
        <f t="shared" ca="1" si="9"/>
        <v>55.834206915585128</v>
      </c>
      <c r="AD61" s="126">
        <f t="shared" ca="1" si="10"/>
        <v>28.930842769151404</v>
      </c>
      <c r="AE61" s="91">
        <v>57</v>
      </c>
      <c r="AF61" s="92">
        <f t="shared" ca="1" si="11"/>
        <v>297.71999409208865</v>
      </c>
      <c r="AG61" s="91">
        <v>57</v>
      </c>
      <c r="AH61" s="92">
        <f t="shared" ca="1" si="12"/>
        <v>55.834206915585128</v>
      </c>
      <c r="AI61" s="91">
        <v>57</v>
      </c>
      <c r="AJ61" s="92">
        <f t="shared" ca="1" si="13"/>
        <v>28.930842769151404</v>
      </c>
    </row>
    <row r="62" spans="1:36">
      <c r="A62">
        <v>33</v>
      </c>
      <c r="B62" s="152" t="str">
        <f t="shared" si="7"/>
        <v>Year 33</v>
      </c>
      <c r="C62" s="9"/>
      <c r="E62" s="10">
        <v>58</v>
      </c>
      <c r="F62" s="86">
        <v>0.1148</v>
      </c>
      <c r="H62" s="15">
        <v>58</v>
      </c>
      <c r="I62" s="88">
        <v>0.01</v>
      </c>
      <c r="K62" s="15">
        <v>58</v>
      </c>
      <c r="L62" s="88">
        <f>Dashboard!$AC$13/100</f>
        <v>0.03</v>
      </c>
      <c r="N62" s="91">
        <v>58</v>
      </c>
      <c r="O62" s="92">
        <v>0.15</v>
      </c>
      <c r="Q62" s="91">
        <v>58</v>
      </c>
      <c r="R62" s="92">
        <v>0.625</v>
      </c>
      <c r="T62" s="91">
        <v>58</v>
      </c>
      <c r="U62" s="92">
        <v>0.375</v>
      </c>
      <c r="V62" s="96"/>
      <c r="W62" s="99">
        <v>58</v>
      </c>
      <c r="X62" s="92">
        <v>0.1</v>
      </c>
      <c r="Z62" s="91">
        <v>58</v>
      </c>
      <c r="AA62" s="128">
        <f t="shared" ca="1" si="14"/>
        <v>410.72455881667833</v>
      </c>
      <c r="AB62" s="126">
        <f t="shared" ca="1" si="8"/>
        <v>297.71999409208865</v>
      </c>
      <c r="AC62" s="126">
        <f t="shared" ca="1" si="9"/>
        <v>55.834206915585128</v>
      </c>
      <c r="AD62" s="126">
        <f t="shared" ca="1" si="10"/>
        <v>28.930842769151404</v>
      </c>
      <c r="AE62" s="91">
        <v>58</v>
      </c>
      <c r="AF62" s="92">
        <f t="shared" ca="1" si="11"/>
        <v>297.71999409208865</v>
      </c>
      <c r="AG62" s="91">
        <v>58</v>
      </c>
      <c r="AH62" s="92">
        <f t="shared" ca="1" si="12"/>
        <v>55.834206915585128</v>
      </c>
      <c r="AI62" s="91">
        <v>58</v>
      </c>
      <c r="AJ62" s="92">
        <f t="shared" ca="1" si="13"/>
        <v>28.930842769151404</v>
      </c>
    </row>
    <row r="63" spans="1:36">
      <c r="A63">
        <v>34</v>
      </c>
      <c r="B63" s="152" t="str">
        <f t="shared" si="7"/>
        <v>Year 34</v>
      </c>
      <c r="C63" s="9"/>
      <c r="E63" s="10">
        <v>59</v>
      </c>
      <c r="F63" s="86">
        <v>0.1148</v>
      </c>
      <c r="H63" s="15">
        <v>59</v>
      </c>
      <c r="I63" s="88">
        <v>0.01</v>
      </c>
      <c r="K63" s="15">
        <v>59</v>
      </c>
      <c r="L63" s="88">
        <f>Dashboard!$AC$13/100</f>
        <v>0.03</v>
      </c>
      <c r="N63" s="91">
        <v>59</v>
      </c>
      <c r="O63" s="92">
        <v>0.15</v>
      </c>
      <c r="Q63" s="91">
        <v>59</v>
      </c>
      <c r="R63" s="92">
        <v>0.625</v>
      </c>
      <c r="T63" s="91">
        <v>59</v>
      </c>
      <c r="U63" s="92">
        <v>0.375</v>
      </c>
      <c r="V63" s="96"/>
      <c r="W63" s="99">
        <v>59</v>
      </c>
      <c r="X63" s="92">
        <v>0.1</v>
      </c>
      <c r="Z63" s="91">
        <v>59</v>
      </c>
      <c r="AA63" s="128">
        <f t="shared" ca="1" si="14"/>
        <v>410.72455881667833</v>
      </c>
      <c r="AB63" s="126">
        <f t="shared" ca="1" si="8"/>
        <v>297.71999409208865</v>
      </c>
      <c r="AC63" s="126">
        <f t="shared" ca="1" si="9"/>
        <v>55.834206915585128</v>
      </c>
      <c r="AD63" s="126">
        <f t="shared" ca="1" si="10"/>
        <v>28.930842769151404</v>
      </c>
      <c r="AE63" s="91">
        <v>59</v>
      </c>
      <c r="AF63" s="92">
        <f t="shared" ca="1" si="11"/>
        <v>297.71999409208865</v>
      </c>
      <c r="AG63" s="91">
        <v>59</v>
      </c>
      <c r="AH63" s="92">
        <f t="shared" ca="1" si="12"/>
        <v>55.834206915585128</v>
      </c>
      <c r="AI63" s="91">
        <v>59</v>
      </c>
      <c r="AJ63" s="92">
        <f t="shared" ca="1" si="13"/>
        <v>28.930842769151404</v>
      </c>
    </row>
    <row r="64" spans="1:36">
      <c r="A64">
        <v>35</v>
      </c>
      <c r="B64" s="152" t="str">
        <f t="shared" si="7"/>
        <v>Year 35</v>
      </c>
      <c r="C64" s="9"/>
      <c r="E64" s="10">
        <v>60</v>
      </c>
      <c r="F64" s="86">
        <v>0.19070000000000001</v>
      </c>
      <c r="H64" s="15">
        <v>60</v>
      </c>
      <c r="I64" s="88">
        <v>0.01</v>
      </c>
      <c r="K64" s="15">
        <v>60</v>
      </c>
      <c r="L64" s="88">
        <f>Dashboard!$AC$13/100</f>
        <v>0.03</v>
      </c>
      <c r="N64" s="91">
        <v>60</v>
      </c>
      <c r="O64" s="92">
        <v>0.26</v>
      </c>
      <c r="Q64" s="91">
        <v>60</v>
      </c>
      <c r="R64" s="92">
        <v>0.625</v>
      </c>
      <c r="T64" s="91">
        <v>60</v>
      </c>
      <c r="U64" s="92">
        <v>0.375</v>
      </c>
      <c r="V64" s="96"/>
      <c r="W64" s="99">
        <v>60</v>
      </c>
      <c r="X64" s="92">
        <v>0.1</v>
      </c>
      <c r="Z64" s="91">
        <v>60</v>
      </c>
      <c r="AA64" s="128">
        <f t="shared" ca="1" si="14"/>
        <v>410.72455881667833</v>
      </c>
      <c r="AB64" s="126">
        <f t="shared" ca="1" si="8"/>
        <v>297.71999409208865</v>
      </c>
      <c r="AC64" s="126">
        <f t="shared" ca="1" si="9"/>
        <v>55.834206915585128</v>
      </c>
      <c r="AD64" s="126">
        <f t="shared" ca="1" si="10"/>
        <v>28.930842769151404</v>
      </c>
      <c r="AE64" s="91">
        <v>60</v>
      </c>
      <c r="AF64" s="92">
        <f t="shared" ca="1" si="11"/>
        <v>297.71999409208865</v>
      </c>
      <c r="AG64" s="91">
        <v>60</v>
      </c>
      <c r="AH64" s="92">
        <f t="shared" ca="1" si="12"/>
        <v>55.834206915585128</v>
      </c>
      <c r="AI64" s="91">
        <v>60</v>
      </c>
      <c r="AJ64" s="92">
        <f t="shared" ca="1" si="13"/>
        <v>28.930842769151404</v>
      </c>
    </row>
    <row r="65" spans="1:36">
      <c r="A65">
        <v>36</v>
      </c>
      <c r="B65" s="152" t="str">
        <f t="shared" si="7"/>
        <v>Year 36</v>
      </c>
      <c r="C65" s="9"/>
      <c r="E65" s="10">
        <v>61</v>
      </c>
      <c r="F65" s="86">
        <v>0.19070000000000001</v>
      </c>
      <c r="H65" s="15">
        <v>61</v>
      </c>
      <c r="I65" s="88">
        <v>0.01</v>
      </c>
      <c r="K65" s="15">
        <v>61</v>
      </c>
      <c r="L65" s="88">
        <f>Dashboard!$AC$13/100</f>
        <v>0.03</v>
      </c>
      <c r="N65" s="91">
        <v>61</v>
      </c>
      <c r="O65" s="92">
        <v>0.26</v>
      </c>
      <c r="Q65" s="91">
        <v>61</v>
      </c>
      <c r="R65" s="92">
        <v>0.625</v>
      </c>
      <c r="T65" s="91">
        <v>61</v>
      </c>
      <c r="U65" s="92">
        <v>0.375</v>
      </c>
      <c r="V65" s="96"/>
      <c r="W65" s="99">
        <v>61</v>
      </c>
      <c r="X65" s="92">
        <v>0.1</v>
      </c>
      <c r="Z65" s="91">
        <v>61</v>
      </c>
      <c r="AA65" s="128">
        <f t="shared" ca="1" si="14"/>
        <v>410.72455881667833</v>
      </c>
      <c r="AB65" s="126">
        <f t="shared" ca="1" si="8"/>
        <v>297.71999409208865</v>
      </c>
      <c r="AC65" s="126">
        <f t="shared" ca="1" si="9"/>
        <v>55.834206915585128</v>
      </c>
      <c r="AD65" s="126">
        <f t="shared" ca="1" si="10"/>
        <v>28.930842769151404</v>
      </c>
      <c r="AE65" s="91">
        <v>61</v>
      </c>
      <c r="AF65" s="92">
        <f t="shared" ca="1" si="11"/>
        <v>297.71999409208865</v>
      </c>
      <c r="AG65" s="91">
        <v>61</v>
      </c>
      <c r="AH65" s="92">
        <f t="shared" ca="1" si="12"/>
        <v>55.834206915585128</v>
      </c>
      <c r="AI65" s="91">
        <v>61</v>
      </c>
      <c r="AJ65" s="92">
        <f t="shared" ca="1" si="13"/>
        <v>28.930842769151404</v>
      </c>
    </row>
    <row r="66" spans="1:36">
      <c r="A66">
        <v>37</v>
      </c>
      <c r="B66" s="152" t="str">
        <f t="shared" si="7"/>
        <v>Year 37</v>
      </c>
      <c r="C66" s="9"/>
      <c r="E66" s="10">
        <v>62</v>
      </c>
      <c r="F66" s="86">
        <v>0.19070000000000001</v>
      </c>
      <c r="H66" s="15">
        <v>62</v>
      </c>
      <c r="I66" s="88">
        <v>0.01</v>
      </c>
      <c r="K66" s="15">
        <v>62</v>
      </c>
      <c r="L66" s="88">
        <f>Dashboard!$AC$13/100</f>
        <v>0.03</v>
      </c>
      <c r="N66" s="91">
        <v>62</v>
      </c>
      <c r="O66" s="92">
        <v>0.26</v>
      </c>
      <c r="Q66" s="91">
        <v>62</v>
      </c>
      <c r="R66" s="92">
        <v>0.625</v>
      </c>
      <c r="T66" s="91">
        <v>62</v>
      </c>
      <c r="U66" s="92">
        <v>0.375</v>
      </c>
      <c r="V66" s="96"/>
      <c r="W66" s="99">
        <v>62</v>
      </c>
      <c r="X66" s="92">
        <v>0.1</v>
      </c>
      <c r="Z66" s="91">
        <v>62</v>
      </c>
      <c r="AA66" s="128">
        <f t="shared" ca="1" si="14"/>
        <v>410.72455881667833</v>
      </c>
      <c r="AB66" s="126">
        <f t="shared" ca="1" si="8"/>
        <v>297.71999409208865</v>
      </c>
      <c r="AC66" s="126">
        <f t="shared" ca="1" si="9"/>
        <v>55.834206915585128</v>
      </c>
      <c r="AD66" s="126">
        <f t="shared" ca="1" si="10"/>
        <v>28.930842769151404</v>
      </c>
      <c r="AE66" s="91">
        <v>62</v>
      </c>
      <c r="AF66" s="92">
        <f t="shared" ca="1" si="11"/>
        <v>297.71999409208865</v>
      </c>
      <c r="AG66" s="91">
        <v>62</v>
      </c>
      <c r="AH66" s="92">
        <f t="shared" ca="1" si="12"/>
        <v>55.834206915585128</v>
      </c>
      <c r="AI66" s="91">
        <v>62</v>
      </c>
      <c r="AJ66" s="92">
        <f t="shared" ca="1" si="13"/>
        <v>28.930842769151404</v>
      </c>
    </row>
    <row r="67" spans="1:36">
      <c r="A67">
        <v>38</v>
      </c>
      <c r="B67" s="152" t="str">
        <f t="shared" si="7"/>
        <v>Year 38</v>
      </c>
      <c r="C67" s="9"/>
      <c r="E67" s="10">
        <v>63</v>
      </c>
      <c r="F67" s="86">
        <v>0.19070000000000001</v>
      </c>
      <c r="H67" s="15">
        <v>63</v>
      </c>
      <c r="I67" s="88">
        <v>0.01</v>
      </c>
      <c r="K67" s="15">
        <v>63</v>
      </c>
      <c r="L67" s="88">
        <f>Dashboard!$AC$13/100</f>
        <v>0.03</v>
      </c>
      <c r="N67" s="91">
        <v>63</v>
      </c>
      <c r="O67" s="92">
        <v>0.26</v>
      </c>
      <c r="Q67" s="91">
        <v>63</v>
      </c>
      <c r="R67" s="92">
        <v>0.625</v>
      </c>
      <c r="T67" s="91">
        <v>63</v>
      </c>
      <c r="U67" s="92">
        <v>0.375</v>
      </c>
      <c r="V67" s="96"/>
      <c r="W67" s="99">
        <v>63</v>
      </c>
      <c r="X67" s="92">
        <v>0.1</v>
      </c>
      <c r="Z67" s="91">
        <v>63</v>
      </c>
      <c r="AA67" s="128">
        <f t="shared" ca="1" si="14"/>
        <v>410.72455881667833</v>
      </c>
      <c r="AB67" s="126">
        <f t="shared" ca="1" si="8"/>
        <v>297.71999409208865</v>
      </c>
      <c r="AC67" s="126">
        <f t="shared" ca="1" si="9"/>
        <v>55.834206915585128</v>
      </c>
      <c r="AD67" s="126">
        <f t="shared" ca="1" si="10"/>
        <v>28.930842769151404</v>
      </c>
      <c r="AE67" s="91">
        <v>63</v>
      </c>
      <c r="AF67" s="92">
        <f t="shared" ca="1" si="11"/>
        <v>297.71999409208865</v>
      </c>
      <c r="AG67" s="91">
        <v>63</v>
      </c>
      <c r="AH67" s="92">
        <f t="shared" ca="1" si="12"/>
        <v>55.834206915585128</v>
      </c>
      <c r="AI67" s="91">
        <v>63</v>
      </c>
      <c r="AJ67" s="92">
        <f t="shared" ca="1" si="13"/>
        <v>28.930842769151404</v>
      </c>
    </row>
    <row r="68" spans="1:36">
      <c r="A68">
        <v>39</v>
      </c>
      <c r="B68" s="152" t="str">
        <f t="shared" si="7"/>
        <v>Year 39</v>
      </c>
      <c r="C68" s="9"/>
      <c r="E68" s="10">
        <v>64</v>
      </c>
      <c r="F68" s="86">
        <v>0.19070000000000001</v>
      </c>
      <c r="H68" s="15">
        <v>64</v>
      </c>
      <c r="I68" s="88">
        <v>0.01</v>
      </c>
      <c r="K68" s="15">
        <v>64</v>
      </c>
      <c r="L68" s="88">
        <f>Dashboard!$AC$13/100</f>
        <v>0.03</v>
      </c>
      <c r="N68" s="91">
        <v>64</v>
      </c>
      <c r="O68" s="92">
        <v>0.26</v>
      </c>
      <c r="Q68" s="91">
        <v>64</v>
      </c>
      <c r="R68" s="92">
        <v>0.625</v>
      </c>
      <c r="T68" s="91">
        <v>64</v>
      </c>
      <c r="U68" s="92">
        <v>0.375</v>
      </c>
      <c r="V68" s="96"/>
      <c r="W68" s="99">
        <v>64</v>
      </c>
      <c r="X68" s="92">
        <v>0.1</v>
      </c>
      <c r="Z68" s="91">
        <v>64</v>
      </c>
      <c r="AA68" s="128">
        <f t="shared" ca="1" si="14"/>
        <v>410.72455881667833</v>
      </c>
      <c r="AB68" s="126">
        <f t="shared" ref="AB68:AB94" ca="1" si="15">AA68*prod_loss_adl</f>
        <v>297.71999409208865</v>
      </c>
      <c r="AC68" s="126">
        <f t="shared" ref="AC68:AC94" ca="1" si="16">AA68*prod_loss_lymphedema</f>
        <v>55.834206915585128</v>
      </c>
      <c r="AD68" s="126">
        <f t="shared" ref="AD68:AD94" ca="1" si="17">AA68*prod_loss_hydrocele</f>
        <v>28.930842769151404</v>
      </c>
      <c r="AE68" s="91">
        <v>64</v>
      </c>
      <c r="AF68" s="92">
        <f t="shared" ref="AF68:AF94" ca="1" si="18">IF(study_perspective=1,0,AB68)</f>
        <v>297.71999409208865</v>
      </c>
      <c r="AG68" s="91">
        <v>64</v>
      </c>
      <c r="AH68" s="92">
        <f t="shared" ref="AH68:AH94" ca="1" si="19">IF(study_perspective=1,0,AC68)</f>
        <v>55.834206915585128</v>
      </c>
      <c r="AI68" s="91">
        <v>64</v>
      </c>
      <c r="AJ68" s="92">
        <f t="shared" ref="AJ68:AJ94" ca="1" si="20">IF(study_perspective=1,0,AD68)</f>
        <v>28.930842769151404</v>
      </c>
    </row>
    <row r="69" spans="1:36">
      <c r="A69">
        <v>40</v>
      </c>
      <c r="B69" s="152" t="str">
        <f t="shared" si="7"/>
        <v>Year 40</v>
      </c>
      <c r="C69" s="9"/>
      <c r="E69" s="10">
        <v>65</v>
      </c>
      <c r="F69" s="86">
        <v>0.17519999999999999</v>
      </c>
      <c r="H69" s="15">
        <v>65</v>
      </c>
      <c r="I69" s="88">
        <v>0.01</v>
      </c>
      <c r="K69" s="15">
        <v>65</v>
      </c>
      <c r="L69" s="88">
        <f>Dashboard!$AC$13/100</f>
        <v>0.03</v>
      </c>
      <c r="N69" s="91">
        <v>65</v>
      </c>
      <c r="O69" s="92">
        <v>0.26</v>
      </c>
      <c r="Q69" s="91">
        <v>65</v>
      </c>
      <c r="R69" s="92">
        <v>0.625</v>
      </c>
      <c r="T69" s="91">
        <v>65</v>
      </c>
      <c r="U69" s="92">
        <v>0.375</v>
      </c>
      <c r="V69" s="96"/>
      <c r="W69" s="99">
        <v>65</v>
      </c>
      <c r="X69" s="92">
        <v>0.1</v>
      </c>
      <c r="Z69" s="91">
        <v>65</v>
      </c>
      <c r="AA69" s="128">
        <f t="shared" ca="1" si="14"/>
        <v>410.72455881667833</v>
      </c>
      <c r="AB69" s="126">
        <f t="shared" ca="1" si="15"/>
        <v>297.71999409208865</v>
      </c>
      <c r="AC69" s="126">
        <f t="shared" ca="1" si="16"/>
        <v>55.834206915585128</v>
      </c>
      <c r="AD69" s="126">
        <f t="shared" ca="1" si="17"/>
        <v>28.930842769151404</v>
      </c>
      <c r="AE69" s="91">
        <v>65</v>
      </c>
      <c r="AF69" s="92">
        <f t="shared" ca="1" si="18"/>
        <v>297.71999409208865</v>
      </c>
      <c r="AG69" s="91">
        <v>65</v>
      </c>
      <c r="AH69" s="92">
        <f t="shared" ca="1" si="19"/>
        <v>55.834206915585128</v>
      </c>
      <c r="AI69" s="91">
        <v>65</v>
      </c>
      <c r="AJ69" s="92">
        <f t="shared" ca="1" si="20"/>
        <v>28.930842769151404</v>
      </c>
    </row>
    <row r="70" spans="1:36">
      <c r="A70">
        <v>41</v>
      </c>
      <c r="B70" s="152" t="str">
        <f t="shared" si="7"/>
        <v>Year 41</v>
      </c>
      <c r="C70" s="9"/>
      <c r="E70" s="10">
        <v>66</v>
      </c>
      <c r="F70" s="86">
        <v>0.17519999999999999</v>
      </c>
      <c r="H70" s="15">
        <v>66</v>
      </c>
      <c r="I70" s="88">
        <v>0.01</v>
      </c>
      <c r="K70" s="15">
        <v>66</v>
      </c>
      <c r="L70" s="88">
        <f>Dashboard!$AC$13/100</f>
        <v>0.03</v>
      </c>
      <c r="N70" s="91">
        <v>66</v>
      </c>
      <c r="O70" s="92">
        <v>0.26</v>
      </c>
      <c r="Q70" s="91">
        <v>66</v>
      </c>
      <c r="R70" s="92">
        <v>0.625</v>
      </c>
      <c r="T70" s="91">
        <v>66</v>
      </c>
      <c r="U70" s="92">
        <v>0.375</v>
      </c>
      <c r="V70" s="96"/>
      <c r="W70" s="99">
        <v>66</v>
      </c>
      <c r="X70" s="92">
        <v>0.1</v>
      </c>
      <c r="Z70" s="91">
        <v>66</v>
      </c>
      <c r="AA70" s="128">
        <f t="shared" ca="1" si="14"/>
        <v>410.72455881667833</v>
      </c>
      <c r="AB70" s="126">
        <f t="shared" ca="1" si="15"/>
        <v>297.71999409208865</v>
      </c>
      <c r="AC70" s="126">
        <f t="shared" ca="1" si="16"/>
        <v>55.834206915585128</v>
      </c>
      <c r="AD70" s="126">
        <f t="shared" ca="1" si="17"/>
        <v>28.930842769151404</v>
      </c>
      <c r="AE70" s="91">
        <v>66</v>
      </c>
      <c r="AF70" s="92">
        <f t="shared" ca="1" si="18"/>
        <v>297.71999409208865</v>
      </c>
      <c r="AG70" s="91">
        <v>66</v>
      </c>
      <c r="AH70" s="92">
        <f t="shared" ca="1" si="19"/>
        <v>55.834206915585128</v>
      </c>
      <c r="AI70" s="91">
        <v>66</v>
      </c>
      <c r="AJ70" s="92">
        <f t="shared" ca="1" si="20"/>
        <v>28.930842769151404</v>
      </c>
    </row>
    <row r="71" spans="1:36">
      <c r="A71">
        <v>42</v>
      </c>
      <c r="B71" s="152" t="str">
        <f t="shared" si="7"/>
        <v>Year 42</v>
      </c>
      <c r="C71" s="9"/>
      <c r="E71" s="10">
        <v>67</v>
      </c>
      <c r="F71" s="86">
        <v>0.17519999999999999</v>
      </c>
      <c r="H71" s="15">
        <v>67</v>
      </c>
      <c r="I71" s="88">
        <v>0.01</v>
      </c>
      <c r="K71" s="15">
        <v>67</v>
      </c>
      <c r="L71" s="88">
        <f>Dashboard!$AC$13/100</f>
        <v>0.03</v>
      </c>
      <c r="N71" s="91">
        <v>67</v>
      </c>
      <c r="O71" s="92">
        <v>0.26</v>
      </c>
      <c r="Q71" s="91">
        <v>67</v>
      </c>
      <c r="R71" s="92">
        <v>0.625</v>
      </c>
      <c r="T71" s="91">
        <v>67</v>
      </c>
      <c r="U71" s="92">
        <v>0.375</v>
      </c>
      <c r="V71" s="96"/>
      <c r="W71" s="99">
        <v>67</v>
      </c>
      <c r="X71" s="92">
        <v>0.1</v>
      </c>
      <c r="Z71" s="91">
        <v>67</v>
      </c>
      <c r="AA71" s="128">
        <f t="shared" ca="1" si="14"/>
        <v>410.72455881667833</v>
      </c>
      <c r="AB71" s="126">
        <f t="shared" ca="1" si="15"/>
        <v>297.71999409208865</v>
      </c>
      <c r="AC71" s="126">
        <f t="shared" ca="1" si="16"/>
        <v>55.834206915585128</v>
      </c>
      <c r="AD71" s="126">
        <f t="shared" ca="1" si="17"/>
        <v>28.930842769151404</v>
      </c>
      <c r="AE71" s="91">
        <v>67</v>
      </c>
      <c r="AF71" s="92">
        <f t="shared" ca="1" si="18"/>
        <v>297.71999409208865</v>
      </c>
      <c r="AG71" s="91">
        <v>67</v>
      </c>
      <c r="AH71" s="92">
        <f t="shared" ca="1" si="19"/>
        <v>55.834206915585128</v>
      </c>
      <c r="AI71" s="91">
        <v>67</v>
      </c>
      <c r="AJ71" s="92">
        <f t="shared" ca="1" si="20"/>
        <v>28.930842769151404</v>
      </c>
    </row>
    <row r="72" spans="1:36">
      <c r="A72">
        <v>43</v>
      </c>
      <c r="B72" s="152" t="str">
        <f t="shared" si="7"/>
        <v>Year 43</v>
      </c>
      <c r="C72" s="9"/>
      <c r="E72" s="10">
        <v>68</v>
      </c>
      <c r="F72" s="86">
        <v>0.17519999999999999</v>
      </c>
      <c r="H72" s="15">
        <v>68</v>
      </c>
      <c r="I72" s="88">
        <v>0.01</v>
      </c>
      <c r="K72" s="15">
        <v>68</v>
      </c>
      <c r="L72" s="88">
        <f>Dashboard!$AC$13/100</f>
        <v>0.03</v>
      </c>
      <c r="N72" s="91">
        <v>68</v>
      </c>
      <c r="O72" s="92">
        <v>0.26</v>
      </c>
      <c r="Q72" s="91">
        <v>68</v>
      </c>
      <c r="R72" s="92">
        <v>0.625</v>
      </c>
      <c r="T72" s="91">
        <v>68</v>
      </c>
      <c r="U72" s="92">
        <v>0.375</v>
      </c>
      <c r="V72" s="96"/>
      <c r="W72" s="99">
        <v>68</v>
      </c>
      <c r="X72" s="92">
        <v>0.1</v>
      </c>
      <c r="Z72" s="91">
        <v>68</v>
      </c>
      <c r="AA72" s="128">
        <f t="shared" ca="1" si="14"/>
        <v>410.72455881667833</v>
      </c>
      <c r="AB72" s="126">
        <f t="shared" ca="1" si="15"/>
        <v>297.71999409208865</v>
      </c>
      <c r="AC72" s="126">
        <f t="shared" ca="1" si="16"/>
        <v>55.834206915585128</v>
      </c>
      <c r="AD72" s="126">
        <f t="shared" ca="1" si="17"/>
        <v>28.930842769151404</v>
      </c>
      <c r="AE72" s="91">
        <v>68</v>
      </c>
      <c r="AF72" s="92">
        <f t="shared" ca="1" si="18"/>
        <v>297.71999409208865</v>
      </c>
      <c r="AG72" s="91">
        <v>68</v>
      </c>
      <c r="AH72" s="92">
        <f t="shared" ca="1" si="19"/>
        <v>55.834206915585128</v>
      </c>
      <c r="AI72" s="91">
        <v>68</v>
      </c>
      <c r="AJ72" s="92">
        <f t="shared" ca="1" si="20"/>
        <v>28.930842769151404</v>
      </c>
    </row>
    <row r="73" spans="1:36">
      <c r="A73">
        <v>44</v>
      </c>
      <c r="B73" s="152" t="str">
        <f t="shared" si="7"/>
        <v>Year 44</v>
      </c>
      <c r="C73" s="9"/>
      <c r="E73" s="10">
        <v>69</v>
      </c>
      <c r="F73" s="86">
        <v>0.17519999999999999</v>
      </c>
      <c r="H73" s="15">
        <v>69</v>
      </c>
      <c r="I73" s="88">
        <v>0.01</v>
      </c>
      <c r="K73" s="15">
        <v>69</v>
      </c>
      <c r="L73" s="88">
        <f>Dashboard!$AC$13/100</f>
        <v>0.03</v>
      </c>
      <c r="N73" s="91">
        <v>69</v>
      </c>
      <c r="O73" s="92">
        <v>0.26</v>
      </c>
      <c r="Q73" s="91">
        <v>69</v>
      </c>
      <c r="R73" s="92">
        <v>0.625</v>
      </c>
      <c r="T73" s="91">
        <v>69</v>
      </c>
      <c r="U73" s="92">
        <v>0.375</v>
      </c>
      <c r="V73" s="96"/>
      <c r="W73" s="99">
        <v>69</v>
      </c>
      <c r="X73" s="92">
        <v>0.1</v>
      </c>
      <c r="Z73" s="91">
        <v>69</v>
      </c>
      <c r="AA73" s="128">
        <f t="shared" ca="1" si="14"/>
        <v>410.72455881667833</v>
      </c>
      <c r="AB73" s="126">
        <f t="shared" ca="1" si="15"/>
        <v>297.71999409208865</v>
      </c>
      <c r="AC73" s="126">
        <f t="shared" ca="1" si="16"/>
        <v>55.834206915585128</v>
      </c>
      <c r="AD73" s="126">
        <f t="shared" ca="1" si="17"/>
        <v>28.930842769151404</v>
      </c>
      <c r="AE73" s="91">
        <v>69</v>
      </c>
      <c r="AF73" s="92">
        <f t="shared" ca="1" si="18"/>
        <v>297.71999409208865</v>
      </c>
      <c r="AG73" s="91">
        <v>69</v>
      </c>
      <c r="AH73" s="92">
        <f t="shared" ca="1" si="19"/>
        <v>55.834206915585128</v>
      </c>
      <c r="AI73" s="91">
        <v>69</v>
      </c>
      <c r="AJ73" s="92">
        <f t="shared" ca="1" si="20"/>
        <v>28.930842769151404</v>
      </c>
    </row>
    <row r="74" spans="1:36">
      <c r="A74">
        <v>45</v>
      </c>
      <c r="B74" s="152" t="str">
        <f t="shared" si="7"/>
        <v>Year 45</v>
      </c>
      <c r="C74" s="9"/>
      <c r="E74" s="10">
        <v>70</v>
      </c>
      <c r="F74" s="86">
        <v>0.28660000000000002</v>
      </c>
      <c r="H74" s="15">
        <v>70</v>
      </c>
      <c r="I74" s="88">
        <v>0.01</v>
      </c>
      <c r="K74" s="15">
        <v>70</v>
      </c>
      <c r="L74" s="88">
        <f>Dashboard!$AC$13/100</f>
        <v>0.03</v>
      </c>
      <c r="N74" s="91">
        <v>70</v>
      </c>
      <c r="O74" s="92">
        <v>0.26</v>
      </c>
      <c r="Q74" s="91">
        <v>70</v>
      </c>
      <c r="R74" s="92">
        <v>0.625</v>
      </c>
      <c r="T74" s="91">
        <v>70</v>
      </c>
      <c r="U74" s="92">
        <v>0.375</v>
      </c>
      <c r="V74" s="96"/>
      <c r="W74" s="99">
        <v>70</v>
      </c>
      <c r="X74" s="92">
        <v>0.1</v>
      </c>
      <c r="Z74" s="91">
        <v>70</v>
      </c>
      <c r="AA74" s="128">
        <f t="shared" ca="1" si="14"/>
        <v>410.72455881667833</v>
      </c>
      <c r="AB74" s="126">
        <f t="shared" ca="1" si="15"/>
        <v>297.71999409208865</v>
      </c>
      <c r="AC74" s="126">
        <f t="shared" ca="1" si="16"/>
        <v>55.834206915585128</v>
      </c>
      <c r="AD74" s="126">
        <f t="shared" ca="1" si="17"/>
        <v>28.930842769151404</v>
      </c>
      <c r="AE74" s="91">
        <v>70</v>
      </c>
      <c r="AF74" s="92">
        <f t="shared" ca="1" si="18"/>
        <v>297.71999409208865</v>
      </c>
      <c r="AG74" s="91">
        <v>70</v>
      </c>
      <c r="AH74" s="92">
        <f t="shared" ca="1" si="19"/>
        <v>55.834206915585128</v>
      </c>
      <c r="AI74" s="91">
        <v>70</v>
      </c>
      <c r="AJ74" s="92">
        <f t="shared" ca="1" si="20"/>
        <v>28.930842769151404</v>
      </c>
    </row>
    <row r="75" spans="1:36">
      <c r="A75">
        <v>46</v>
      </c>
      <c r="B75" s="152" t="str">
        <f t="shared" si="7"/>
        <v>Year 46</v>
      </c>
      <c r="C75" s="9"/>
      <c r="E75" s="10">
        <v>71</v>
      </c>
      <c r="F75" s="86">
        <v>0.28660000000000002</v>
      </c>
      <c r="H75" s="15">
        <v>71</v>
      </c>
      <c r="I75" s="88">
        <v>0.01</v>
      </c>
      <c r="K75" s="15">
        <v>71</v>
      </c>
      <c r="L75" s="88">
        <f>Dashboard!$AC$13/100</f>
        <v>0.03</v>
      </c>
      <c r="N75" s="91">
        <v>71</v>
      </c>
      <c r="O75" s="92">
        <v>0.26</v>
      </c>
      <c r="Q75" s="91">
        <v>71</v>
      </c>
      <c r="R75" s="92">
        <v>0.625</v>
      </c>
      <c r="T75" s="91">
        <v>71</v>
      </c>
      <c r="U75" s="92">
        <v>0.375</v>
      </c>
      <c r="V75" s="96"/>
      <c r="W75" s="99">
        <v>71</v>
      </c>
      <c r="X75" s="92">
        <v>0.1</v>
      </c>
      <c r="Z75" s="91">
        <v>71</v>
      </c>
      <c r="AA75" s="128">
        <f t="shared" ca="1" si="14"/>
        <v>410.72455881667833</v>
      </c>
      <c r="AB75" s="126">
        <f t="shared" ca="1" si="15"/>
        <v>297.71999409208865</v>
      </c>
      <c r="AC75" s="126">
        <f t="shared" ca="1" si="16"/>
        <v>55.834206915585128</v>
      </c>
      <c r="AD75" s="126">
        <f t="shared" ca="1" si="17"/>
        <v>28.930842769151404</v>
      </c>
      <c r="AE75" s="91">
        <v>71</v>
      </c>
      <c r="AF75" s="92">
        <f t="shared" ca="1" si="18"/>
        <v>297.71999409208865</v>
      </c>
      <c r="AG75" s="91">
        <v>71</v>
      </c>
      <c r="AH75" s="92">
        <f t="shared" ca="1" si="19"/>
        <v>55.834206915585128</v>
      </c>
      <c r="AI75" s="91">
        <v>71</v>
      </c>
      <c r="AJ75" s="92">
        <f t="shared" ca="1" si="20"/>
        <v>28.930842769151404</v>
      </c>
    </row>
    <row r="76" spans="1:36">
      <c r="A76">
        <v>47</v>
      </c>
      <c r="B76" s="152" t="str">
        <f t="shared" si="7"/>
        <v>Year 47</v>
      </c>
      <c r="C76" s="9"/>
      <c r="E76" s="10">
        <v>72</v>
      </c>
      <c r="F76" s="86">
        <v>0.28660000000000002</v>
      </c>
      <c r="H76" s="15">
        <v>72</v>
      </c>
      <c r="I76" s="88">
        <v>0.01</v>
      </c>
      <c r="K76" s="15">
        <v>72</v>
      </c>
      <c r="L76" s="88">
        <f>Dashboard!$AC$13/100</f>
        <v>0.03</v>
      </c>
      <c r="N76" s="91">
        <v>72</v>
      </c>
      <c r="O76" s="92">
        <v>0.26</v>
      </c>
      <c r="Q76" s="91">
        <v>72</v>
      </c>
      <c r="R76" s="92">
        <v>0.625</v>
      </c>
      <c r="T76" s="91">
        <v>72</v>
      </c>
      <c r="U76" s="92">
        <v>0.375</v>
      </c>
      <c r="V76" s="96"/>
      <c r="W76" s="99">
        <v>72</v>
      </c>
      <c r="X76" s="92">
        <v>0.1</v>
      </c>
      <c r="Z76" s="91">
        <v>72</v>
      </c>
      <c r="AA76" s="128">
        <f t="shared" ca="1" si="14"/>
        <v>410.72455881667833</v>
      </c>
      <c r="AB76" s="126">
        <f t="shared" ca="1" si="15"/>
        <v>297.71999409208865</v>
      </c>
      <c r="AC76" s="126">
        <f t="shared" ca="1" si="16"/>
        <v>55.834206915585128</v>
      </c>
      <c r="AD76" s="126">
        <f t="shared" ca="1" si="17"/>
        <v>28.930842769151404</v>
      </c>
      <c r="AE76" s="91">
        <v>72</v>
      </c>
      <c r="AF76" s="92">
        <f t="shared" ca="1" si="18"/>
        <v>297.71999409208865</v>
      </c>
      <c r="AG76" s="91">
        <v>72</v>
      </c>
      <c r="AH76" s="92">
        <f t="shared" ca="1" si="19"/>
        <v>55.834206915585128</v>
      </c>
      <c r="AI76" s="91">
        <v>72</v>
      </c>
      <c r="AJ76" s="92">
        <f t="shared" ca="1" si="20"/>
        <v>28.930842769151404</v>
      </c>
    </row>
    <row r="77" spans="1:36">
      <c r="A77">
        <v>48</v>
      </c>
      <c r="B77" s="152" t="str">
        <f t="shared" si="7"/>
        <v>Year 48</v>
      </c>
      <c r="C77" s="9"/>
      <c r="E77" s="10">
        <v>73</v>
      </c>
      <c r="F77" s="86">
        <v>0.28660000000000002</v>
      </c>
      <c r="H77" s="15">
        <v>73</v>
      </c>
      <c r="I77" s="88">
        <v>0.01</v>
      </c>
      <c r="K77" s="15">
        <v>73</v>
      </c>
      <c r="L77" s="88">
        <f>Dashboard!$AC$13/100</f>
        <v>0.03</v>
      </c>
      <c r="N77" s="91">
        <v>73</v>
      </c>
      <c r="O77" s="92">
        <v>0.26</v>
      </c>
      <c r="Q77" s="91">
        <v>73</v>
      </c>
      <c r="R77" s="92">
        <v>0.625</v>
      </c>
      <c r="T77" s="91">
        <v>73</v>
      </c>
      <c r="U77" s="92">
        <v>0.375</v>
      </c>
      <c r="V77" s="96"/>
      <c r="W77" s="99">
        <v>73</v>
      </c>
      <c r="X77" s="92">
        <v>0.1</v>
      </c>
      <c r="Z77" s="91">
        <v>73</v>
      </c>
      <c r="AA77" s="128">
        <f t="shared" ca="1" si="14"/>
        <v>410.72455881667833</v>
      </c>
      <c r="AB77" s="126">
        <f t="shared" ca="1" si="15"/>
        <v>297.71999409208865</v>
      </c>
      <c r="AC77" s="126">
        <f t="shared" ca="1" si="16"/>
        <v>55.834206915585128</v>
      </c>
      <c r="AD77" s="126">
        <f t="shared" ca="1" si="17"/>
        <v>28.930842769151404</v>
      </c>
      <c r="AE77" s="91">
        <v>73</v>
      </c>
      <c r="AF77" s="92">
        <f t="shared" ca="1" si="18"/>
        <v>297.71999409208865</v>
      </c>
      <c r="AG77" s="91">
        <v>73</v>
      </c>
      <c r="AH77" s="92">
        <f t="shared" ca="1" si="19"/>
        <v>55.834206915585128</v>
      </c>
      <c r="AI77" s="91">
        <v>73</v>
      </c>
      <c r="AJ77" s="92">
        <f t="shared" ca="1" si="20"/>
        <v>28.930842769151404</v>
      </c>
    </row>
    <row r="78" spans="1:36">
      <c r="A78">
        <v>49</v>
      </c>
      <c r="B78" s="152" t="str">
        <f t="shared" si="7"/>
        <v>Year 49</v>
      </c>
      <c r="C78" s="9"/>
      <c r="E78" s="10">
        <v>74</v>
      </c>
      <c r="F78" s="86">
        <v>0.28660000000000002</v>
      </c>
      <c r="H78" s="15">
        <v>74</v>
      </c>
      <c r="I78" s="88">
        <v>0.01</v>
      </c>
      <c r="K78" s="15">
        <v>74</v>
      </c>
      <c r="L78" s="88">
        <f>Dashboard!$AC$13/100</f>
        <v>0.03</v>
      </c>
      <c r="N78" s="91">
        <v>74</v>
      </c>
      <c r="O78" s="92">
        <v>0.26</v>
      </c>
      <c r="Q78" s="91">
        <v>74</v>
      </c>
      <c r="R78" s="92">
        <v>0.625</v>
      </c>
      <c r="T78" s="91">
        <v>74</v>
      </c>
      <c r="U78" s="92">
        <v>0.375</v>
      </c>
      <c r="V78" s="96"/>
      <c r="W78" s="99">
        <v>74</v>
      </c>
      <c r="X78" s="92">
        <v>0.1</v>
      </c>
      <c r="Z78" s="91">
        <v>74</v>
      </c>
      <c r="AA78" s="128">
        <f t="shared" ca="1" si="14"/>
        <v>410.72455881667833</v>
      </c>
      <c r="AB78" s="126">
        <f t="shared" ca="1" si="15"/>
        <v>297.71999409208865</v>
      </c>
      <c r="AC78" s="126">
        <f t="shared" ca="1" si="16"/>
        <v>55.834206915585128</v>
      </c>
      <c r="AD78" s="126">
        <f t="shared" ca="1" si="17"/>
        <v>28.930842769151404</v>
      </c>
      <c r="AE78" s="91">
        <v>74</v>
      </c>
      <c r="AF78" s="92">
        <f t="shared" ca="1" si="18"/>
        <v>297.71999409208865</v>
      </c>
      <c r="AG78" s="91">
        <v>74</v>
      </c>
      <c r="AH78" s="92">
        <f t="shared" ca="1" si="19"/>
        <v>55.834206915585128</v>
      </c>
      <c r="AI78" s="91">
        <v>74</v>
      </c>
      <c r="AJ78" s="92">
        <f t="shared" ca="1" si="20"/>
        <v>28.930842769151404</v>
      </c>
    </row>
    <row r="79" spans="1:36">
      <c r="A79">
        <v>50</v>
      </c>
      <c r="B79" s="152" t="str">
        <f t="shared" si="7"/>
        <v>Year 50</v>
      </c>
      <c r="C79" s="9"/>
      <c r="E79" s="10">
        <v>75</v>
      </c>
      <c r="F79" s="86">
        <v>0.2903</v>
      </c>
      <c r="H79" s="15">
        <v>75</v>
      </c>
      <c r="I79" s="88">
        <v>0.01</v>
      </c>
      <c r="K79" s="15">
        <v>75</v>
      </c>
      <c r="L79" s="88">
        <f>Dashboard!$AC$13/100</f>
        <v>0.03</v>
      </c>
      <c r="N79" s="91">
        <v>75</v>
      </c>
      <c r="O79" s="92">
        <v>0.26</v>
      </c>
      <c r="Q79" s="91">
        <v>75</v>
      </c>
      <c r="R79" s="92">
        <v>0.625</v>
      </c>
      <c r="T79" s="91">
        <v>75</v>
      </c>
      <c r="U79" s="92">
        <v>0.375</v>
      </c>
      <c r="V79" s="96"/>
      <c r="W79" s="99">
        <v>75</v>
      </c>
      <c r="X79" s="92">
        <v>0.1</v>
      </c>
      <c r="Z79" s="91">
        <v>75</v>
      </c>
      <c r="AA79" s="127">
        <f t="shared" ca="1" si="14"/>
        <v>410.72455881667833</v>
      </c>
      <c r="AB79" s="126">
        <f t="shared" ca="1" si="15"/>
        <v>297.71999409208865</v>
      </c>
      <c r="AC79" s="126">
        <f t="shared" ca="1" si="16"/>
        <v>55.834206915585128</v>
      </c>
      <c r="AD79" s="126">
        <f t="shared" ca="1" si="17"/>
        <v>28.930842769151404</v>
      </c>
      <c r="AE79" s="91">
        <v>75</v>
      </c>
      <c r="AF79" s="92">
        <f t="shared" ca="1" si="18"/>
        <v>297.71999409208865</v>
      </c>
      <c r="AG79" s="91">
        <v>75</v>
      </c>
      <c r="AH79" s="92">
        <f t="shared" ca="1" si="19"/>
        <v>55.834206915585128</v>
      </c>
      <c r="AI79" s="91">
        <v>75</v>
      </c>
      <c r="AJ79" s="92">
        <f t="shared" ca="1" si="20"/>
        <v>28.930842769151404</v>
      </c>
    </row>
    <row r="80" spans="1:36">
      <c r="A80">
        <v>51</v>
      </c>
      <c r="B80" s="152" t="str">
        <f t="shared" si="7"/>
        <v>Year 51</v>
      </c>
      <c r="C80" s="9"/>
      <c r="E80" s="10">
        <v>76</v>
      </c>
      <c r="F80" s="86">
        <v>0.2903</v>
      </c>
      <c r="H80" s="15">
        <v>76</v>
      </c>
      <c r="I80" s="88">
        <v>0.01</v>
      </c>
      <c r="K80" s="15">
        <v>76</v>
      </c>
      <c r="L80" s="88">
        <f>Dashboard!$AC$13/100</f>
        <v>0.03</v>
      </c>
      <c r="N80" s="91">
        <v>76</v>
      </c>
      <c r="O80" s="92">
        <v>0.26</v>
      </c>
      <c r="Q80" s="91">
        <v>76</v>
      </c>
      <c r="R80" s="92">
        <v>0.625</v>
      </c>
      <c r="T80" s="91">
        <v>76</v>
      </c>
      <c r="U80" s="92">
        <v>0.375</v>
      </c>
      <c r="V80" s="96"/>
      <c r="W80" s="99">
        <v>76</v>
      </c>
      <c r="X80" s="92">
        <v>0.1</v>
      </c>
      <c r="Z80" s="91">
        <v>76</v>
      </c>
      <c r="AA80" s="127">
        <v>0</v>
      </c>
      <c r="AB80" s="126">
        <f t="shared" ca="1" si="15"/>
        <v>0</v>
      </c>
      <c r="AC80" s="126">
        <f t="shared" ca="1" si="16"/>
        <v>0</v>
      </c>
      <c r="AD80" s="126">
        <f t="shared" ca="1" si="17"/>
        <v>0</v>
      </c>
      <c r="AE80" s="91">
        <v>76</v>
      </c>
      <c r="AF80" s="92">
        <f t="shared" ca="1" si="18"/>
        <v>0</v>
      </c>
      <c r="AG80" s="91">
        <v>76</v>
      </c>
      <c r="AH80" s="92">
        <f t="shared" ca="1" si="19"/>
        <v>0</v>
      </c>
      <c r="AI80" s="91">
        <v>76</v>
      </c>
      <c r="AJ80" s="92">
        <f t="shared" ca="1" si="20"/>
        <v>0</v>
      </c>
    </row>
    <row r="81" spans="1:36">
      <c r="A81">
        <v>52</v>
      </c>
      <c r="B81" s="152" t="str">
        <f t="shared" si="7"/>
        <v>Year 52</v>
      </c>
      <c r="C81" s="9"/>
      <c r="E81" s="10">
        <v>77</v>
      </c>
      <c r="F81" s="86">
        <v>0.2903</v>
      </c>
      <c r="H81" s="15">
        <v>77</v>
      </c>
      <c r="I81" s="88">
        <v>0.01</v>
      </c>
      <c r="K81" s="15">
        <v>77</v>
      </c>
      <c r="L81" s="88">
        <f>Dashboard!$AC$13/100</f>
        <v>0.03</v>
      </c>
      <c r="N81" s="91">
        <v>77</v>
      </c>
      <c r="O81" s="92">
        <v>0.26</v>
      </c>
      <c r="Q81" s="91">
        <v>77</v>
      </c>
      <c r="R81" s="92">
        <v>0.625</v>
      </c>
      <c r="T81" s="91">
        <v>77</v>
      </c>
      <c r="U81" s="92">
        <v>0.375</v>
      </c>
      <c r="V81" s="96"/>
      <c r="W81" s="99">
        <v>77</v>
      </c>
      <c r="X81" s="92">
        <v>0.1</v>
      </c>
      <c r="Z81" s="91">
        <v>77</v>
      </c>
      <c r="AA81" s="127">
        <v>0</v>
      </c>
      <c r="AB81" s="126">
        <f t="shared" ca="1" si="15"/>
        <v>0</v>
      </c>
      <c r="AC81" s="126">
        <f t="shared" ca="1" si="16"/>
        <v>0</v>
      </c>
      <c r="AD81" s="126">
        <f t="shared" ca="1" si="17"/>
        <v>0</v>
      </c>
      <c r="AE81" s="91">
        <v>77</v>
      </c>
      <c r="AF81" s="92">
        <f t="shared" ca="1" si="18"/>
        <v>0</v>
      </c>
      <c r="AG81" s="91">
        <v>77</v>
      </c>
      <c r="AH81" s="92">
        <f t="shared" ca="1" si="19"/>
        <v>0</v>
      </c>
      <c r="AI81" s="91">
        <v>77</v>
      </c>
      <c r="AJ81" s="92">
        <f t="shared" ca="1" si="20"/>
        <v>0</v>
      </c>
    </row>
    <row r="82" spans="1:36">
      <c r="A82">
        <v>53</v>
      </c>
      <c r="B82" s="152" t="str">
        <f t="shared" si="7"/>
        <v>Year 53</v>
      </c>
      <c r="C82" s="9"/>
      <c r="E82" s="10">
        <v>78</v>
      </c>
      <c r="F82" s="86">
        <v>0.2903</v>
      </c>
      <c r="H82" s="15">
        <v>78</v>
      </c>
      <c r="I82" s="88">
        <v>0.01</v>
      </c>
      <c r="K82" s="15">
        <v>78</v>
      </c>
      <c r="L82" s="88">
        <f>Dashboard!$AC$13/100</f>
        <v>0.03</v>
      </c>
      <c r="N82" s="91">
        <v>78</v>
      </c>
      <c r="O82" s="92">
        <v>0.26</v>
      </c>
      <c r="Q82" s="91">
        <v>78</v>
      </c>
      <c r="R82" s="92">
        <v>0.625</v>
      </c>
      <c r="T82" s="91">
        <v>78</v>
      </c>
      <c r="U82" s="92">
        <v>0.375</v>
      </c>
      <c r="V82" s="96"/>
      <c r="W82" s="99">
        <v>78</v>
      </c>
      <c r="X82" s="92">
        <v>0.1</v>
      </c>
      <c r="Z82" s="91">
        <v>78</v>
      </c>
      <c r="AA82" s="127">
        <v>0</v>
      </c>
      <c r="AB82" s="126">
        <f t="shared" ca="1" si="15"/>
        <v>0</v>
      </c>
      <c r="AC82" s="126">
        <f t="shared" ca="1" si="16"/>
        <v>0</v>
      </c>
      <c r="AD82" s="126">
        <f t="shared" ca="1" si="17"/>
        <v>0</v>
      </c>
      <c r="AE82" s="91">
        <v>78</v>
      </c>
      <c r="AF82" s="92">
        <f t="shared" ca="1" si="18"/>
        <v>0</v>
      </c>
      <c r="AG82" s="91">
        <v>78</v>
      </c>
      <c r="AH82" s="92">
        <f t="shared" ca="1" si="19"/>
        <v>0</v>
      </c>
      <c r="AI82" s="91">
        <v>78</v>
      </c>
      <c r="AJ82" s="92">
        <f t="shared" ca="1" si="20"/>
        <v>0</v>
      </c>
    </row>
    <row r="83" spans="1:36">
      <c r="A83">
        <v>54</v>
      </c>
      <c r="B83" s="152" t="str">
        <f t="shared" si="7"/>
        <v>Year 54</v>
      </c>
      <c r="C83" s="9"/>
      <c r="E83" s="10">
        <v>79</v>
      </c>
      <c r="F83" s="86">
        <v>0.2903</v>
      </c>
      <c r="H83" s="15">
        <v>79</v>
      </c>
      <c r="I83" s="88">
        <v>0.01</v>
      </c>
      <c r="K83" s="15">
        <v>79</v>
      </c>
      <c r="L83" s="88">
        <f>Dashboard!$AC$13/100</f>
        <v>0.03</v>
      </c>
      <c r="N83" s="91">
        <v>79</v>
      </c>
      <c r="O83" s="92">
        <v>0.26</v>
      </c>
      <c r="Q83" s="91">
        <v>79</v>
      </c>
      <c r="R83" s="92">
        <v>0.625</v>
      </c>
      <c r="T83" s="91">
        <v>79</v>
      </c>
      <c r="U83" s="92">
        <v>0.375</v>
      </c>
      <c r="V83" s="96"/>
      <c r="W83" s="99">
        <v>79</v>
      </c>
      <c r="X83" s="92">
        <v>0.1</v>
      </c>
      <c r="Z83" s="91">
        <v>79</v>
      </c>
      <c r="AA83" s="127">
        <v>0</v>
      </c>
      <c r="AB83" s="126">
        <f t="shared" ca="1" si="15"/>
        <v>0</v>
      </c>
      <c r="AC83" s="126">
        <f t="shared" ca="1" si="16"/>
        <v>0</v>
      </c>
      <c r="AD83" s="126">
        <f t="shared" ca="1" si="17"/>
        <v>0</v>
      </c>
      <c r="AE83" s="91">
        <v>79</v>
      </c>
      <c r="AF83" s="92">
        <f t="shared" ca="1" si="18"/>
        <v>0</v>
      </c>
      <c r="AG83" s="91">
        <v>79</v>
      </c>
      <c r="AH83" s="92">
        <f t="shared" ca="1" si="19"/>
        <v>0</v>
      </c>
      <c r="AI83" s="91">
        <v>79</v>
      </c>
      <c r="AJ83" s="92">
        <f t="shared" ca="1" si="20"/>
        <v>0</v>
      </c>
    </row>
    <row r="84" spans="1:36">
      <c r="A84">
        <v>55</v>
      </c>
      <c r="B84" s="152" t="str">
        <f t="shared" si="7"/>
        <v>Year 55</v>
      </c>
      <c r="C84" s="9"/>
      <c r="E84" s="10">
        <v>80</v>
      </c>
      <c r="F84" s="86">
        <v>0.44719999999999999</v>
      </c>
      <c r="H84" s="15">
        <v>80</v>
      </c>
      <c r="I84" s="88">
        <v>0.01</v>
      </c>
      <c r="K84" s="15">
        <v>80</v>
      </c>
      <c r="L84" s="88">
        <f>Dashboard!$AC$13/100</f>
        <v>0.03</v>
      </c>
      <c r="N84" s="91">
        <v>80</v>
      </c>
      <c r="O84" s="92">
        <v>0.26</v>
      </c>
      <c r="Q84" s="91">
        <v>80</v>
      </c>
      <c r="R84" s="92">
        <v>0.625</v>
      </c>
      <c r="T84" s="91">
        <v>80</v>
      </c>
      <c r="U84" s="92">
        <v>0.375</v>
      </c>
      <c r="V84" s="96"/>
      <c r="W84" s="99">
        <v>80</v>
      </c>
      <c r="X84" s="92">
        <v>0.1</v>
      </c>
      <c r="Z84" s="91">
        <v>80</v>
      </c>
      <c r="AA84" s="127">
        <v>0</v>
      </c>
      <c r="AB84" s="126">
        <f t="shared" ca="1" si="15"/>
        <v>0</v>
      </c>
      <c r="AC84" s="126">
        <f t="shared" ca="1" si="16"/>
        <v>0</v>
      </c>
      <c r="AD84" s="126">
        <f t="shared" ca="1" si="17"/>
        <v>0</v>
      </c>
      <c r="AE84" s="91">
        <v>80</v>
      </c>
      <c r="AF84" s="92">
        <f t="shared" ca="1" si="18"/>
        <v>0</v>
      </c>
      <c r="AG84" s="91">
        <v>80</v>
      </c>
      <c r="AH84" s="92">
        <f t="shared" ca="1" si="19"/>
        <v>0</v>
      </c>
      <c r="AI84" s="91">
        <v>80</v>
      </c>
      <c r="AJ84" s="92">
        <f t="shared" ca="1" si="20"/>
        <v>0</v>
      </c>
    </row>
    <row r="85" spans="1:36">
      <c r="A85">
        <v>56</v>
      </c>
      <c r="B85" s="152" t="str">
        <f t="shared" si="7"/>
        <v>Year 56</v>
      </c>
      <c r="C85" s="9"/>
      <c r="E85" s="10">
        <v>81</v>
      </c>
      <c r="F85" s="86">
        <v>0.44719999999999999</v>
      </c>
      <c r="H85" s="15">
        <v>81</v>
      </c>
      <c r="I85" s="88">
        <v>0.01</v>
      </c>
      <c r="K85" s="15">
        <v>81</v>
      </c>
      <c r="L85" s="88">
        <f>Dashboard!$AC$13/100</f>
        <v>0.03</v>
      </c>
      <c r="N85" s="91">
        <v>81</v>
      </c>
      <c r="O85" s="92">
        <v>0.26</v>
      </c>
      <c r="Q85" s="91">
        <v>81</v>
      </c>
      <c r="R85" s="92">
        <v>0.625</v>
      </c>
      <c r="T85" s="91">
        <v>81</v>
      </c>
      <c r="U85" s="92">
        <v>0.375</v>
      </c>
      <c r="V85" s="96"/>
      <c r="W85" s="99">
        <v>81</v>
      </c>
      <c r="X85" s="92">
        <v>0.1</v>
      </c>
      <c r="Z85" s="91">
        <v>81</v>
      </c>
      <c r="AA85" s="127">
        <v>0</v>
      </c>
      <c r="AB85" s="126">
        <f t="shared" ca="1" si="15"/>
        <v>0</v>
      </c>
      <c r="AC85" s="126">
        <f t="shared" ca="1" si="16"/>
        <v>0</v>
      </c>
      <c r="AD85" s="126">
        <f t="shared" ca="1" si="17"/>
        <v>0</v>
      </c>
      <c r="AE85" s="91">
        <v>81</v>
      </c>
      <c r="AF85" s="92">
        <f t="shared" ca="1" si="18"/>
        <v>0</v>
      </c>
      <c r="AG85" s="91">
        <v>81</v>
      </c>
      <c r="AH85" s="92">
        <f t="shared" ca="1" si="19"/>
        <v>0</v>
      </c>
      <c r="AI85" s="91">
        <v>81</v>
      </c>
      <c r="AJ85" s="92">
        <f t="shared" ca="1" si="20"/>
        <v>0</v>
      </c>
    </row>
    <row r="86" spans="1:36">
      <c r="A86">
        <v>57</v>
      </c>
      <c r="B86" s="152" t="str">
        <f t="shared" si="7"/>
        <v>Year 57</v>
      </c>
      <c r="C86" s="9"/>
      <c r="E86" s="10">
        <v>82</v>
      </c>
      <c r="F86" s="86">
        <v>0.44719999999999999</v>
      </c>
      <c r="H86" s="15">
        <v>82</v>
      </c>
      <c r="I86" s="88">
        <v>0.01</v>
      </c>
      <c r="K86" s="15">
        <v>82</v>
      </c>
      <c r="L86" s="88">
        <f>Dashboard!$AC$13/100</f>
        <v>0.03</v>
      </c>
      <c r="N86" s="91">
        <v>82</v>
      </c>
      <c r="O86" s="92">
        <v>0.26</v>
      </c>
      <c r="Q86" s="91">
        <v>82</v>
      </c>
      <c r="R86" s="92">
        <v>0.625</v>
      </c>
      <c r="T86" s="91">
        <v>82</v>
      </c>
      <c r="U86" s="92">
        <v>0.375</v>
      </c>
      <c r="V86" s="96"/>
      <c r="W86" s="99">
        <v>82</v>
      </c>
      <c r="X86" s="92">
        <v>0.1</v>
      </c>
      <c r="Z86" s="91">
        <v>82</v>
      </c>
      <c r="AA86" s="127">
        <v>0</v>
      </c>
      <c r="AB86" s="126">
        <f t="shared" ca="1" si="15"/>
        <v>0</v>
      </c>
      <c r="AC86" s="126">
        <f t="shared" ca="1" si="16"/>
        <v>0</v>
      </c>
      <c r="AD86" s="126">
        <f t="shared" ca="1" si="17"/>
        <v>0</v>
      </c>
      <c r="AE86" s="91">
        <v>82</v>
      </c>
      <c r="AF86" s="92">
        <f t="shared" ca="1" si="18"/>
        <v>0</v>
      </c>
      <c r="AG86" s="91">
        <v>82</v>
      </c>
      <c r="AH86" s="92">
        <f t="shared" ca="1" si="19"/>
        <v>0</v>
      </c>
      <c r="AI86" s="91">
        <v>82</v>
      </c>
      <c r="AJ86" s="92">
        <f t="shared" ca="1" si="20"/>
        <v>0</v>
      </c>
    </row>
    <row r="87" spans="1:36">
      <c r="A87">
        <v>58</v>
      </c>
      <c r="B87" s="152" t="str">
        <f t="shared" si="7"/>
        <v>Year 58</v>
      </c>
      <c r="C87" s="9"/>
      <c r="E87" s="10">
        <v>83</v>
      </c>
      <c r="F87" s="86">
        <v>0.44719999999999999</v>
      </c>
      <c r="H87" s="15">
        <v>83</v>
      </c>
      <c r="I87" s="88">
        <v>0.01</v>
      </c>
      <c r="K87" s="15">
        <v>83</v>
      </c>
      <c r="L87" s="88">
        <f>Dashboard!$AC$13/100</f>
        <v>0.03</v>
      </c>
      <c r="N87" s="91">
        <v>83</v>
      </c>
      <c r="O87" s="92">
        <v>0.26</v>
      </c>
      <c r="Q87" s="91">
        <v>83</v>
      </c>
      <c r="R87" s="92">
        <v>0.625</v>
      </c>
      <c r="T87" s="91">
        <v>83</v>
      </c>
      <c r="U87" s="92">
        <v>0.375</v>
      </c>
      <c r="V87" s="96"/>
      <c r="W87" s="99">
        <v>83</v>
      </c>
      <c r="X87" s="92">
        <v>0.1</v>
      </c>
      <c r="Z87" s="91">
        <v>83</v>
      </c>
      <c r="AA87" s="127">
        <v>0</v>
      </c>
      <c r="AB87" s="126">
        <f t="shared" ca="1" si="15"/>
        <v>0</v>
      </c>
      <c r="AC87" s="126">
        <f t="shared" ca="1" si="16"/>
        <v>0</v>
      </c>
      <c r="AD87" s="126">
        <f t="shared" ca="1" si="17"/>
        <v>0</v>
      </c>
      <c r="AE87" s="91">
        <v>83</v>
      </c>
      <c r="AF87" s="92">
        <f t="shared" ca="1" si="18"/>
        <v>0</v>
      </c>
      <c r="AG87" s="91">
        <v>83</v>
      </c>
      <c r="AH87" s="92">
        <f t="shared" ca="1" si="19"/>
        <v>0</v>
      </c>
      <c r="AI87" s="91">
        <v>83</v>
      </c>
      <c r="AJ87" s="92">
        <f t="shared" ca="1" si="20"/>
        <v>0</v>
      </c>
    </row>
    <row r="88" spans="1:36">
      <c r="A88">
        <v>59</v>
      </c>
      <c r="B88" s="152" t="str">
        <f t="shared" si="7"/>
        <v>Year 59</v>
      </c>
      <c r="C88" s="9"/>
      <c r="E88" s="10">
        <v>84</v>
      </c>
      <c r="F88" s="86">
        <v>0.44719999999999999</v>
      </c>
      <c r="H88" s="15">
        <v>84</v>
      </c>
      <c r="I88" s="88">
        <v>0.01</v>
      </c>
      <c r="K88" s="15">
        <v>84</v>
      </c>
      <c r="L88" s="88">
        <f>Dashboard!$AC$13/100</f>
        <v>0.03</v>
      </c>
      <c r="N88" s="91">
        <v>84</v>
      </c>
      <c r="O88" s="92">
        <v>0.26</v>
      </c>
      <c r="Q88" s="91">
        <v>84</v>
      </c>
      <c r="R88" s="92">
        <v>0.625</v>
      </c>
      <c r="T88" s="91">
        <v>84</v>
      </c>
      <c r="U88" s="92">
        <v>0.375</v>
      </c>
      <c r="V88" s="96"/>
      <c r="W88" s="99">
        <v>84</v>
      </c>
      <c r="X88" s="92">
        <v>0.1</v>
      </c>
      <c r="Z88" s="91">
        <v>84</v>
      </c>
      <c r="AA88" s="127">
        <v>0</v>
      </c>
      <c r="AB88" s="126">
        <f t="shared" ca="1" si="15"/>
        <v>0</v>
      </c>
      <c r="AC88" s="126">
        <f t="shared" ca="1" si="16"/>
        <v>0</v>
      </c>
      <c r="AD88" s="126">
        <f t="shared" ca="1" si="17"/>
        <v>0</v>
      </c>
      <c r="AE88" s="91">
        <v>84</v>
      </c>
      <c r="AF88" s="92">
        <f t="shared" ca="1" si="18"/>
        <v>0</v>
      </c>
      <c r="AG88" s="91">
        <v>84</v>
      </c>
      <c r="AH88" s="92">
        <f t="shared" ca="1" si="19"/>
        <v>0</v>
      </c>
      <c r="AI88" s="91">
        <v>84</v>
      </c>
      <c r="AJ88" s="92">
        <f t="shared" ca="1" si="20"/>
        <v>0</v>
      </c>
    </row>
    <row r="89" spans="1:36">
      <c r="A89">
        <v>60</v>
      </c>
      <c r="B89" s="152" t="str">
        <f t="shared" si="7"/>
        <v>Year 60</v>
      </c>
      <c r="C89" s="12"/>
      <c r="E89" s="10">
        <v>85</v>
      </c>
      <c r="F89" s="86">
        <v>0.47620000000000001</v>
      </c>
      <c r="H89" s="15">
        <v>85</v>
      </c>
      <c r="I89" s="88">
        <v>0.01</v>
      </c>
      <c r="K89" s="15">
        <v>85</v>
      </c>
      <c r="L89" s="88">
        <f>Dashboard!$AC$13/100</f>
        <v>0.03</v>
      </c>
      <c r="N89" s="91">
        <v>85</v>
      </c>
      <c r="O89" s="92">
        <v>0.26</v>
      </c>
      <c r="Q89" s="91">
        <v>85</v>
      </c>
      <c r="R89" s="92">
        <v>0.625</v>
      </c>
      <c r="T89" s="91">
        <v>85</v>
      </c>
      <c r="U89" s="92">
        <v>0.375</v>
      </c>
      <c r="V89" s="96"/>
      <c r="W89" s="99">
        <v>85</v>
      </c>
      <c r="X89" s="92">
        <v>0.1</v>
      </c>
      <c r="Z89" s="91">
        <v>85</v>
      </c>
      <c r="AA89" s="127">
        <v>0</v>
      </c>
      <c r="AB89" s="126">
        <f t="shared" ca="1" si="15"/>
        <v>0</v>
      </c>
      <c r="AC89" s="126">
        <f t="shared" ca="1" si="16"/>
        <v>0</v>
      </c>
      <c r="AD89" s="126">
        <f t="shared" ca="1" si="17"/>
        <v>0</v>
      </c>
      <c r="AE89" s="91">
        <v>85</v>
      </c>
      <c r="AF89" s="92">
        <f t="shared" ca="1" si="18"/>
        <v>0</v>
      </c>
      <c r="AG89" s="91">
        <v>85</v>
      </c>
      <c r="AH89" s="92">
        <f t="shared" ca="1" si="19"/>
        <v>0</v>
      </c>
      <c r="AI89" s="91">
        <v>85</v>
      </c>
      <c r="AJ89" s="92">
        <f t="shared" ca="1" si="20"/>
        <v>0</v>
      </c>
    </row>
    <row r="90" spans="1:36">
      <c r="E90" s="10">
        <v>86</v>
      </c>
      <c r="F90" s="86">
        <v>0.47620000000000001</v>
      </c>
      <c r="H90" s="15">
        <v>86</v>
      </c>
      <c r="I90" s="88">
        <v>0.01</v>
      </c>
      <c r="K90" s="15">
        <v>86</v>
      </c>
      <c r="L90" s="88">
        <f>Dashboard!$AC$13/100</f>
        <v>0.03</v>
      </c>
      <c r="N90" s="91">
        <v>86</v>
      </c>
      <c r="O90" s="92">
        <v>0.26</v>
      </c>
      <c r="Q90" s="91">
        <v>86</v>
      </c>
      <c r="R90" s="92">
        <v>0.625</v>
      </c>
      <c r="T90" s="91">
        <v>86</v>
      </c>
      <c r="U90" s="92">
        <v>0.375</v>
      </c>
      <c r="V90" s="96"/>
      <c r="W90" s="99">
        <v>86</v>
      </c>
      <c r="X90" s="92">
        <v>0.1</v>
      </c>
      <c r="Z90" s="91">
        <v>86</v>
      </c>
      <c r="AA90" s="127">
        <v>0</v>
      </c>
      <c r="AB90" s="126">
        <f t="shared" ca="1" si="15"/>
        <v>0</v>
      </c>
      <c r="AC90" s="126">
        <f t="shared" ca="1" si="16"/>
        <v>0</v>
      </c>
      <c r="AD90" s="126">
        <f t="shared" ca="1" si="17"/>
        <v>0</v>
      </c>
      <c r="AE90" s="91">
        <v>86</v>
      </c>
      <c r="AF90" s="92">
        <f t="shared" ca="1" si="18"/>
        <v>0</v>
      </c>
      <c r="AG90" s="91">
        <v>86</v>
      </c>
      <c r="AH90" s="92">
        <f t="shared" ca="1" si="19"/>
        <v>0</v>
      </c>
      <c r="AI90" s="91">
        <v>86</v>
      </c>
      <c r="AJ90" s="92">
        <f t="shared" ca="1" si="20"/>
        <v>0</v>
      </c>
    </row>
    <row r="91" spans="1:36">
      <c r="E91" s="10">
        <v>87</v>
      </c>
      <c r="F91" s="86">
        <v>0.47620000000000001</v>
      </c>
      <c r="H91" s="15">
        <v>87</v>
      </c>
      <c r="I91" s="88">
        <v>0.01</v>
      </c>
      <c r="K91" s="15">
        <v>87</v>
      </c>
      <c r="L91" s="88">
        <f>Dashboard!$AC$13/100</f>
        <v>0.03</v>
      </c>
      <c r="N91" s="91">
        <v>87</v>
      </c>
      <c r="O91" s="92">
        <v>0.26</v>
      </c>
      <c r="Q91" s="91">
        <v>87</v>
      </c>
      <c r="R91" s="92">
        <v>0.625</v>
      </c>
      <c r="T91" s="91">
        <v>87</v>
      </c>
      <c r="U91" s="92">
        <v>0.375</v>
      </c>
      <c r="V91" s="96"/>
      <c r="W91" s="99">
        <v>87</v>
      </c>
      <c r="X91" s="92">
        <v>0.1</v>
      </c>
      <c r="Z91" s="91">
        <v>87</v>
      </c>
      <c r="AA91" s="127">
        <v>0</v>
      </c>
      <c r="AB91" s="126">
        <f t="shared" ca="1" si="15"/>
        <v>0</v>
      </c>
      <c r="AC91" s="126">
        <f t="shared" ca="1" si="16"/>
        <v>0</v>
      </c>
      <c r="AD91" s="126">
        <f t="shared" ca="1" si="17"/>
        <v>0</v>
      </c>
      <c r="AE91" s="91">
        <v>87</v>
      </c>
      <c r="AF91" s="92">
        <f t="shared" ca="1" si="18"/>
        <v>0</v>
      </c>
      <c r="AG91" s="91">
        <v>87</v>
      </c>
      <c r="AH91" s="92">
        <f t="shared" ca="1" si="19"/>
        <v>0</v>
      </c>
      <c r="AI91" s="91">
        <v>87</v>
      </c>
      <c r="AJ91" s="92">
        <f t="shared" ca="1" si="20"/>
        <v>0</v>
      </c>
    </row>
    <row r="92" spans="1:36">
      <c r="E92" s="10">
        <v>88</v>
      </c>
      <c r="F92" s="86">
        <v>0.47620000000000001</v>
      </c>
      <c r="H92" s="15">
        <v>88</v>
      </c>
      <c r="I92" s="88">
        <v>0.01</v>
      </c>
      <c r="K92" s="15">
        <v>88</v>
      </c>
      <c r="L92" s="88">
        <f>Dashboard!$AC$13/100</f>
        <v>0.03</v>
      </c>
      <c r="N92" s="91">
        <v>88</v>
      </c>
      <c r="O92" s="92">
        <v>0.26</v>
      </c>
      <c r="Q92" s="91">
        <v>88</v>
      </c>
      <c r="R92" s="92">
        <v>0.625</v>
      </c>
      <c r="T92" s="91">
        <v>88</v>
      </c>
      <c r="U92" s="92">
        <v>0.375</v>
      </c>
      <c r="V92" s="96"/>
      <c r="W92" s="99">
        <v>88</v>
      </c>
      <c r="X92" s="92">
        <v>0.1</v>
      </c>
      <c r="Z92" s="91">
        <v>88</v>
      </c>
      <c r="AA92" s="127">
        <v>0</v>
      </c>
      <c r="AB92" s="126">
        <f t="shared" ca="1" si="15"/>
        <v>0</v>
      </c>
      <c r="AC92" s="126">
        <f t="shared" ca="1" si="16"/>
        <v>0</v>
      </c>
      <c r="AD92" s="126">
        <f t="shared" ca="1" si="17"/>
        <v>0</v>
      </c>
      <c r="AE92" s="91">
        <v>88</v>
      </c>
      <c r="AF92" s="92">
        <f t="shared" ca="1" si="18"/>
        <v>0</v>
      </c>
      <c r="AG92" s="91">
        <v>88</v>
      </c>
      <c r="AH92" s="92">
        <f t="shared" ca="1" si="19"/>
        <v>0</v>
      </c>
      <c r="AI92" s="91">
        <v>88</v>
      </c>
      <c r="AJ92" s="92">
        <f t="shared" ca="1" si="20"/>
        <v>0</v>
      </c>
    </row>
    <row r="93" spans="1:36">
      <c r="B93" s="273" t="s">
        <v>582</v>
      </c>
      <c r="C93" s="272">
        <v>1</v>
      </c>
      <c r="E93" s="10">
        <v>89</v>
      </c>
      <c r="F93" s="86">
        <v>0.47620000000000001</v>
      </c>
      <c r="H93" s="15">
        <v>89</v>
      </c>
      <c r="I93" s="88">
        <v>0.01</v>
      </c>
      <c r="K93" s="15">
        <v>89</v>
      </c>
      <c r="L93" s="88">
        <f>Dashboard!$AC$13/100</f>
        <v>0.03</v>
      </c>
      <c r="N93" s="91">
        <v>89</v>
      </c>
      <c r="O93" s="92">
        <v>0.26</v>
      </c>
      <c r="Q93" s="91">
        <v>89</v>
      </c>
      <c r="R93" s="92">
        <v>0.625</v>
      </c>
      <c r="T93" s="91">
        <v>89</v>
      </c>
      <c r="U93" s="92">
        <v>0.375</v>
      </c>
      <c r="V93" s="96"/>
      <c r="W93" s="99">
        <v>89</v>
      </c>
      <c r="X93" s="92">
        <v>0.1</v>
      </c>
      <c r="Z93" s="91">
        <v>89</v>
      </c>
      <c r="AA93" s="127">
        <v>0</v>
      </c>
      <c r="AB93" s="126">
        <f t="shared" ca="1" si="15"/>
        <v>0</v>
      </c>
      <c r="AC93" s="126">
        <f t="shared" ca="1" si="16"/>
        <v>0</v>
      </c>
      <c r="AD93" s="126">
        <f t="shared" ca="1" si="17"/>
        <v>0</v>
      </c>
      <c r="AE93" s="91">
        <v>89</v>
      </c>
      <c r="AF93" s="92">
        <f t="shared" ca="1" si="18"/>
        <v>0</v>
      </c>
      <c r="AG93" s="91">
        <v>89</v>
      </c>
      <c r="AH93" s="92">
        <f t="shared" ca="1" si="19"/>
        <v>0</v>
      </c>
      <c r="AI93" s="91">
        <v>89</v>
      </c>
      <c r="AJ93" s="92">
        <f t="shared" ca="1" si="20"/>
        <v>0</v>
      </c>
    </row>
    <row r="94" spans="1:36">
      <c r="B94" s="10" t="s">
        <v>583</v>
      </c>
      <c r="C94" s="9"/>
      <c r="E94" s="11">
        <v>90</v>
      </c>
      <c r="F94" s="86">
        <v>0.47620000000000001</v>
      </c>
      <c r="H94" s="16">
        <v>90</v>
      </c>
      <c r="I94" s="88">
        <v>0.01</v>
      </c>
      <c r="K94" s="16">
        <v>90</v>
      </c>
      <c r="L94" s="88">
        <f>Dashboard!$AC$13/100</f>
        <v>0.03</v>
      </c>
      <c r="N94" s="93">
        <v>90</v>
      </c>
      <c r="O94" s="92">
        <v>0.26</v>
      </c>
      <c r="Q94" s="93">
        <v>90</v>
      </c>
      <c r="R94" s="92">
        <v>0.625</v>
      </c>
      <c r="T94" s="93">
        <v>90</v>
      </c>
      <c r="U94" s="92">
        <v>0.375</v>
      </c>
      <c r="V94" s="96"/>
      <c r="W94" s="100">
        <v>90</v>
      </c>
      <c r="X94" s="92">
        <v>0.1</v>
      </c>
      <c r="Z94" s="93">
        <v>90</v>
      </c>
      <c r="AA94" s="129">
        <v>0</v>
      </c>
      <c r="AB94" s="126">
        <f t="shared" ca="1" si="15"/>
        <v>0</v>
      </c>
      <c r="AC94" s="126">
        <f t="shared" ca="1" si="16"/>
        <v>0</v>
      </c>
      <c r="AD94" s="126">
        <f t="shared" ca="1" si="17"/>
        <v>0</v>
      </c>
      <c r="AE94" s="93">
        <v>90</v>
      </c>
      <c r="AF94" s="92">
        <f t="shared" ca="1" si="18"/>
        <v>0</v>
      </c>
      <c r="AG94" s="93">
        <v>90</v>
      </c>
      <c r="AH94" s="92">
        <f t="shared" ca="1" si="19"/>
        <v>0</v>
      </c>
      <c r="AI94" s="93">
        <v>90</v>
      </c>
      <c r="AJ94" s="92">
        <f t="shared" ca="1" si="20"/>
        <v>0</v>
      </c>
    </row>
    <row r="95" spans="1:36">
      <c r="B95" s="10" t="s">
        <v>584</v>
      </c>
      <c r="C95" s="9"/>
    </row>
    <row r="96" spans="1:36">
      <c r="B96" s="10" t="s">
        <v>585</v>
      </c>
      <c r="C96" s="9"/>
    </row>
    <row r="97" spans="2:3">
      <c r="B97" s="10" t="s">
        <v>586</v>
      </c>
      <c r="C97" s="9"/>
    </row>
    <row r="98" spans="2:3">
      <c r="B98" s="11" t="s">
        <v>587</v>
      </c>
      <c r="C98" s="12"/>
    </row>
  </sheetData>
  <mergeCells count="3">
    <mergeCell ref="AE2:AF2"/>
    <mergeCell ref="AG2:AH2"/>
    <mergeCell ref="AI2:AJ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C5EA4-002D-B845-97B8-C6A36E081D83}">
  <sheetPr codeName="Sheet5">
    <tabColor theme="4"/>
  </sheetPr>
  <dimension ref="A3:W85"/>
  <sheetViews>
    <sheetView topLeftCell="I1" workbookViewId="0">
      <selection activeCell="U44" sqref="U44"/>
    </sheetView>
  </sheetViews>
  <sheetFormatPr baseColWidth="10" defaultRowHeight="14"/>
  <cols>
    <col min="3" max="4" width="14.83203125" customWidth="1"/>
    <col min="5" max="6" width="14.1640625" customWidth="1"/>
    <col min="7" max="7" width="16.83203125" customWidth="1"/>
    <col min="8" max="8" width="17.1640625" customWidth="1"/>
    <col min="10" max="10" width="13" bestFit="1" customWidth="1"/>
    <col min="11" max="12" width="14.5" customWidth="1"/>
    <col min="13" max="13" width="12.5" bestFit="1" customWidth="1"/>
    <col min="14" max="14" width="12.5" customWidth="1"/>
    <col min="16" max="17" width="11.5" bestFit="1" customWidth="1"/>
    <col min="20" max="20" width="15" bestFit="1" customWidth="1"/>
  </cols>
  <sheetData>
    <row r="3" spans="1:21">
      <c r="A3" t="s">
        <v>552</v>
      </c>
      <c r="B3" t="s">
        <v>517</v>
      </c>
      <c r="C3" t="s">
        <v>518</v>
      </c>
      <c r="D3" t="s">
        <v>553</v>
      </c>
      <c r="E3" t="s">
        <v>513</v>
      </c>
      <c r="F3" t="s">
        <v>555</v>
      </c>
      <c r="G3" t="s">
        <v>514</v>
      </c>
      <c r="H3" t="s">
        <v>563</v>
      </c>
      <c r="I3" t="s">
        <v>515</v>
      </c>
      <c r="J3" t="s">
        <v>531</v>
      </c>
      <c r="K3" t="s">
        <v>564</v>
      </c>
      <c r="L3" t="s">
        <v>565</v>
      </c>
      <c r="M3" t="s">
        <v>516</v>
      </c>
      <c r="O3" t="s">
        <v>526</v>
      </c>
      <c r="P3" t="s">
        <v>543</v>
      </c>
      <c r="Q3" t="s">
        <v>569</v>
      </c>
      <c r="S3" t="s">
        <v>3</v>
      </c>
    </row>
    <row r="4" spans="1:21">
      <c r="A4">
        <v>1</v>
      </c>
      <c r="B4">
        <v>2022</v>
      </c>
      <c r="C4" s="54">
        <f ca="1">('Disease Projections'!G11*annual_adl_episodes*ccc_adl)+('Disease Projections'!I11*annual_hydrocele_visits*ccc_hydrocele)+('Disease Projections'!K11*annual_lymphedema_visits*ccc_le)</f>
        <v>1525837.8184455745</v>
      </c>
      <c r="D4" s="54">
        <f t="shared" ref="D4:D35" ca="1" si="0">C4/((1+discount_cost)^A4)</f>
        <v>1481395.9402384218</v>
      </c>
      <c r="E4" s="131">
        <f ca="1">(('Disease Projections'!G11*annual_adl_episodes)+('Disease Projections'!I11*annual_hydrocele_visits)+('Disease Projections'!K11*annual_lymphedema_visits)*'Economic Costs'!$U$19)</f>
        <v>930444.03765625751</v>
      </c>
      <c r="F4" s="131">
        <f t="shared" ref="F4:F35" ca="1" si="1">E4/((1+discount_cost)^A4)</f>
        <v>903343.72587986162</v>
      </c>
      <c r="G4" s="54">
        <f ca="1">'Disease Projections'!G11*adl_episode_duration*annual_adl_episodes*min_daily_wage*$U$23+'Disease Projections'!K11*min_daily_wage*'Economic Costs'!$U$22*'Economic Costs'!$U$24+'Disease Projections'!I11*min_daily_wage*'Economic Costs'!$U$22*'Economic Costs'!$U$25</f>
        <v>2073632.8669946694</v>
      </c>
      <c r="H4" s="54">
        <f t="shared" ref="H4:H35" ca="1" si="2">G4/((1+discount_cost)^A4)</f>
        <v>2013235.7931987082</v>
      </c>
      <c r="I4">
        <v>0</v>
      </c>
      <c r="J4" s="206">
        <f ca="1">('Disease Projections'!G11*adl_episode_duration*prod_loss_adl*annual_adl_episodes*Productive_pop_based_on_starting_age)+('Disease Projections'!I11*$U$22*prod_loss_hydrocele*Productive_pop_based_on_starting_age)+('Disease Projections'!K11*$U$22*prod_loss_lymphedema*Productive_pop_based_on_starting_age)</f>
        <v>1524330.6477698002</v>
      </c>
      <c r="K4" s="54">
        <f t="shared" ref="K4:K35" ca="1" si="3">J4*min_daily_wage</f>
        <v>4003381.8187393481</v>
      </c>
      <c r="L4" s="54">
        <f t="shared" ref="L4:L35" ca="1" si="4">K4/((1+discount_cost)^A4)</f>
        <v>3886778.4647954833</v>
      </c>
      <c r="M4" s="54">
        <f>('Disease Projections'!I11+'Disease Projections'!K11)*365*'Economic Costs'!$U$26</f>
        <v>123315.67941100817</v>
      </c>
      <c r="N4" s="54">
        <f t="shared" ref="N4:N35" si="5">M4/((1+discount_cost)^A4)</f>
        <v>119723.96059321181</v>
      </c>
      <c r="O4" s="206">
        <f ca="1">(avg_clinic_visit*'Disease Projections'!G11*annual_adl_episodes)+('Disease Projections'!I11*avg_clinic_visit*annual_hydrocele_visits)+('Disease Projections'!K11*avg_clinic_visit*annual_lymphedema_visits)</f>
        <v>207479.51568867938</v>
      </c>
      <c r="P4" s="54">
        <f ca="1">'Disease Projections'!M11*yll*$U$21*$U$20</f>
        <v>58241.478477748155</v>
      </c>
      <c r="Q4" s="131">
        <f t="shared" ref="Q4:Q35" ca="1" si="6">P4/((1+discount_cost)^A4)</f>
        <v>56545.124735677819</v>
      </c>
      <c r="S4" t="s">
        <v>519</v>
      </c>
    </row>
    <row r="5" spans="1:21">
      <c r="A5">
        <v>2</v>
      </c>
      <c r="B5">
        <v>2023</v>
      </c>
      <c r="C5" s="54">
        <f ca="1">('Disease Projections'!G12*annual_adl_episodes*ccc_adl)+('Disease Projections'!I12*annual_hydrocele_visits*ccc_hydrocele)+('Disease Projections'!K12*annual_lymphedema_visits*ccc_le)</f>
        <v>1504660.2410787849</v>
      </c>
      <c r="D5" s="54">
        <f t="shared" ca="1" si="0"/>
        <v>1418286.5878770712</v>
      </c>
      <c r="E5" s="131">
        <f ca="1">(('Disease Projections'!G12*annual_adl_episodes)+('Disease Projections'!I12*annual_hydrocele_visits)+('Disease Projections'!K12*annual_lymphedema_visits)*'Economic Costs'!$U$19)</f>
        <v>917530.11564257508</v>
      </c>
      <c r="F5" s="131">
        <f t="shared" ca="1" si="1"/>
        <v>864860.13351171184</v>
      </c>
      <c r="G5" s="54">
        <f ca="1">'Disease Projections'!G12*adl_episode_duration*annual_adl_episodes*min_daily_wage*$U$23+'Disease Projections'!K12*min_daily_wage*'Economic Costs'!$U$22*'Economic Costs'!$U$24+'Disease Projections'!I12*min_daily_wage*'Economic Costs'!$U$22*'Economic Costs'!$U$25</f>
        <v>2044852.2718749109</v>
      </c>
      <c r="H5" s="54">
        <f t="shared" ca="1" si="2"/>
        <v>1927469.3862521548</v>
      </c>
      <c r="I5">
        <v>0</v>
      </c>
      <c r="J5" s="206">
        <f ca="1">('Disease Projections'!G12*adl_episode_duration*prod_loss_adl*annual_adl_episodes*Productive_pop_based_on_starting_age)+('Disease Projections'!I12*$U$22*prod_loss_hydrocele*Productive_pop_based_on_starting_age)+('Disease Projections'!K12*$U$22*prod_loss_lymphedema*Productive_pop_based_on_starting_age)</f>
        <v>1503173.9888933017</v>
      </c>
      <c r="K5" s="54">
        <f t="shared" ca="1" si="3"/>
        <v>3947817.6380838165</v>
      </c>
      <c r="L5" s="54">
        <f t="shared" ca="1" si="4"/>
        <v>3721196.7556638862</v>
      </c>
      <c r="M5" s="54">
        <f>('Disease Projections'!I12+'Disease Projections'!K12)*365*'Economic Costs'!$U$26</f>
        <v>121604.14276557011</v>
      </c>
      <c r="N5" s="54">
        <f t="shared" si="5"/>
        <v>114623.56750454342</v>
      </c>
      <c r="O5" s="206">
        <f ca="1">(avg_clinic_visit*'Disease Projections'!G12*annual_adl_episodes)+('Disease Projections'!I12*avg_clinic_visit*annual_hydrocele_visits)+('Disease Projections'!K12*avg_clinic_visit*annual_lymphedema_visits)</f>
        <v>204599.84299843415</v>
      </c>
      <c r="P5" s="54">
        <f ca="1">'Disease Projections'!M12*yll*$U$21*$U$20</f>
        <v>57433.12689443554</v>
      </c>
      <c r="Q5" s="131">
        <f t="shared" ca="1" si="6"/>
        <v>54136.230459454746</v>
      </c>
      <c r="S5" t="s">
        <v>520</v>
      </c>
    </row>
    <row r="6" spans="1:21">
      <c r="A6">
        <v>3</v>
      </c>
      <c r="B6">
        <v>2024</v>
      </c>
      <c r="C6" s="54">
        <f ca="1">('Disease Projections'!G13*annual_adl_episodes*ccc_adl)+('Disease Projections'!I13*annual_hydrocele_visits*ccc_hydrocele)+('Disease Projections'!K13*annual_lymphedema_visits*ccc_le)</f>
        <v>1481134.2728502019</v>
      </c>
      <c r="D6" s="54">
        <f t="shared" ca="1" si="0"/>
        <v>1355447.6761809692</v>
      </c>
      <c r="E6" s="131">
        <f ca="1">(('Disease Projections'!G13*annual_adl_episodes)+('Disease Projections'!I13*annual_hydrocele_visits)+('Disease Projections'!K13*annual_lymphedema_visits)*'Economic Costs'!$U$19)</f>
        <v>903184.16314109927</v>
      </c>
      <c r="F6" s="131">
        <f t="shared" ca="1" si="1"/>
        <v>826541.45375844033</v>
      </c>
      <c r="G6" s="54">
        <f ca="1">'Disease Projections'!G13*adl_episode_duration*annual_adl_episodes*min_daily_wage*$U$23+'Disease Projections'!K13*min_daily_wage*'Economic Costs'!$U$22*'Economic Costs'!$U$24+'Disease Projections'!I13*min_daily_wage*'Economic Costs'!$U$22*'Economic Costs'!$U$25</f>
        <v>2012880.1839131908</v>
      </c>
      <c r="H6" s="54">
        <f t="shared" ca="1" si="2"/>
        <v>1842070.5115854105</v>
      </c>
      <c r="I6">
        <v>0</v>
      </c>
      <c r="J6" s="206">
        <f ca="1">('Disease Projections'!G13*adl_episode_duration*prod_loss_adl*annual_adl_episodes*Productive_pop_based_on_starting_age)+('Disease Projections'!I13*$U$22*prod_loss_hydrocele*Productive_pop_based_on_starting_age)+('Disease Projections'!K13*$U$22*prod_loss_lymphedema*Productive_pop_based_on_starting_age)</f>
        <v>1479671.2588155922</v>
      </c>
      <c r="K6" s="54">
        <f t="shared" ca="1" si="3"/>
        <v>3886091.9210148188</v>
      </c>
      <c r="L6" s="54">
        <f t="shared" ca="1" si="4"/>
        <v>3556324.608996409</v>
      </c>
      <c r="M6" s="54">
        <f>('Disease Projections'!I13+'Disease Projections'!K13)*365*'Economic Costs'!$U$26</f>
        <v>119702.81306929547</v>
      </c>
      <c r="N6" s="54">
        <f t="shared" si="5"/>
        <v>109545.03098147613</v>
      </c>
      <c r="O6" s="206">
        <f ca="1">(avg_clinic_visit*'Disease Projections'!G13*annual_adl_episodes)+('Disease Projections'!I13*avg_clinic_visit*annual_hydrocele_visits)+('Disease Projections'!K13*avg_clinic_visit*annual_lymphedema_visits)</f>
        <v>201400.84213794544</v>
      </c>
      <c r="P6" s="54">
        <f ca="1">'Disease Projections'!M13*yll*$U$21*$U$20</f>
        <v>56535.136848777176</v>
      </c>
      <c r="Q6" s="131">
        <f t="shared" ca="1" si="6"/>
        <v>51737.658947547905</v>
      </c>
      <c r="S6" t="s">
        <v>538</v>
      </c>
    </row>
    <row r="7" spans="1:21">
      <c r="A7">
        <v>4</v>
      </c>
      <c r="B7">
        <v>2025</v>
      </c>
      <c r="C7" s="54">
        <f ca="1">('Disease Projections'!G14*annual_adl_episodes*ccc_adl)+('Disease Projections'!I14*annual_hydrocele_visits*ccc_hydrocele)+('Disease Projections'!K14*annual_lymphedema_visits*ccc_le)</f>
        <v>1455097.5486691701</v>
      </c>
      <c r="D7" s="54">
        <f t="shared" ca="1" si="0"/>
        <v>1292835.3254464266</v>
      </c>
      <c r="E7" s="131">
        <f ca="1">(('Disease Projections'!G14*annual_adl_episodes)+('Disease Projections'!I14*annual_hydrocele_visits)+('Disease Projections'!K14*annual_lymphedema_visits)*'Economic Costs'!$U$19)</f>
        <v>887307.17118200567</v>
      </c>
      <c r="F7" s="131">
        <f t="shared" ca="1" si="1"/>
        <v>788360.92911792116</v>
      </c>
      <c r="G7" s="54">
        <f ca="1">'Disease Projections'!G14*adl_episode_duration*annual_adl_episodes*min_daily_wage*$U$23+'Disease Projections'!K14*min_daily_wage*'Economic Costs'!$U$22*'Economic Costs'!$U$24+'Disease Projections'!I14*min_daily_wage*'Economic Costs'!$U$22*'Economic Costs'!$U$25</f>
        <v>1977495.9469005931</v>
      </c>
      <c r="H7" s="54">
        <f t="shared" ca="1" si="2"/>
        <v>1756979.536126948</v>
      </c>
      <c r="I7">
        <v>0</v>
      </c>
      <c r="J7" s="206">
        <f ca="1">('Disease Projections'!G14*adl_episode_duration*prod_loss_adl*annual_adl_episodes*Productive_pop_based_on_starting_age)+('Disease Projections'!I14*$U$22*prod_loss_hydrocele*Productive_pop_based_on_starting_age)+('Disease Projections'!K14*$U$22*prod_loss_lymphedema*Productive_pop_based_on_starting_age)</f>
        <v>1453660.2528247272</v>
      </c>
      <c r="K7" s="54">
        <f t="shared" ca="1" si="3"/>
        <v>3817778.6658668621</v>
      </c>
      <c r="L7" s="54">
        <f t="shared" ca="1" si="4"/>
        <v>3392046.8964315457</v>
      </c>
      <c r="M7" s="54">
        <f>('Disease Projections'!I14+'Disease Projections'!K14)*365*'Economic Costs'!$U$26</f>
        <v>117598.56824510319</v>
      </c>
      <c r="N7" s="54">
        <f t="shared" si="5"/>
        <v>104484.80473920342</v>
      </c>
      <c r="O7" s="206">
        <f ca="1">(avg_clinic_visit*'Disease Projections'!G14*annual_adl_episodes)+('Disease Projections'!I14*avg_clinic_visit*annual_hydrocele_visits)+('Disease Projections'!K14*avg_clinic_visit*annual_lymphedema_visits)</f>
        <v>197860.43511834258</v>
      </c>
      <c r="P7" s="54">
        <f ca="1">'Disease Projections'!M14*yll*$U$21*$U$20</f>
        <v>55541.3108387721</v>
      </c>
      <c r="Q7" s="131">
        <f t="shared" ca="1" si="6"/>
        <v>49347.735304508285</v>
      </c>
      <c r="S7" t="s">
        <v>521</v>
      </c>
    </row>
    <row r="8" spans="1:21">
      <c r="A8">
        <v>5</v>
      </c>
      <c r="B8">
        <v>2026</v>
      </c>
      <c r="C8" s="54">
        <f ca="1">('Disease Projections'!G15*annual_adl_episodes*ccc_adl)+('Disease Projections'!I15*annual_hydrocele_visits*ccc_hydrocele)+('Disease Projections'!K15*annual_lymphedema_visits*ccc_le)</f>
        <v>1426401.7092020228</v>
      </c>
      <c r="D8" s="54">
        <f t="shared" ca="1" si="0"/>
        <v>1230426.6444182508</v>
      </c>
      <c r="E8" s="131">
        <f ca="1">(('Disease Projections'!G15*annual_adl_episodes)+('Disease Projections'!I15*annual_hydrocele_visits)+('Disease Projections'!K15*annual_lymphedema_visits)*'Economic Costs'!$U$19)</f>
        <v>869808.67139718006</v>
      </c>
      <c r="F8" s="131">
        <f t="shared" ca="1" si="1"/>
        <v>750304.60068072635</v>
      </c>
      <c r="G8" s="54">
        <f ca="1">'Disease Projections'!G15*adl_episode_duration*annual_adl_episodes*min_daily_wage*$U$23+'Disease Projections'!K15*min_daily_wage*'Economic Costs'!$U$22*'Economic Costs'!$U$24+'Disease Projections'!I15*min_daily_wage*'Economic Costs'!$U$22*'Economic Costs'!$U$25</f>
        <v>1938497.9386288496</v>
      </c>
      <c r="H8" s="54">
        <f t="shared" ca="1" si="2"/>
        <v>1672165.3503718399</v>
      </c>
      <c r="I8">
        <v>0</v>
      </c>
      <c r="J8" s="206">
        <f ca="1">('Disease Projections'!G15*adl_episode_duration*prod_loss_adl*annual_adl_episodes*Productive_pop_based_on_starting_age)+('Disease Projections'!I15*$U$22*prod_loss_hydrocele*Productive_pop_based_on_starting_age)+('Disease Projections'!K15*$U$22*prod_loss_lymphedema*Productive_pop_based_on_starting_age)</f>
        <v>1424992.758131342</v>
      </c>
      <c r="K8" s="54">
        <f t="shared" ca="1" si="3"/>
        <v>3742488.6182566425</v>
      </c>
      <c r="L8" s="54">
        <f t="shared" ca="1" si="4"/>
        <v>3228303.5575659322</v>
      </c>
      <c r="M8" s="54">
        <f>('Disease Projections'!I15+'Disease Projections'!K15)*365*'Economic Costs'!$U$26</f>
        <v>115279.41813794077</v>
      </c>
      <c r="N8" s="54">
        <f t="shared" si="5"/>
        <v>99441.038744482838</v>
      </c>
      <c r="O8" s="206">
        <f ca="1">(avg_clinic_visit*'Disease Projections'!G15*annual_adl_episodes)+('Disease Projections'!I15*avg_clinic_visit*annual_hydrocele_visits)+('Disease Projections'!K15*avg_clinic_visit*annual_lymphedema_visits)</f>
        <v>193958.44841769233</v>
      </c>
      <c r="P8" s="54">
        <f ca="1">'Disease Projections'!M15*yll*$U$21*$U$20</f>
        <v>54445.985964448686</v>
      </c>
      <c r="Q8" s="131">
        <f t="shared" ca="1" si="6"/>
        <v>46965.585767390345</v>
      </c>
      <c r="S8" t="s">
        <v>535</v>
      </c>
    </row>
    <row r="9" spans="1:21">
      <c r="A9">
        <v>6</v>
      </c>
      <c r="B9">
        <v>2027</v>
      </c>
      <c r="C9" s="54">
        <f ca="1">('Disease Projections'!G16*annual_adl_episodes*ccc_adl)+('Disease Projections'!I16*annual_hydrocele_visits*ccc_hydrocele)+('Disease Projections'!K16*annual_lymphedema_visits*ccc_le)</f>
        <v>1394919.7876355525</v>
      </c>
      <c r="D9" s="54">
        <f t="shared" ca="1" si="0"/>
        <v>1168223.3614812817</v>
      </c>
      <c r="E9" s="131">
        <f ca="1">(('Disease Projections'!G16*annual_adl_episodes)+('Disease Projections'!I16*annual_hydrocele_visits)+('Disease Projections'!K16*annual_lymphedema_visits)*'Economic Costs'!$U$19)</f>
        <v>850611.2404111498</v>
      </c>
      <c r="F9" s="131">
        <f t="shared" ca="1" si="1"/>
        <v>712373.52240249305</v>
      </c>
      <c r="G9" s="54">
        <f ca="1">'Disease Projections'!G16*adl_episode_duration*annual_adl_episodes*min_daily_wage*$U$23+'Disease Projections'!K16*min_daily_wage*'Economic Costs'!$U$22*'Economic Costs'!$U$24+'Disease Projections'!I16*min_daily_wage*'Economic Costs'!$U$22*'Economic Costs'!$U$25</f>
        <v>1895713.6095951872</v>
      </c>
      <c r="H9" s="54">
        <f t="shared" ca="1" si="2"/>
        <v>1587630.3032169128</v>
      </c>
      <c r="I9">
        <v>0</v>
      </c>
      <c r="J9" s="206">
        <f ca="1">('Disease Projections'!G16*adl_episode_duration*prod_loss_adl*annual_adl_episodes*Productive_pop_based_on_starting_age)+('Disease Projections'!I16*$U$22*prod_loss_hydrocele*Productive_pop_based_on_starting_age)+('Disease Projections'!K16*$U$22*prod_loss_lymphedema*Productive_pop_based_on_starting_age)</f>
        <v>1393541.9333357268</v>
      </c>
      <c r="K9" s="54">
        <f t="shared" ca="1" si="3"/>
        <v>3659888.6519334977</v>
      </c>
      <c r="L9" s="54">
        <f t="shared" ca="1" si="4"/>
        <v>3065099.1272094673</v>
      </c>
      <c r="M9" s="54">
        <f>('Disease Projections'!I16+'Disease Projections'!K16)*365*'Economic Costs'!$U$26</f>
        <v>112735.10150074516</v>
      </c>
      <c r="N9" s="54">
        <f t="shared" si="5"/>
        <v>94413.872682507892</v>
      </c>
      <c r="O9" s="206">
        <f ca="1">(avg_clinic_visit*'Disease Projections'!G16*annual_adl_episodes)+('Disease Projections'!I16*avg_clinic_visit*annual_hydrocele_visits)+('Disease Projections'!K16*avg_clinic_visit*annual_lymphedema_visits)</f>
        <v>189677.61741416244</v>
      </c>
      <c r="P9" s="54">
        <f ca="1">'Disease Projections'!M16*yll*$U$21*$U$20</f>
        <v>53244.315881831637</v>
      </c>
      <c r="Q9" s="131">
        <f t="shared" ca="1" si="6"/>
        <v>44591.276308925466</v>
      </c>
      <c r="S9" t="s">
        <v>549</v>
      </c>
    </row>
    <row r="10" spans="1:21">
      <c r="A10">
        <v>7</v>
      </c>
      <c r="B10">
        <v>2028</v>
      </c>
      <c r="C10" s="54">
        <f ca="1">('Disease Projections'!G17*annual_adl_episodes*ccc_adl)+('Disease Projections'!I17*annual_hydrocele_visits*ccc_hydrocele)+('Disease Projections'!K17*annual_lymphedema_visits*ccc_le)</f>
        <v>1360554.4602995999</v>
      </c>
      <c r="D10" s="54">
        <f t="shared" ca="1" si="0"/>
        <v>1106255.2823899428</v>
      </c>
      <c r="E10" s="131">
        <f ca="1">(('Disease Projections'!G17*annual_adl_episodes)+('Disease Projections'!I17*annual_hydrocele_visits)+('Disease Projections'!K17*annual_lymphedema_visits)*'Economic Costs'!$U$19)</f>
        <v>829655.53100658348</v>
      </c>
      <c r="F10" s="131">
        <f t="shared" ca="1" si="1"/>
        <v>674585.8696005157</v>
      </c>
      <c r="G10" s="54">
        <f ca="1">'Disease Projections'!G17*adl_episode_duration*annual_adl_episodes*min_daily_wage*$U$23+'Disease Projections'!K17*min_daily_wage*'Economic Costs'!$U$22*'Economic Costs'!$U$24+'Disease Projections'!I17*min_daily_wage*'Economic Costs'!$U$22*'Economic Costs'!$U$25</f>
        <v>1849010.6957026361</v>
      </c>
      <c r="H10" s="54">
        <f t="shared" ca="1" si="2"/>
        <v>1503414.9010588825</v>
      </c>
      <c r="I10">
        <v>0</v>
      </c>
      <c r="J10" s="206">
        <f ca="1">('Disease Projections'!G17*adl_episode_duration*prod_loss_adl*annual_adl_episodes*Productive_pop_based_on_starting_age)+('Disease Projections'!I17*$U$22*prod_loss_hydrocele*Productive_pop_based_on_starting_age)+('Disease Projections'!K17*$U$22*prod_loss_lymphedema*Productive_pop_based_on_starting_age)</f>
        <v>1359210.5509007317</v>
      </c>
      <c r="K10" s="54">
        <f t="shared" ca="1" si="3"/>
        <v>3569723.4161603185</v>
      </c>
      <c r="L10" s="54">
        <f t="shared" ca="1" si="4"/>
        <v>2902511.8075235533</v>
      </c>
      <c r="M10" s="54">
        <f>('Disease Projections'!I17+'Disease Projections'!K17)*365*'Economic Costs'!$U$26</f>
        <v>109957.75279606311</v>
      </c>
      <c r="N10" s="54">
        <f t="shared" si="5"/>
        <v>89405.715404869843</v>
      </c>
      <c r="O10" s="206">
        <f ca="1">(avg_clinic_visit*'Disease Projections'!G17*annual_adl_episodes)+('Disease Projections'!I17*avg_clinic_visit*annual_hydrocele_visits)+('Disease Projections'!K17*avg_clinic_visit*annual_lymphedema_visits)</f>
        <v>185004.70828453416</v>
      </c>
      <c r="P10" s="54">
        <f ca="1">'Disease Projections'!M17*yll*$U$21*$U$20</f>
        <v>51932.585730552091</v>
      </c>
      <c r="Q10" s="131">
        <f t="shared" ca="1" si="6"/>
        <v>42225.944619622889</v>
      </c>
      <c r="S10" t="s">
        <v>545</v>
      </c>
    </row>
    <row r="11" spans="1:21">
      <c r="A11">
        <v>8</v>
      </c>
      <c r="B11">
        <v>2029</v>
      </c>
      <c r="C11" s="54">
        <f ca="1">('Disease Projections'!G18*annual_adl_episodes*ccc_adl)+('Disease Projections'!I18*annual_hydrocele_visits*ccc_hydrocele)+('Disease Projections'!K18*annual_lymphedema_visits*ccc_le)</f>
        <v>1323246.8617188663</v>
      </c>
      <c r="D11" s="54">
        <f t="shared" ca="1" si="0"/>
        <v>1044583.2919178087</v>
      </c>
      <c r="E11" s="131">
        <f ca="1">(('Disease Projections'!G18*annual_adl_episodes)+('Disease Projections'!I18*annual_hydrocele_visits)+('Disease Projections'!K18*annual_lymphedema_visits)*'Economic Costs'!$U$19)</f>
        <v>806905.6474743482</v>
      </c>
      <c r="F11" s="131">
        <f t="shared" ca="1" si="1"/>
        <v>636978.7693363158</v>
      </c>
      <c r="G11" s="54">
        <f ca="1">'Disease Projections'!G18*adl_episode_duration*annual_adl_episodes*min_daily_wage*$U$23+'Disease Projections'!K18*min_daily_wage*'Economic Costs'!$U$22*'Economic Costs'!$U$24+'Disease Projections'!I18*min_daily_wage*'Economic Costs'!$U$22*'Economic Costs'!$U$25</f>
        <v>1798309.1980267791</v>
      </c>
      <c r="H11" s="54">
        <f t="shared" ca="1" si="2"/>
        <v>1419601.8870740277</v>
      </c>
      <c r="I11">
        <v>0</v>
      </c>
      <c r="J11" s="206">
        <f ca="1">('Disease Projections'!G18*adl_episode_duration*prod_loss_adl*annual_adl_episodes*Productive_pop_based_on_starting_age)+('Disease Projections'!I18*$U$22*prod_loss_hydrocele*Productive_pop_based_on_starting_age)+('Disease Projections'!K18*$U$22*prod_loss_lymphedema*Productive_pop_based_on_starting_age)</f>
        <v>1321939.803496371</v>
      </c>
      <c r="K11" s="54">
        <f t="shared" ca="1" si="3"/>
        <v>3471838.4640026307</v>
      </c>
      <c r="L11" s="54">
        <f t="shared" ca="1" si="4"/>
        <v>2740701.3435299876</v>
      </c>
      <c r="M11" s="54">
        <f>('Disease Projections'!I18+'Disease Projections'!K18)*365*'Economic Costs'!$U$26</f>
        <v>106942.61461390485</v>
      </c>
      <c r="N11" s="54">
        <f t="shared" si="5"/>
        <v>84421.487517892951</v>
      </c>
      <c r="O11" s="206">
        <f ca="1">(avg_clinic_visit*'Disease Projections'!G18*annual_adl_episodes)+('Disease Projections'!I18*avg_clinic_visit*annual_hydrocele_visits)+('Disease Projections'!K18*avg_clinic_visit*annual_lymphedema_visits)</f>
        <v>179931.71665235411</v>
      </c>
      <c r="P11" s="54">
        <f ca="1">'Disease Projections'!M18*yll*$U$21*$U$20</f>
        <v>50508.548605813747</v>
      </c>
      <c r="Q11" s="131">
        <f t="shared" ca="1" si="6"/>
        <v>39871.914681223636</v>
      </c>
      <c r="S11" t="s">
        <v>546</v>
      </c>
    </row>
    <row r="12" spans="1:21">
      <c r="A12">
        <v>9</v>
      </c>
      <c r="B12">
        <v>2030</v>
      </c>
      <c r="C12" s="54">
        <f ca="1">('Disease Projections'!G19*annual_adl_episodes*ccc_adl)+('Disease Projections'!I19*annual_hydrocele_visits*ccc_hydrocele)+('Disease Projections'!K19*annual_lymphedema_visits*ccc_le)</f>
        <v>1282985.5156407263</v>
      </c>
      <c r="D12" s="54">
        <f t="shared" ca="1" si="0"/>
        <v>983301.56654156873</v>
      </c>
      <c r="E12" s="131">
        <f ca="1">(('Disease Projections'!G19*annual_adl_episodes)+('Disease Projections'!I19*annual_hydrocele_visits)+('Disease Projections'!K19*annual_lymphedema_visits)*'Economic Costs'!$U$19)</f>
        <v>782354.59168482595</v>
      </c>
      <c r="F12" s="131">
        <f t="shared" ca="1" si="1"/>
        <v>599609.64969311678</v>
      </c>
      <c r="G12" s="54">
        <f ca="1">'Disease Projections'!G19*adl_episode_duration*annual_adl_episodes*min_daily_wage*$U$23+'Disease Projections'!K19*min_daily_wage*'Economic Costs'!$U$22*'Economic Costs'!$U$24+'Disease Projections'!I19*min_daily_wage*'Economic Costs'!$U$22*'Economic Costs'!$U$25</f>
        <v>1743593.5201953507</v>
      </c>
      <c r="H12" s="54">
        <f t="shared" ca="1" si="2"/>
        <v>1336319.2482836423</v>
      </c>
      <c r="I12">
        <v>0</v>
      </c>
      <c r="J12" s="206">
        <f ca="1">('Disease Projections'!G19*adl_episode_duration*prod_loss_adl*annual_adl_episodes*Productive_pop_based_on_starting_age)+('Disease Projections'!I19*$U$22*prod_loss_hydrocele*Productive_pop_based_on_starting_age)+('Disease Projections'!K19*$U$22*prod_loss_lymphedema*Productive_pop_based_on_starting_age)</f>
        <v>1281718.2262058721</v>
      </c>
      <c r="K12" s="54">
        <f t="shared" ca="1" si="3"/>
        <v>3366203.6849070392</v>
      </c>
      <c r="L12" s="54">
        <f t="shared" ca="1" si="4"/>
        <v>2579914.8285895288</v>
      </c>
      <c r="M12" s="54">
        <f>('Disease Projections'!I19+'Disease Projections'!K19)*365*'Economic Costs'!$U$26</f>
        <v>103688.75946258515</v>
      </c>
      <c r="N12" s="54">
        <f t="shared" si="5"/>
        <v>79468.800208078843</v>
      </c>
      <c r="O12" s="206">
        <f ca="1">(avg_clinic_visit*'Disease Projections'!G19*annual_adl_episodes)+('Disease Projections'!I19*avg_clinic_visit*annual_hydrocele_visits)+('Disease Projections'!K19*avg_clinic_visit*annual_lymphedema_visits)</f>
        <v>174457.08200620496</v>
      </c>
      <c r="P12" s="54">
        <f ca="1">'Disease Projections'!M19*yll*$U$21*$U$20</f>
        <v>48971.766457181489</v>
      </c>
      <c r="Q12" s="131">
        <f t="shared" ca="1" si="6"/>
        <v>37532.781225208273</v>
      </c>
      <c r="S12" t="s">
        <v>556</v>
      </c>
    </row>
    <row r="13" spans="1:21">
      <c r="A13">
        <v>10</v>
      </c>
      <c r="B13">
        <v>2031</v>
      </c>
      <c r="C13" s="54">
        <f ca="1">('Disease Projections'!G20*annual_adl_episodes*ccc_adl)+('Disease Projections'!I20*annual_hydrocele_visits*ccc_hydrocele)+('Disease Projections'!K20*annual_lymphedema_visits*ccc_le)</f>
        <v>1239814.7847264523</v>
      </c>
      <c r="D13" s="54">
        <f t="shared" ca="1" si="0"/>
        <v>922538.63691394648</v>
      </c>
      <c r="E13" s="131">
        <f ca="1">(('Disease Projections'!G20*annual_adl_episodes)+('Disease Projections'!I20*annual_hydrocele_visits)+('Disease Projections'!K20*annual_lymphedema_visits)*'Economic Costs'!$U$19)</f>
        <v>756029.41564392159</v>
      </c>
      <c r="F13" s="131">
        <f t="shared" ca="1" si="1"/>
        <v>562556.88766356907</v>
      </c>
      <c r="G13" s="54">
        <f ca="1">'Disease Projections'!G20*adl_episode_duration*annual_adl_episodes*min_daily_wage*$U$23+'Disease Projections'!K20*min_daily_wage*'Economic Costs'!$U$22*'Economic Costs'!$U$24+'Disease Projections'!I20*min_daily_wage*'Economic Costs'!$U$22*'Economic Costs'!$U$25</f>
        <v>1684923.9516253313</v>
      </c>
      <c r="H13" s="54">
        <f t="shared" ca="1" si="2"/>
        <v>1253741.6594681533</v>
      </c>
      <c r="I13">
        <v>0</v>
      </c>
      <c r="J13" s="206">
        <f ca="1">('Disease Projections'!G20*adl_episode_duration*prod_loss_adl*annual_adl_episodes*Productive_pop_based_on_starting_age)+('Disease Projections'!I20*$U$22*prod_loss_hydrocele*Productive_pop_based_on_starting_age)+('Disease Projections'!K20*$U$22*prod_loss_lymphedema*Productive_pop_based_on_starting_age)</f>
        <v>1238590.1378705793</v>
      </c>
      <c r="K13" s="54">
        <f t="shared" ca="1" si="3"/>
        <v>3252935.4743838785</v>
      </c>
      <c r="L13" s="54">
        <f t="shared" ca="1" si="4"/>
        <v>2420489.4920407361</v>
      </c>
      <c r="M13" s="54">
        <f>('Disease Projections'!I20+'Disease Projections'!K20)*365*'Economic Costs'!$U$26</f>
        <v>100199.77265874062</v>
      </c>
      <c r="N13" s="54">
        <f t="shared" si="5"/>
        <v>74558.041109404148</v>
      </c>
      <c r="O13" s="206">
        <f ca="1">(avg_clinic_visit*'Disease Projections'!G20*annual_adl_episodes)+('Disease Projections'!I20*avg_clinic_visit*annual_hydrocele_visits)+('Disease Projections'!K20*avg_clinic_visit*annual_lymphedema_visits)</f>
        <v>168586.83666706091</v>
      </c>
      <c r="P13" s="54">
        <f ca="1">'Disease Projections'!M20*yll*$U$21*$U$20</f>
        <v>47323.932614674042</v>
      </c>
      <c r="Q13" s="131">
        <f t="shared" ca="1" si="6"/>
        <v>35213.450287561624</v>
      </c>
    </row>
    <row r="14" spans="1:21">
      <c r="A14">
        <v>11</v>
      </c>
      <c r="B14">
        <v>2032</v>
      </c>
      <c r="C14" s="54">
        <f ca="1">('Disease Projections'!G21*annual_adl_episodes*ccc_adl)+('Disease Projections'!I21*annual_hydrocele_visits*ccc_hydrocele)+('Disease Projections'!K21*annual_lymphedema_visits*ccc_le)</f>
        <v>1193842.1158818316</v>
      </c>
      <c r="D14" s="54">
        <f t="shared" ca="1" si="0"/>
        <v>862456.94541272032</v>
      </c>
      <c r="E14" s="131">
        <f ca="1">(('Disease Projections'!G21*annual_adl_episodes)+('Disease Projections'!I21*annual_hydrocele_visits)+('Disease Projections'!K21*annual_lymphedema_visits)*'Economic Costs'!$U$19)</f>
        <v>727995.63963933999</v>
      </c>
      <c r="F14" s="131">
        <f t="shared" ca="1" si="1"/>
        <v>525919.53934658447</v>
      </c>
      <c r="G14" s="54">
        <f ca="1">'Disease Projections'!G21*adl_episode_duration*annual_adl_episodes*min_daily_wage*$U$23+'Disease Projections'!K21*min_daily_wage*'Economic Costs'!$U$22*'Economic Costs'!$U$24+'Disease Projections'!I21*min_daily_wage*'Economic Costs'!$U$22*'Economic Costs'!$U$25</f>
        <v>1622446.5140187684</v>
      </c>
      <c r="H14" s="54">
        <f t="shared" ca="1" si="2"/>
        <v>1172089.8818706505</v>
      </c>
      <c r="I14">
        <v>0</v>
      </c>
      <c r="J14" s="206">
        <f ca="1">('Disease Projections'!G21*adl_episode_duration*prod_loss_adl*annual_adl_episodes*Productive_pop_based_on_starting_age)+('Disease Projections'!I21*$U$22*prod_loss_hydrocele*Productive_pop_based_on_starting_age)+('Disease Projections'!K21*$U$22*prod_loss_lymphedema*Productive_pop_based_on_starting_age)</f>
        <v>1192662.8792638832</v>
      </c>
      <c r="K14" s="54">
        <f t="shared" ca="1" si="3"/>
        <v>3132315.7437764849</v>
      </c>
      <c r="L14" s="54">
        <f t="shared" ca="1" si="4"/>
        <v>2262851.5383294099</v>
      </c>
      <c r="M14" s="54">
        <f>('Disease Projections'!I21+'Disease Projections'!K21)*365*'Economic Costs'!$U$26</f>
        <v>96484.337882922162</v>
      </c>
      <c r="N14" s="54">
        <f t="shared" si="5"/>
        <v>69702.338545166946</v>
      </c>
      <c r="O14" s="206">
        <f ca="1">(avg_clinic_visit*'Disease Projections'!G21*annual_adl_episodes)+('Disease Projections'!I21*avg_clinic_visit*annual_hydrocele_visits)+('Disease Projections'!K21*avg_clinic_visit*annual_lymphedema_visits)</f>
        <v>162335.59098977456</v>
      </c>
      <c r="P14" s="54">
        <f ca="1">'Disease Projections'!M21*yll*$U$21*$U$20</f>
        <v>45569.148344215799</v>
      </c>
      <c r="Q14" s="131">
        <f t="shared" ca="1" si="6"/>
        <v>32920.122320346753</v>
      </c>
    </row>
    <row r="15" spans="1:21">
      <c r="A15">
        <v>12</v>
      </c>
      <c r="B15">
        <v>2033</v>
      </c>
      <c r="C15" s="54">
        <f ca="1">('Disease Projections'!G22*annual_adl_episodes*ccc_adl)+('Disease Projections'!I22*annual_hydrocele_visits*ccc_hydrocele)+('Disease Projections'!K22*annual_lymphedema_visits*ccc_le)</f>
        <v>1145243.2838905021</v>
      </c>
      <c r="D15" s="54">
        <f t="shared" ca="1" si="0"/>
        <v>803250.59724692756</v>
      </c>
      <c r="E15" s="131">
        <f ca="1">(('Disease Projections'!G22*annual_adl_episodes)+('Disease Projections'!I22*annual_hydrocele_visits)+('Disease Projections'!K22*annual_lymphedema_visits)*'Economic Costs'!$U$19)</f>
        <v>698360.44976742007</v>
      </c>
      <c r="F15" s="131">
        <f t="shared" ca="1" si="1"/>
        <v>489815.96858938399</v>
      </c>
      <c r="G15" s="54">
        <f ca="1">'Disease Projections'!G22*adl_episode_duration*annual_adl_episodes*min_daily_wage*$U$23+'Disease Projections'!K22*min_daily_wage*'Economic Costs'!$U$22*'Economic Costs'!$U$24+'Disease Projections'!I22*min_daily_wage*'Economic Costs'!$U$22*'Economic Costs'!$U$25</f>
        <v>1556400.087526707</v>
      </c>
      <c r="H15" s="54">
        <f t="shared" ca="1" si="2"/>
        <v>1091627.7069218147</v>
      </c>
      <c r="I15">
        <v>0</v>
      </c>
      <c r="J15" s="206">
        <f ca="1">('Disease Projections'!G22*adl_episode_duration*prod_loss_adl*annual_adl_episodes*Productive_pop_based_on_starting_age)+('Disease Projections'!I22*$U$22*prod_loss_hydrocele*Productive_pop_based_on_starting_age)+('Disease Projections'!K22*$U$22*prod_loss_lymphedema*Productive_pop_based_on_starting_age)</f>
        <v>1144112.0515450712</v>
      </c>
      <c r="K15" s="54">
        <f t="shared" ca="1" si="3"/>
        <v>3004805.678123333</v>
      </c>
      <c r="L15" s="54">
        <f t="shared" ca="1" si="4"/>
        <v>2107510.246525309</v>
      </c>
      <c r="M15" s="54">
        <f>('Disease Projections'!I22+'Disease Projections'!K22)*365*'Economic Costs'!$U$26</f>
        <v>92556.660961335874</v>
      </c>
      <c r="N15" s="54">
        <f t="shared" si="5"/>
        <v>64917.379776123395</v>
      </c>
      <c r="O15" s="206">
        <f ca="1">(avg_clinic_visit*'Disease Projections'!G22*annual_adl_episodes)+('Disease Projections'!I22*avg_clinic_visit*annual_hydrocele_visits)+('Disease Projections'!K22*avg_clinic_visit*annual_lymphedema_visits)</f>
        <v>155727.24637889795</v>
      </c>
      <c r="P15" s="54">
        <f ca="1">'Disease Projections'!M22*yll*$U$21*$U$20</f>
        <v>43714.122997976701</v>
      </c>
      <c r="Q15" s="131">
        <f t="shared" ca="1" si="6"/>
        <v>30660.206351061792</v>
      </c>
    </row>
    <row r="16" spans="1:21">
      <c r="A16">
        <v>13</v>
      </c>
      <c r="B16">
        <v>2034</v>
      </c>
      <c r="C16" s="54">
        <f ca="1">('Disease Projections'!G23*annual_adl_episodes*ccc_adl)+('Disease Projections'!I23*annual_hydrocele_visits*ccc_hydrocele)+('Disease Projections'!K23*annual_lymphedema_visits*ccc_le)</f>
        <v>1094264.8423479763</v>
      </c>
      <c r="D16" s="54">
        <f t="shared" ca="1" si="0"/>
        <v>745141.11070427799</v>
      </c>
      <c r="E16" s="131">
        <f ca="1">(('Disease Projections'!G23*annual_adl_episodes)+('Disease Projections'!I23*annual_hydrocele_visits)+('Disease Projections'!K23*annual_lymphedema_visits)*'Economic Costs'!$U$19)</f>
        <v>667274.19249364722</v>
      </c>
      <c r="F16" s="131">
        <f t="shared" ca="1" si="1"/>
        <v>454381.2555214148</v>
      </c>
      <c r="G16" s="54">
        <f ca="1">'Disease Projections'!G23*adl_episode_duration*annual_adl_episodes*min_daily_wage*$U$23+'Disease Projections'!K23*min_daily_wage*'Economic Costs'!$U$22*'Economic Costs'!$U$24+'Disease Projections'!I23*min_daily_wage*'Economic Costs'!$U$22*'Economic Costs'!$U$25</f>
        <v>1487119.7415994846</v>
      </c>
      <c r="H16" s="54">
        <f t="shared" ca="1" si="2"/>
        <v>1012656.1807724775</v>
      </c>
      <c r="I16">
        <v>0</v>
      </c>
      <c r="J16" s="206">
        <f ca="1">('Disease Projections'!G23*adl_episode_duration*prod_loss_adl*annual_adl_episodes*Productive_pop_based_on_starting_age)+('Disease Projections'!I23*$U$22*prod_loss_hydrocele*Productive_pop_based_on_starting_age)+('Disease Projections'!K23*$U$22*prod_loss_lymphedema*Productive_pop_based_on_starting_age)</f>
        <v>1093183.9647724039</v>
      </c>
      <c r="K16" s="54">
        <f t="shared" ca="1" si="3"/>
        <v>2871052.1667397148</v>
      </c>
      <c r="L16" s="54">
        <f t="shared" ca="1" si="4"/>
        <v>1955046.8201317256</v>
      </c>
      <c r="M16" s="54">
        <f>('Disease Projections'!I23+'Disease Projections'!K23)*365*'Economic Costs'!$U$26</f>
        <v>88436.667946262256</v>
      </c>
      <c r="N16" s="54">
        <f t="shared" si="5"/>
        <v>60221.067542539007</v>
      </c>
      <c r="O16" s="206">
        <f ca="1">(avg_clinic_visit*'Disease Projections'!G23*annual_adl_episodes)+('Disease Projections'!I23*avg_clinic_visit*annual_hydrocele_visits)+('Disease Projections'!K23*avg_clinic_visit*annual_lymphedema_visits)</f>
        <v>148795.32856040914</v>
      </c>
      <c r="P16" s="54">
        <f ca="1">'Disease Projections'!M23*yll*$U$21*$U$20</f>
        <v>41768.267566923845</v>
      </c>
      <c r="Q16" s="131">
        <f t="shared" ca="1" si="6"/>
        <v>28442.157768890385</v>
      </c>
      <c r="S16" s="163" t="s">
        <v>522</v>
      </c>
      <c r="T16" s="163"/>
      <c r="U16" s="163"/>
    </row>
    <row r="17" spans="1:23">
      <c r="A17">
        <v>14</v>
      </c>
      <c r="B17">
        <v>2035</v>
      </c>
      <c r="C17" s="54">
        <f ca="1">('Disease Projections'!G24*annual_adl_episodes*ccc_adl)+('Disease Projections'!I24*annual_hydrocele_visits*ccc_hydrocele)+('Disease Projections'!K24*annual_lymphedema_visits*ccc_le)</f>
        <v>1041223.1015715083</v>
      </c>
      <c r="D17" s="54">
        <f t="shared" ca="1" si="0"/>
        <v>688371.13227861293</v>
      </c>
      <c r="E17" s="131">
        <f ca="1">(('Disease Projections'!G24*annual_adl_episodes)+('Disease Projections'!I24*annual_hydrocele_visits)+('Disease Projections'!K24*annual_lymphedema_visits)*'Economic Costs'!$U$19)</f>
        <v>634929.75139003736</v>
      </c>
      <c r="F17" s="131">
        <f t="shared" ca="1" si="1"/>
        <v>419763.36408794293</v>
      </c>
      <c r="G17" s="54">
        <f ca="1">'Disease Projections'!G24*adl_episode_duration*annual_adl_episodes*min_daily_wage*$U$23+'Disease Projections'!K24*min_daily_wage*'Economic Costs'!$U$22*'Economic Costs'!$U$24+'Disease Projections'!I24*min_daily_wage*'Economic Costs'!$U$22*'Economic Costs'!$U$25</f>
        <v>1415035.3459533306</v>
      </c>
      <c r="H17" s="54">
        <f t="shared" ca="1" si="2"/>
        <v>935505.06307245675</v>
      </c>
      <c r="I17">
        <v>0</v>
      </c>
      <c r="J17" s="206">
        <f ca="1">('Disease Projections'!G24*adl_episode_duration*prod_loss_adl*annual_adl_episodes*Productive_pop_based_on_starting_age)+('Disease Projections'!I24*$U$22*prod_loss_hydrocele*Productive_pop_based_on_starting_age)+('Disease Projections'!K24*$U$22*prod_loss_lymphedema*Productive_pop_based_on_starting_age)</f>
        <v>1040194.616822568</v>
      </c>
      <c r="K17" s="54">
        <f t="shared" ca="1" si="3"/>
        <v>2731885.121532301</v>
      </c>
      <c r="L17" s="54">
        <f t="shared" ca="1" si="4"/>
        <v>1806097.8972959667</v>
      </c>
      <c r="M17" s="54">
        <f>('Disease Projections'!I24+'Disease Projections'!K24)*365*'Economic Costs'!$U$26</f>
        <v>84149.922512428282</v>
      </c>
      <c r="N17" s="54">
        <f t="shared" si="5"/>
        <v>55633.012131223419</v>
      </c>
      <c r="O17" s="206">
        <f ca="1">(avg_clinic_visit*'Disease Projections'!G24*annual_adl_episodes)+('Disease Projections'!I24*avg_clinic_visit*annual_hydrocele_visits)+('Disease Projections'!K24*avg_clinic_visit*annual_lymphedema_visits)</f>
        <v>141582.84860051583</v>
      </c>
      <c r="P17" s="54">
        <f ca="1">'Disease Projections'!M24*yll*$U$21*$U$20</f>
        <v>39743.655667474355</v>
      </c>
      <c r="Q17" s="131">
        <f t="shared" ca="1" si="6"/>
        <v>26275.238430091376</v>
      </c>
      <c r="S17" t="s">
        <v>523</v>
      </c>
    </row>
    <row r="18" spans="1:23">
      <c r="A18">
        <v>15</v>
      </c>
      <c r="B18">
        <v>2036</v>
      </c>
      <c r="C18" s="54">
        <f ca="1">('Disease Projections'!G25*annual_adl_episodes*ccc_adl)+('Disease Projections'!I25*annual_hydrocele_visits*ccc_hydrocele)+('Disease Projections'!K25*annual_lymphedema_visits*ccc_le)</f>
        <v>986499.17855622969</v>
      </c>
      <c r="D18" s="54">
        <f t="shared" ca="1" si="0"/>
        <v>633196.28385336394</v>
      </c>
      <c r="E18" s="131">
        <f ca="1">(('Disease Projections'!G25*annual_adl_episodes)+('Disease Projections'!I25*annual_hydrocele_visits)+('Disease Projections'!K25*annual_lymphedema_visits)*'Economic Costs'!$U$19)</f>
        <v>601559.52863687649</v>
      </c>
      <c r="F18" s="131">
        <f t="shared" ca="1" si="1"/>
        <v>386118.17052591708</v>
      </c>
      <c r="G18" s="54">
        <f ca="1">'Disease Projections'!G25*adl_episode_duration*annual_adl_episodes*min_daily_wage*$U$23+'Disease Projections'!K25*min_daily_wage*'Economic Costs'!$U$22*'Economic Costs'!$U$24+'Disease Projections'!I25*min_daily_wage*'Economic Costs'!$U$22*'Economic Costs'!$U$25</f>
        <v>1340664.8433982353</v>
      </c>
      <c r="H18" s="54">
        <f t="shared" ca="1" si="2"/>
        <v>860521.74718990689</v>
      </c>
      <c r="I18">
        <v>0</v>
      </c>
      <c r="J18" s="206">
        <f ca="1">('Disease Projections'!G25*adl_episode_duration*prod_loss_adl*annual_adl_episodes*Productive_pop_based_on_starting_age)+('Disease Projections'!I25*$U$22*prod_loss_hydrocele*Productive_pop_based_on_starting_age)+('Disease Projections'!K25*$U$22*prod_loss_lymphedema*Productive_pop_based_on_starting_age)</f>
        <v>985524.74823629542</v>
      </c>
      <c r="K18" s="54">
        <f t="shared" ca="1" si="3"/>
        <v>2588304.4894356057</v>
      </c>
      <c r="L18" s="54">
        <f t="shared" ca="1" si="4"/>
        <v>1661334.1600448049</v>
      </c>
      <c r="M18" s="54">
        <f>('Disease Projections'!I25+'Disease Projections'!K25)*365*'Economic Costs'!$U$26</f>
        <v>79727.225902680118</v>
      </c>
      <c r="N18" s="54">
        <f t="shared" si="5"/>
        <v>51173.872478432291</v>
      </c>
      <c r="O18" s="206">
        <f ca="1">(avg_clinic_visit*'Disease Projections'!G25*annual_adl_episodes)+('Disease Projections'!I25*avg_clinic_visit*annual_hydrocele_visits)+('Disease Projections'!K25*avg_clinic_visit*annual_lymphedema_visits)</f>
        <v>134141.62981137782</v>
      </c>
      <c r="P18" s="54">
        <f ca="1">'Disease Projections'!M25*yll*$U$21*$U$20</f>
        <v>37654.834597513451</v>
      </c>
      <c r="Q18" s="131">
        <f t="shared" ca="1" si="6"/>
        <v>24169.205463661285</v>
      </c>
      <c r="S18" s="1" t="s">
        <v>527</v>
      </c>
      <c r="T18" s="1"/>
      <c r="U18" s="209">
        <v>0.5</v>
      </c>
      <c r="W18" t="s">
        <v>818</v>
      </c>
    </row>
    <row r="19" spans="1:23">
      <c r="A19">
        <v>16</v>
      </c>
      <c r="B19">
        <v>2037</v>
      </c>
      <c r="C19" s="54">
        <f ca="1">('Disease Projections'!G26*annual_adl_episodes*ccc_adl)+('Disease Projections'!I26*annual_hydrocele_visits*ccc_hydrocele)+('Disease Projections'!K26*annual_lymphedema_visits*ccc_le)</f>
        <v>930529.99430006742</v>
      </c>
      <c r="D19" s="54">
        <f t="shared" ca="1" si="0"/>
        <v>579875.52840048354</v>
      </c>
      <c r="E19" s="131">
        <f ca="1">(('Disease Projections'!G26*annual_adl_episodes)+('Disease Projections'!I26*annual_hydrocele_visits)+('Disease Projections'!K26*annual_lymphedema_visits)*'Economic Costs'!$U$19)</f>
        <v>567429.95526145538</v>
      </c>
      <c r="F19" s="131">
        <f t="shared" ca="1" si="1"/>
        <v>353603.58844208758</v>
      </c>
      <c r="G19" s="54">
        <f ca="1">'Disease Projections'!G26*adl_episode_duration*annual_adl_episodes*min_daily_wage*$U$23+'Disease Projections'!K26*min_daily_wage*'Economic Costs'!$U$22*'Economic Costs'!$U$24+'Disease Projections'!I26*min_daily_wage*'Economic Costs'!$U$22*'Economic Costs'!$U$25</f>
        <v>1264602.0150888066</v>
      </c>
      <c r="H19" s="54">
        <f t="shared" ca="1" si="2"/>
        <v>788058.16707448056</v>
      </c>
      <c r="I19">
        <v>0</v>
      </c>
      <c r="J19" s="206">
        <f ca="1">('Disease Projections'!G26*adl_episode_duration*prod_loss_adl*annual_adl_episodes*Productive_pop_based_on_starting_age)+('Disease Projections'!I26*$U$22*prod_loss_hydrocele*Productive_pop_based_on_starting_age)+('Disease Projections'!K26*$U$22*prod_loss_lymphedema*Productive_pop_based_on_starting_age)</f>
        <v>929610.84843581938</v>
      </c>
      <c r="K19" s="54">
        <f t="shared" ca="1" si="3"/>
        <v>2441456.6318506785</v>
      </c>
      <c r="L19" s="54">
        <f t="shared" ca="1" si="4"/>
        <v>1521435.0565090368</v>
      </c>
      <c r="M19" s="54">
        <f>('Disease Projections'!I26+'Disease Projections'!K26)*365*'Economic Costs'!$U$26</f>
        <v>75203.889346728363</v>
      </c>
      <c r="N19" s="54">
        <f t="shared" si="5"/>
        <v>46864.577541648883</v>
      </c>
      <c r="O19" s="206">
        <f ca="1">(avg_clinic_visit*'Disease Projections'!G26*annual_adl_episodes)+('Disease Projections'!I26*avg_clinic_visit*annual_hydrocele_visits)+('Disease Projections'!K26*avg_clinic_visit*annual_lymphedema_visits)</f>
        <v>126531.08359042426</v>
      </c>
      <c r="P19" s="54">
        <f ca="1">'Disease Projections'!M26*yll*$U$21*$U$20</f>
        <v>35518.481702817742</v>
      </c>
      <c r="Q19" s="131">
        <f t="shared" ca="1" si="6"/>
        <v>22133.943528490567</v>
      </c>
      <c r="S19" t="s">
        <v>537</v>
      </c>
      <c r="U19" s="54">
        <v>5.2</v>
      </c>
      <c r="W19" t="s">
        <v>529</v>
      </c>
    </row>
    <row r="20" spans="1:23">
      <c r="A20">
        <v>17</v>
      </c>
      <c r="B20">
        <v>2038</v>
      </c>
      <c r="C20" s="54">
        <f ca="1">('Disease Projections'!G27*annual_adl_episodes*ccc_adl)+('Disease Projections'!I27*annual_hydrocele_visits*ccc_hydrocele)+('Disease Projections'!K27*annual_lymphedema_visits*ccc_le)</f>
        <v>873795.49541185121</v>
      </c>
      <c r="D20" s="54">
        <f t="shared" ca="1" si="0"/>
        <v>528660.64502924937</v>
      </c>
      <c r="E20" s="131">
        <f ca="1">(('Disease Projections'!G27*annual_adl_episodes)+('Disease Projections'!I27*annual_hydrocele_visits)+('Disease Projections'!K27*annual_lymphedema_visits)*'Economic Costs'!$U$19)</f>
        <v>532833.6989740514</v>
      </c>
      <c r="F20" s="131">
        <f t="shared" ca="1" si="1"/>
        <v>322373.15077960328</v>
      </c>
      <c r="G20" s="54">
        <f ca="1">'Disease Projections'!G27*adl_episode_duration*annual_adl_episodes*min_daily_wage*$U$23+'Disease Projections'!K27*min_daily_wage*'Economic Costs'!$U$22*'Economic Costs'!$U$24+'Disease Projections'!I27*min_daily_wage*'Economic Costs'!$U$22*'Economic Costs'!$U$25</f>
        <v>1187499.1145282944</v>
      </c>
      <c r="H20" s="54">
        <f t="shared" ca="1" si="2"/>
        <v>718456.49371572165</v>
      </c>
      <c r="I20">
        <v>0</v>
      </c>
      <c r="J20" s="206">
        <f ca="1">('Disease Projections'!G27*adl_episode_duration*prod_loss_adl*annual_adl_episodes*Productive_pop_based_on_starting_age)+('Disease Projections'!I27*$U$22*prod_loss_hydrocele*Productive_pop_based_on_starting_age)+('Disease Projections'!K27*$U$22*prod_loss_lymphedema*Productive_pop_based_on_starting_age)</f>
        <v>872932.38995504053</v>
      </c>
      <c r="K20" s="54">
        <f t="shared" ca="1" si="3"/>
        <v>2292600.7976338034</v>
      </c>
      <c r="L20" s="54">
        <f t="shared" ca="1" si="4"/>
        <v>1387061.1863252914</v>
      </c>
      <c r="M20" s="54">
        <f>('Disease Projections'!I27+'Disease Projections'!K27)*365*'Economic Costs'!$U$26</f>
        <v>70618.701332729062</v>
      </c>
      <c r="N20" s="54">
        <f t="shared" si="5"/>
        <v>42725.475690501145</v>
      </c>
      <c r="O20" s="206">
        <f ca="1">(avg_clinic_visit*'Disease Projections'!G27*annual_adl_episodes)+('Disease Projections'!I27*avg_clinic_visit*annual_hydrocele_visits)+('Disease Projections'!K27*avg_clinic_visit*annual_lymphedema_visits)</f>
        <v>118816.4718473762</v>
      </c>
      <c r="P20" s="54">
        <f ca="1">'Disease Projections'!M27*yll*$U$21*$U$20</f>
        <v>33352.916623751822</v>
      </c>
      <c r="Q20" s="131">
        <f t="shared" ca="1" si="6"/>
        <v>20179.063074259313</v>
      </c>
      <c r="S20" t="s">
        <v>547</v>
      </c>
      <c r="U20">
        <v>0.89</v>
      </c>
      <c r="W20" t="s">
        <v>530</v>
      </c>
    </row>
    <row r="21" spans="1:23">
      <c r="A21">
        <v>18</v>
      </c>
      <c r="B21">
        <v>2039</v>
      </c>
      <c r="C21" s="54">
        <f ca="1">('Disease Projections'!G28*annual_adl_episodes*ccc_adl)+('Disease Projections'!I28*annual_hydrocele_visits*ccc_hydrocele)+('Disease Projections'!K28*annual_lymphedema_visits*ccc_le)</f>
        <v>816802.79507438722</v>
      </c>
      <c r="D21" s="54">
        <f t="shared" ca="1" si="0"/>
        <v>479785.5573126027</v>
      </c>
      <c r="E21" s="131">
        <f ca="1">(('Disease Projections'!G28*annual_adl_episodes)+('Disease Projections'!I28*annual_hydrocele_visits)+('Disease Projections'!K28*annual_lymphedema_visits)*'Economic Costs'!$U$19)</f>
        <v>498079.99345052126</v>
      </c>
      <c r="F21" s="131">
        <f t="shared" ca="1" si="1"/>
        <v>292569.50231438963</v>
      </c>
      <c r="G21" s="54">
        <f ca="1">'Disease Projections'!G28*adl_episode_duration*annual_adl_episodes*min_daily_wage*$U$23+'Disease Projections'!K28*min_daily_wage*'Economic Costs'!$U$22*'Economic Costs'!$U$24+'Disease Projections'!I28*min_daily_wage*'Economic Costs'!$U$22*'Economic Costs'!$U$25</f>
        <v>1110045.3149371038</v>
      </c>
      <c r="H21" s="54">
        <f t="shared" ca="1" si="2"/>
        <v>652034.63220377301</v>
      </c>
      <c r="I21">
        <v>0</v>
      </c>
      <c r="J21" s="206">
        <f ca="1">('Disease Projections'!G28*adl_episode_duration*prod_loss_adl*annual_adl_episodes*Productive_pop_based_on_starting_age)+('Disease Projections'!I28*$U$22*prod_loss_hydrocele*Productive_pop_based_on_starting_age)+('Disease Projections'!K28*$U$22*prod_loss_lymphedema*Productive_pop_based_on_starting_age)</f>
        <v>815995.98506761948</v>
      </c>
      <c r="K21" s="54">
        <f t="shared" ca="1" si="3"/>
        <v>2143067.5133137819</v>
      </c>
      <c r="L21" s="54">
        <f t="shared" ca="1" si="4"/>
        <v>1258826.3010781517</v>
      </c>
      <c r="M21" s="54">
        <f>('Disease Projections'!I28+'Disease Projections'!K28)*365*'Economic Costs'!$U$26</f>
        <v>66012.645906247286</v>
      </c>
      <c r="N21" s="54">
        <f t="shared" si="5"/>
        <v>38775.472239812734</v>
      </c>
      <c r="O21" s="206">
        <f ca="1">(avg_clinic_visit*'Disease Projections'!G28*annual_adl_episodes)+('Disease Projections'!I28*avg_clinic_visit*annual_hydrocele_visits)+('Disease Projections'!K28*avg_clinic_visit*annual_lymphedema_visits)</f>
        <v>111066.75053305368</v>
      </c>
      <c r="P21" s="54">
        <f ca="1">'Disease Projections'!M28*yll*$U$21*$U$20</f>
        <v>31177.495953241316</v>
      </c>
      <c r="Q21" s="131">
        <f t="shared" ca="1" si="6"/>
        <v>18313.493001912426</v>
      </c>
      <c r="S21" t="s">
        <v>550</v>
      </c>
      <c r="U21" s="131">
        <f>'Country details'!C7</f>
        <v>548.19000000000005</v>
      </c>
      <c r="W21" t="s">
        <v>548</v>
      </c>
    </row>
    <row r="22" spans="1:23">
      <c r="A22">
        <v>19</v>
      </c>
      <c r="B22">
        <v>2040</v>
      </c>
      <c r="C22" s="54">
        <f ca="1">('Disease Projections'!G29*annual_adl_episodes*ccc_adl)+('Disease Projections'!I29*annual_hydrocele_visits*ccc_hydrocele)+('Disease Projections'!K29*annual_lymphedema_visits*ccc_le)</f>
        <v>760068.29618617089</v>
      </c>
      <c r="D22" s="54">
        <f t="shared" ca="1" si="0"/>
        <v>433456.32873772079</v>
      </c>
      <c r="E22" s="131">
        <f ca="1">(('Disease Projections'!G29*annual_adl_episodes)+('Disease Projections'!I29*annual_hydrocele_visits)+('Disease Projections'!K29*annual_lymphedema_visits)*'Economic Costs'!$U$19)</f>
        <v>463483.73716311739</v>
      </c>
      <c r="F22" s="131">
        <f t="shared" ca="1" si="1"/>
        <v>264318.29895869677</v>
      </c>
      <c r="G22" s="54">
        <f ca="1">'Disease Projections'!G29*adl_episode_duration*annual_adl_episodes*min_daily_wage*$U$23+'Disease Projections'!K29*min_daily_wage*'Economic Costs'!$U$22*'Economic Costs'!$U$24+'Disease Projections'!I29*min_daily_wage*'Economic Costs'!$U$22*'Economic Costs'!$U$25</f>
        <v>1032942.4143765913</v>
      </c>
      <c r="H22" s="54">
        <f t="shared" ca="1" si="2"/>
        <v>589072.62542034336</v>
      </c>
      <c r="I22">
        <v>0</v>
      </c>
      <c r="J22" s="206">
        <f ca="1">('Disease Projections'!G29*adl_episode_duration*prod_loss_adl*annual_adl_episodes*Productive_pop_based_on_starting_age)+('Disease Projections'!I29*$U$22*prod_loss_hydrocele*Productive_pop_based_on_starting_age)+('Disease Projections'!K29*$U$22*prod_loss_lymphedema*Productive_pop_based_on_starting_age)</f>
        <v>759317.52658684039</v>
      </c>
      <c r="K22" s="54">
        <f t="shared" ca="1" si="3"/>
        <v>1994211.6790969064</v>
      </c>
      <c r="L22" s="54">
        <f t="shared" ca="1" si="4"/>
        <v>1137271.0550941124</v>
      </c>
      <c r="M22" s="54">
        <f>('Disease Projections'!I29+'Disease Projections'!K29)*365*'Economic Costs'!$U$26</f>
        <v>61427.457892248</v>
      </c>
      <c r="N22" s="54">
        <f t="shared" si="5"/>
        <v>35031.220898526939</v>
      </c>
      <c r="O22" s="206">
        <f ca="1">(avg_clinic_visit*'Disease Projections'!G29*annual_adl_episodes)+('Disease Projections'!I29*avg_clinic_visit*annual_hydrocele_visits)+('Disease Projections'!K29*avg_clinic_visit*annual_lymphedema_visits)</f>
        <v>103352.13879000564</v>
      </c>
      <c r="P22" s="54">
        <f ca="1">'Disease Projections'!M29*yll*$U$21*$U$20</f>
        <v>29011.930874175381</v>
      </c>
      <c r="Q22" s="131">
        <f t="shared" ca="1" si="6"/>
        <v>16545.098788375697</v>
      </c>
      <c r="S22" t="s">
        <v>557</v>
      </c>
      <c r="U22" s="190">
        <v>300</v>
      </c>
    </row>
    <row r="23" spans="1:23">
      <c r="A23">
        <v>20</v>
      </c>
      <c r="B23">
        <v>2041</v>
      </c>
      <c r="C23" s="54">
        <f ca="1">('Disease Projections'!G30*annual_adl_episodes*ccc_adl)+('Disease Projections'!I30*annual_hydrocele_visits*ccc_hydrocele)+('Disease Projections'!K30*annual_lymphedema_visits*ccc_le)</f>
        <v>704099.11193000898</v>
      </c>
      <c r="D23" s="54">
        <f t="shared" ca="1" si="0"/>
        <v>389842.60681977641</v>
      </c>
      <c r="E23" s="131">
        <f ca="1">(('Disease Projections'!G30*annual_adl_episodes)+('Disease Projections'!I30*annual_hydrocele_visits)+('Disease Projections'!K30*annual_lymphedema_visits)*'Economic Costs'!$U$19)</f>
        <v>429354.16378769639</v>
      </c>
      <c r="F23" s="131">
        <f t="shared" ca="1" si="1"/>
        <v>237722.99044819598</v>
      </c>
      <c r="G23" s="54">
        <f ca="1">'Disease Projections'!G30*adl_episode_duration*annual_adl_episodes*min_daily_wage*$U$23+'Disease Projections'!K30*min_daily_wage*'Economic Costs'!$U$22*'Economic Costs'!$U$24+'Disease Projections'!I30*min_daily_wage*'Economic Costs'!$U$22*'Economic Costs'!$U$25</f>
        <v>956879.5860671635</v>
      </c>
      <c r="H23" s="54">
        <f t="shared" ca="1" si="2"/>
        <v>529801.02648124471</v>
      </c>
      <c r="I23">
        <v>0</v>
      </c>
      <c r="J23" s="206">
        <f ca="1">('Disease Projections'!G30*adl_episode_duration*prod_loss_adl*annual_adl_episodes*Productive_pop_based_on_starting_age)+('Disease Projections'!I30*$U$22*prod_loss_hydrocele*Productive_pop_based_on_starting_age)+('Disease Projections'!K30*$U$22*prod_loss_lymphedema*Productive_pop_based_on_starting_age)</f>
        <v>703403.62678636448</v>
      </c>
      <c r="K23" s="54">
        <f t="shared" ca="1" si="3"/>
        <v>1847363.8215119797</v>
      </c>
      <c r="L23" s="54">
        <f t="shared" ca="1" si="4"/>
        <v>1022840.5571321952</v>
      </c>
      <c r="M23" s="54">
        <f>('Disease Projections'!I30+'Disease Projections'!K30)*365*'Economic Costs'!$U$26</f>
        <v>56904.121336296259</v>
      </c>
      <c r="N23" s="54">
        <f t="shared" si="5"/>
        <v>31506.432297184547</v>
      </c>
      <c r="O23" s="206">
        <f ca="1">(avg_clinic_visit*'Disease Projections'!G30*annual_adl_episodes)+('Disease Projections'!I30*avg_clinic_visit*annual_hydrocele_visits)+('Disease Projections'!K30*avg_clinic_visit*annual_lymphedema_visits)</f>
        <v>95741.592569052096</v>
      </c>
      <c r="P23" s="54">
        <f ca="1">'Disease Projections'!M30*yll*$U$21*$U$20</f>
        <v>26875.577979479676</v>
      </c>
      <c r="Q23" s="131">
        <f t="shared" ca="1" si="6"/>
        <v>14880.355906982066</v>
      </c>
      <c r="S23" t="s">
        <v>558</v>
      </c>
      <c r="U23">
        <v>0.6</v>
      </c>
      <c r="V23">
        <f>59849/(8*250)</f>
        <v>29.924499999999998</v>
      </c>
      <c r="W23" t="s">
        <v>561</v>
      </c>
    </row>
    <row r="24" spans="1:23">
      <c r="A24">
        <v>21</v>
      </c>
      <c r="B24">
        <v>2042</v>
      </c>
      <c r="C24" s="54">
        <f ca="1">('Disease Projections'!G31*annual_adl_episodes*ccc_adl)+('Disease Projections'!I31*annual_hydrocele_visits*ccc_hydrocele)+('Disease Projections'!K31*annual_lymphedema_visits*ccc_le)</f>
        <v>649375.18891473021</v>
      </c>
      <c r="D24" s="54">
        <f t="shared" ca="1" si="0"/>
        <v>349071.16259442433</v>
      </c>
      <c r="E24" s="131">
        <f ca="1">(('Disease Projections'!G31*annual_adl_episodes)+('Disease Projections'!I31*annual_hydrocele_visits)+('Disease Projections'!K31*annual_lymphedema_visits)*'Economic Costs'!$U$19)</f>
        <v>395983.94103453541</v>
      </c>
      <c r="F24" s="131">
        <f t="shared" ca="1" si="1"/>
        <v>212860.88077473166</v>
      </c>
      <c r="G24" s="54">
        <f ca="1">'Disease Projections'!G31*adl_episode_duration*annual_adl_episodes*min_daily_wage*$U$23+'Disease Projections'!K31*min_daily_wage*'Economic Costs'!$U$22*'Economic Costs'!$U$24+'Disease Projections'!I31*min_daily_wage*'Economic Costs'!$U$22*'Economic Costs'!$U$25</f>
        <v>882509.08351206779</v>
      </c>
      <c r="H24" s="54">
        <f t="shared" ca="1" si="2"/>
        <v>474392.11882508296</v>
      </c>
      <c r="I24">
        <v>0</v>
      </c>
      <c r="J24" s="206">
        <f ca="1">('Disease Projections'!G31*adl_episode_duration*prod_loss_adl*annual_adl_episodes*Productive_pop_based_on_starting_age)+('Disease Projections'!I31*$U$22*prod_loss_hydrocele*Productive_pop_based_on_starting_age)+('Disease Projections'!K31*$U$22*prod_loss_lymphedema*Productive_pop_based_on_starting_age)</f>
        <v>648733.75820009178</v>
      </c>
      <c r="K24" s="54">
        <f t="shared" ca="1" si="3"/>
        <v>1703783.189415284</v>
      </c>
      <c r="L24" s="54">
        <f t="shared" ca="1" si="4"/>
        <v>915867.41977622011</v>
      </c>
      <c r="M24" s="54">
        <f>('Disease Projections'!I31+'Disease Projections'!K31)*365*'Economic Costs'!$U$26</f>
        <v>52481.424726548066</v>
      </c>
      <c r="N24" s="54">
        <f t="shared" si="5"/>
        <v>28211.351860431914</v>
      </c>
      <c r="O24" s="206">
        <f ca="1">(avg_clinic_visit*'Disease Projections'!G31*annual_adl_episodes)+('Disease Projections'!I31*avg_clinic_visit*annual_hydrocele_visits)+('Disease Projections'!K31*avg_clinic_visit*annual_lymphedema_visits)</f>
        <v>88300.37377991408</v>
      </c>
      <c r="P24" s="54">
        <f ca="1">'Disease Projections'!M31*yll*$U$21*$U$20</f>
        <v>24786.756909518772</v>
      </c>
      <c r="Q24" s="131">
        <f t="shared" ca="1" si="6"/>
        <v>13324.103228845783</v>
      </c>
      <c r="S24" t="s">
        <v>559</v>
      </c>
      <c r="U24">
        <v>0.06</v>
      </c>
      <c r="W24" s="211" t="s">
        <v>560</v>
      </c>
    </row>
    <row r="25" spans="1:23">
      <c r="A25">
        <v>22</v>
      </c>
      <c r="B25">
        <v>2043</v>
      </c>
      <c r="C25" s="54">
        <f ca="1">('Disease Projections'!G32*annual_adl_episodes*ccc_adl)+('Disease Projections'!I32*annual_hydrocele_visits*ccc_hydrocele)+('Disease Projections'!K32*annual_lymphedema_visits*ccc_le)</f>
        <v>596333.44813826261</v>
      </c>
      <c r="D25" s="54">
        <f t="shared" ca="1" si="0"/>
        <v>311221.95460881351</v>
      </c>
      <c r="E25" s="131">
        <f ca="1">(('Disease Projections'!G32*annual_adl_episodes)+('Disease Projections'!I32*annual_hydrocele_visits)+('Disease Projections'!K32*annual_lymphedema_visits)*'Economic Costs'!$U$19)</f>
        <v>363639.49993092578</v>
      </c>
      <c r="F25" s="131">
        <f t="shared" ca="1" si="1"/>
        <v>189780.72803864363</v>
      </c>
      <c r="G25" s="54">
        <f ca="1">'Disease Projections'!G32*adl_episode_duration*annual_adl_episodes*min_daily_wage*$U$23+'Disease Projections'!K32*min_daily_wage*'Economic Costs'!$U$22*'Economic Costs'!$U$24+'Disease Projections'!I32*min_daily_wage*'Economic Costs'!$U$22*'Economic Costs'!$U$25</f>
        <v>810424.68786591431</v>
      </c>
      <c r="H25" s="54">
        <f t="shared" ca="1" si="2"/>
        <v>422954.56712733081</v>
      </c>
      <c r="I25">
        <v>0</v>
      </c>
      <c r="J25" s="206">
        <f ca="1">('Disease Projections'!G32*adl_episode_duration*prod_loss_adl*annual_adl_episodes*Productive_pop_based_on_starting_age)+('Disease Projections'!I32*$U$22*prod_loss_hydrocele*Productive_pop_based_on_starting_age)+('Disease Projections'!K32*$U$22*prod_loss_lymphedema*Productive_pop_based_on_starting_age)</f>
        <v>595744.41025025607</v>
      </c>
      <c r="K25" s="54">
        <f t="shared" ca="1" si="3"/>
        <v>1564616.1442078706</v>
      </c>
      <c r="L25" s="54">
        <f t="shared" ca="1" si="4"/>
        <v>816561.43242191372</v>
      </c>
      <c r="M25" s="54">
        <f>('Disease Projections'!I32+'Disease Projections'!K32)*365*'Economic Costs'!$U$26</f>
        <v>48194.679292714143</v>
      </c>
      <c r="N25" s="54">
        <f t="shared" si="5"/>
        <v>25152.441705308742</v>
      </c>
      <c r="O25" s="206">
        <f ca="1">(avg_clinic_visit*'Disease Projections'!G32*annual_adl_episodes)+('Disease Projections'!I32*avg_clinic_visit*annual_hydrocele_visits)+('Disease Projections'!K32*avg_clinic_visit*annual_lymphedema_visits)</f>
        <v>81087.893820020792</v>
      </c>
      <c r="P25" s="54">
        <f ca="1">'Disease Projections'!M32*yll*$U$21*$U$20</f>
        <v>22762.1450100693</v>
      </c>
      <c r="Q25" s="131">
        <f t="shared" ca="1" si="6"/>
        <v>11879.392784757132</v>
      </c>
      <c r="S25" t="s">
        <v>562</v>
      </c>
      <c r="U25">
        <v>5.0000000000000001E-3</v>
      </c>
    </row>
    <row r="26" spans="1:23">
      <c r="A26">
        <v>23</v>
      </c>
      <c r="B26">
        <v>2044</v>
      </c>
      <c r="C26" s="54">
        <f ca="1">('Disease Projections'!G33*annual_adl_episodes*ccc_adl)+('Disease Projections'!I33*annual_hydrocele_visits*ccc_hydrocele)+('Disease Projections'!K33*annual_lymphedema_visits*ccc_le)</f>
        <v>545355.00659573637</v>
      </c>
      <c r="D26" s="54">
        <f t="shared" ca="1" si="0"/>
        <v>276326.88180688134</v>
      </c>
      <c r="E26" s="131">
        <f ca="1">(('Disease Projections'!G33*annual_adl_episodes)+('Disease Projections'!I33*annual_hydrocele_visits)+('Disease Projections'!K33*annual_lymphedema_visits)*'Economic Costs'!$U$19)</f>
        <v>332553.24265715282</v>
      </c>
      <c r="F26" s="131">
        <f t="shared" ca="1" si="1"/>
        <v>168501.98396791727</v>
      </c>
      <c r="G26" s="54">
        <f ca="1">'Disease Projections'!G33*adl_episode_duration*annual_adl_episodes*min_daily_wage*$U$23+'Disease Projections'!K33*min_daily_wage*'Economic Costs'!$U$22*'Economic Costs'!$U$24+'Disease Projections'!I33*min_daily_wage*'Economic Costs'!$U$22*'Economic Costs'!$U$25</f>
        <v>741144.3419386911</v>
      </c>
      <c r="H26" s="54">
        <f t="shared" ca="1" si="2"/>
        <v>375531.72245569085</v>
      </c>
      <c r="I26">
        <v>0</v>
      </c>
      <c r="J26" s="206">
        <f ca="1">('Disease Projections'!G33*adl_episode_duration*prod_loss_adl*annual_adl_episodes*Productive_pop_based_on_starting_age)+('Disease Projections'!I33*$U$22*prod_loss_hydrocele*Productive_pop_based_on_starting_age)+('Disease Projections'!K33*$U$22*prod_loss_lymphedema*Productive_pop_based_on_starting_age)</f>
        <v>544816.32347758859</v>
      </c>
      <c r="K26" s="54">
        <f t="shared" ca="1" si="3"/>
        <v>1430862.6328242519</v>
      </c>
      <c r="L26" s="54">
        <f t="shared" ca="1" si="4"/>
        <v>725006.28918843635</v>
      </c>
      <c r="M26" s="54">
        <f>('Disease Projections'!I33+'Disease Projections'!K33)*365*'Economic Costs'!$U$26</f>
        <v>44074.686277640503</v>
      </c>
      <c r="N26" s="54">
        <f t="shared" si="5"/>
        <v>22332.279851507938</v>
      </c>
      <c r="O26" s="206">
        <f ca="1">(avg_clinic_visit*'Disease Projections'!G33*annual_adl_episodes)+('Disease Projections'!I33*avg_clinic_visit*annual_hydrocele_visits)+('Disease Projections'!K33*avg_clinic_visit*annual_lymphedema_visits)</f>
        <v>74155.976001531963</v>
      </c>
      <c r="P26" s="54">
        <f ca="1">'Disease Projections'!M33*yll*$U$21*$U$20</f>
        <v>20816.289579016429</v>
      </c>
      <c r="Q26" s="131">
        <f t="shared" ca="1" si="6"/>
        <v>10547.442162610667</v>
      </c>
      <c r="S26" t="s">
        <v>566</v>
      </c>
      <c r="U26">
        <v>0.01</v>
      </c>
      <c r="W26" t="s">
        <v>567</v>
      </c>
    </row>
    <row r="27" spans="1:23">
      <c r="A27">
        <v>24</v>
      </c>
      <c r="B27">
        <v>2045</v>
      </c>
      <c r="C27" s="54">
        <f ca="1">('Disease Projections'!G34*annual_adl_episodes*ccc_adl)+('Disease Projections'!I34*annual_hydrocele_visits*ccc_hydrocele)+('Disease Projections'!K34*annual_lymphedema_visits*ccc_le)</f>
        <v>496756.17460440675</v>
      </c>
      <c r="D27" s="54">
        <f t="shared" ca="1" si="0"/>
        <v>244371.12102286756</v>
      </c>
      <c r="E27" s="131">
        <f ca="1">(('Disease Projections'!G34*annual_adl_episodes)+('Disease Projections'!I34*annual_hydrocele_visits)+('Disease Projections'!K34*annual_lymphedema_visits)*'Economic Costs'!$U$19)</f>
        <v>302918.05278523284</v>
      </c>
      <c r="F27" s="131">
        <f t="shared" ca="1" si="1"/>
        <v>149015.60951132834</v>
      </c>
      <c r="G27" s="54">
        <f ca="1">'Disease Projections'!G34*adl_episode_duration*annual_adl_episodes*min_daily_wage*$U$23+'Disease Projections'!K34*min_daily_wage*'Economic Costs'!$U$22*'Economic Costs'!$U$24+'Disease Projections'!I34*min_daily_wage*'Economic Costs'!$U$22*'Economic Costs'!$U$25</f>
        <v>675097.91544662975</v>
      </c>
      <c r="H27" s="54">
        <f t="shared" ca="1" si="2"/>
        <v>332103.43994067481</v>
      </c>
      <c r="I27">
        <v>0</v>
      </c>
      <c r="J27" s="206">
        <f ca="1">('Disease Projections'!G34*adl_episode_duration*prod_loss_adl*annual_adl_episodes*Productive_pop_based_on_starting_age)+('Disease Projections'!I34*$U$22*prod_loss_hydrocele*Productive_pop_based_on_starting_age)+('Disease Projections'!K34*$U$22*prod_loss_lymphedema*Productive_pop_based_on_starting_age)</f>
        <v>496265.49575877655</v>
      </c>
      <c r="K27" s="54">
        <f t="shared" ca="1" si="3"/>
        <v>1303352.5671711003</v>
      </c>
      <c r="L27" s="54">
        <f t="shared" ca="1" si="4"/>
        <v>641163.09813617077</v>
      </c>
      <c r="M27" s="54">
        <f>('Disease Projections'!I34+'Disease Projections'!K34)*365*'Economic Costs'!$U$26</f>
        <v>40147.009356054208</v>
      </c>
      <c r="N27" s="54">
        <f t="shared" si="5"/>
        <v>19749.66831538099</v>
      </c>
      <c r="O27" s="206">
        <f ca="1">(avg_clinic_visit*'Disease Projections'!G34*annual_adl_episodes)+('Disease Projections'!I34*avg_clinic_visit*annual_hydrocele_visits)+('Disease Projections'!K34*avg_clinic_visit*annual_lymphedema_visits)</f>
        <v>67547.631390655341</v>
      </c>
      <c r="P27" s="54">
        <f ca="1">'Disease Projections'!M34*yll*$U$21*$U$20</f>
        <v>18961.264232777325</v>
      </c>
      <c r="Q27" s="131">
        <f t="shared" ca="1" si="6"/>
        <v>9327.6855597508511</v>
      </c>
    </row>
    <row r="28" spans="1:23">
      <c r="A28">
        <v>25</v>
      </c>
      <c r="B28">
        <v>2046</v>
      </c>
      <c r="C28" s="54">
        <f ca="1">('Disease Projections'!G35*annual_adl_episodes*ccc_adl)+('Disease Projections'!I35*annual_hydrocele_visits*ccc_hydrocele)+('Disease Projections'!K35*annual_lymphedema_visits*ccc_le)</f>
        <v>450783.50575978594</v>
      </c>
      <c r="D28" s="54">
        <f t="shared" ca="1" si="0"/>
        <v>215296.7128821692</v>
      </c>
      <c r="E28" s="131">
        <f ca="1">(('Disease Projections'!G35*annual_adl_episodes)+('Disease Projections'!I35*annual_hydrocele_visits)+('Disease Projections'!K35*annual_lymphedema_visits)*'Economic Costs'!$U$19)</f>
        <v>274884.27678065101</v>
      </c>
      <c r="F28" s="131">
        <f t="shared" ca="1" si="1"/>
        <v>131286.26149290244</v>
      </c>
      <c r="G28" s="54">
        <f ca="1">'Disease Projections'!G35*adl_episode_duration*annual_adl_episodes*min_daily_wage*$U$23+'Disease Projections'!K35*min_daily_wage*'Economic Costs'!$U$22*'Economic Costs'!$U$24+'Disease Projections'!I35*min_daily_wage*'Economic Costs'!$U$22*'Economic Costs'!$U$25</f>
        <v>612620.47784006677</v>
      </c>
      <c r="H28" s="54">
        <f t="shared" ca="1" si="2"/>
        <v>292590.95206015505</v>
      </c>
      <c r="I28">
        <v>0</v>
      </c>
      <c r="J28" s="206">
        <f ca="1">('Disease Projections'!G35*adl_episode_duration*prod_loss_adl*annual_adl_episodes*Productive_pop_based_on_starting_age)+('Disease Projections'!I35*$U$22*prod_loss_hydrocele*Productive_pop_based_on_starting_age)+('Disease Projections'!K35*$U$22*prod_loss_lymphedema*Productive_pop_based_on_starting_age)</f>
        <v>450338.23715208028</v>
      </c>
      <c r="K28" s="54">
        <f t="shared" ca="1" si="3"/>
        <v>1182732.8365637059</v>
      </c>
      <c r="L28" s="54">
        <f t="shared" ca="1" si="4"/>
        <v>564879.78969146626</v>
      </c>
      <c r="M28" s="54">
        <f>('Disease Projections'!I35+'Disease Projections'!K35)*365*'Economic Costs'!$U$26</f>
        <v>36431.574580235727</v>
      </c>
      <c r="N28" s="54">
        <f t="shared" si="5"/>
        <v>17399.922916492094</v>
      </c>
      <c r="O28" s="206">
        <f ca="1">(avg_clinic_visit*'Disease Projections'!G35*annual_adl_episodes)+('Disease Projections'!I35*avg_clinic_visit*annual_hydrocele_visits)+('Disease Projections'!K35*avg_clinic_visit*annual_lymphedema_visits)</f>
        <v>61296.385713368974</v>
      </c>
      <c r="P28" s="54">
        <f ca="1">'Disease Projections'!M35*yll*$U$21*$U$20</f>
        <v>17206.479962319077</v>
      </c>
      <c r="Q28" s="131">
        <f t="shared" ca="1" si="6"/>
        <v>8217.9106573927438</v>
      </c>
    </row>
    <row r="29" spans="1:23">
      <c r="A29">
        <v>26</v>
      </c>
      <c r="B29">
        <v>2047</v>
      </c>
      <c r="C29" s="54">
        <f ca="1">('Disease Projections'!G36*annual_adl_episodes*ccc_adl)+('Disease Projections'!I36*annual_hydrocele_visits*ccc_hydrocele)+('Disease Projections'!K36*annual_lymphedema_visits*ccc_le)</f>
        <v>407612.77484551212</v>
      </c>
      <c r="D29" s="54">
        <f t="shared" ca="1" si="0"/>
        <v>189007.89453244224</v>
      </c>
      <c r="E29" s="131">
        <f ca="1">(('Disease Projections'!G36*annual_adl_episodes)+('Disease Projections'!I36*annual_hydrocele_visits)+('Disease Projections'!K36*annual_lymphedema_visits)*'Economic Costs'!$U$19)</f>
        <v>248559.10073974699</v>
      </c>
      <c r="F29" s="131">
        <f t="shared" ca="1" si="1"/>
        <v>115255.54446987675</v>
      </c>
      <c r="G29" s="54">
        <f ca="1">'Disease Projections'!G36*adl_episode_duration*annual_adl_episodes*min_daily_wage*$U$23+'Disease Projections'!K36*min_daily_wage*'Economic Costs'!$U$22*'Economic Costs'!$U$24+'Disease Projections'!I36*min_daily_wage*'Economic Costs'!$U$22*'Economic Costs'!$U$25</f>
        <v>553950.90927004768</v>
      </c>
      <c r="H29" s="54">
        <f t="shared" ca="1" si="2"/>
        <v>256864.11588828647</v>
      </c>
      <c r="I29">
        <v>0</v>
      </c>
      <c r="J29" s="206">
        <f ca="1">('Disease Projections'!G36*adl_episode_duration*prod_loss_adl*annual_adl_episodes*Productive_pop_based_on_starting_age)+('Disease Projections'!I36*$U$22*prod_loss_hydrocele*Productive_pop_based_on_starting_age)+('Disease Projections'!K36*$U$22*prod_loss_lymphedema*Productive_pop_based_on_starting_age)</f>
        <v>407210.1488167877</v>
      </c>
      <c r="K29" s="54">
        <f t="shared" ca="1" si="3"/>
        <v>1069464.6260405458</v>
      </c>
      <c r="L29" s="54">
        <f t="shared" ca="1" si="4"/>
        <v>495905.10827699298</v>
      </c>
      <c r="M29" s="54">
        <f>('Disease Projections'!I36+'Disease Projections'!K36)*365*'Economic Costs'!$U$26</f>
        <v>32942.587776391221</v>
      </c>
      <c r="N29" s="54">
        <f t="shared" si="5"/>
        <v>15275.304260092737</v>
      </c>
      <c r="O29" s="206">
        <f ca="1">(avg_clinic_visit*'Disease Projections'!G36*annual_adl_episodes)+('Disease Projections'!I36*avg_clinic_visit*annual_hydrocele_visits)+('Disease Projections'!K36*avg_clinic_visit*annual_lymphedema_visits)</f>
        <v>55426.140374224939</v>
      </c>
      <c r="P29" s="54">
        <f ca="1">'Disease Projections'!M36*yll*$U$21*$U$20</f>
        <v>15558.646119811639</v>
      </c>
      <c r="Q29" s="131">
        <f t="shared" ca="1" si="6"/>
        <v>7214.4621718382032</v>
      </c>
    </row>
    <row r="30" spans="1:23">
      <c r="A30">
        <v>27</v>
      </c>
      <c r="B30">
        <v>2048</v>
      </c>
      <c r="C30" s="54">
        <f ca="1">('Disease Projections'!G37*annual_adl_episodes*ccc_adl)+('Disease Projections'!I37*annual_hydrocele_visits*ccc_hydrocele)+('Disease Projections'!K37*annual_lymphedema_visits*ccc_le)</f>
        <v>367351.42876737262</v>
      </c>
      <c r="D30" s="54">
        <f t="shared" ca="1" si="0"/>
        <v>165377.59285090491</v>
      </c>
      <c r="E30" s="131">
        <f ca="1">(('Disease Projections'!G37*annual_adl_episodes)+('Disease Projections'!I37*annual_hydrocele_visits)+('Disease Projections'!K37*annual_lymphedema_visits)*'Economic Costs'!$U$19)</f>
        <v>224008.04495022481</v>
      </c>
      <c r="F30" s="131">
        <f t="shared" ca="1" si="1"/>
        <v>100845.97024002598</v>
      </c>
      <c r="G30" s="54">
        <f ca="1">'Disease Projections'!G37*adl_episode_duration*annual_adl_episodes*min_daily_wage*$U$23+'Disease Projections'!K37*min_daily_wage*'Economic Costs'!$U$22*'Economic Costs'!$U$24+'Disease Projections'!I37*min_daily_wage*'Economic Costs'!$U$22*'Economic Costs'!$U$25</f>
        <v>499235.23143861961</v>
      </c>
      <c r="H30" s="54">
        <f t="shared" ca="1" si="2"/>
        <v>224750.23744624219</v>
      </c>
      <c r="I30">
        <v>0</v>
      </c>
      <c r="J30" s="206">
        <f ca="1">('Disease Projections'!G37*adl_episode_duration*prod_loss_adl*annual_adl_episodes*Productive_pop_based_on_starting_age)+('Disease Projections'!I37*$U$22*prod_loss_hydrocele*Productive_pop_based_on_starting_age)+('Disease Projections'!K37*$U$22*prod_loss_lymphedema*Productive_pop_based_on_starting_age)</f>
        <v>366988.57152628904</v>
      </c>
      <c r="K30" s="54">
        <f t="shared" ca="1" si="3"/>
        <v>963829.84694495483</v>
      </c>
      <c r="L30" s="54">
        <f t="shared" ca="1" si="4"/>
        <v>433905.64871479257</v>
      </c>
      <c r="M30" s="54">
        <f>('Disease Projections'!I37+'Disease Projections'!K37)*365*'Economic Costs'!$U$26</f>
        <v>29688.732625071545</v>
      </c>
      <c r="N30" s="54">
        <f t="shared" si="5"/>
        <v>13365.542507356491</v>
      </c>
      <c r="O30" s="206">
        <f ca="1">(avg_clinic_visit*'Disease Projections'!G37*annual_adl_episodes)+('Disease Projections'!I37*avg_clinic_visit*annual_hydrocele_visits)+('Disease Projections'!K37*avg_clinic_visit*annual_lymphedema_visits)</f>
        <v>49951.505728075841</v>
      </c>
      <c r="P30" s="54">
        <f ca="1">'Disease Projections'!M37*yll*$U$21*$U$20</f>
        <v>14021.863971179389</v>
      </c>
      <c r="Q30" s="131">
        <f t="shared" ca="1" si="6"/>
        <v>6312.4897012580714</v>
      </c>
    </row>
    <row r="31" spans="1:23">
      <c r="A31">
        <v>28</v>
      </c>
      <c r="B31">
        <v>2049</v>
      </c>
      <c r="C31" s="54">
        <f ca="1">('Disease Projections'!G38*annual_adl_episodes*ccc_adl)+('Disease Projections'!I38*annual_hydrocele_visits*ccc_hydrocele)+('Disease Projections'!K38*annual_lymphedema_visits*ccc_le)</f>
        <v>330043.83018663875</v>
      </c>
      <c r="D31" s="54">
        <f t="shared" ca="1" si="0"/>
        <v>144254.48570190737</v>
      </c>
      <c r="E31" s="131">
        <f ca="1">(('Disease Projections'!G38*annual_adl_episodes)+('Disease Projections'!I38*annual_hydrocele_visits)+('Disease Projections'!K38*annual_lymphedema_visits)*'Economic Costs'!$U$19)</f>
        <v>201258.16141798947</v>
      </c>
      <c r="F31" s="131">
        <f t="shared" ca="1" si="1"/>
        <v>87965.263741624251</v>
      </c>
      <c r="G31" s="54">
        <f ca="1">'Disease Projections'!G38*adl_episode_duration*annual_adl_episodes*min_daily_wage*$U$23+'Disease Projections'!K38*min_daily_wage*'Economic Costs'!$U$22*'Economic Costs'!$U$24+'Disease Projections'!I38*min_daily_wage*'Economic Costs'!$U$22*'Economic Costs'!$U$25</f>
        <v>448533.73376276228</v>
      </c>
      <c r="H31" s="54">
        <f t="shared" ca="1" si="2"/>
        <v>196043.66804043623</v>
      </c>
      <c r="I31">
        <v>0</v>
      </c>
      <c r="J31" s="206">
        <f ca="1">('Disease Projections'!G38*adl_episode_duration*prod_loss_adl*annual_adl_episodes*Productive_pop_based_on_starting_age)+('Disease Projections'!I38*$U$22*prod_loss_hydrocele*Productive_pop_based_on_starting_age)+('Disease Projections'!K38*$U$22*prod_loss_lymphedema*Productive_pop_based_on_starting_age)</f>
        <v>329717.82412192842</v>
      </c>
      <c r="K31" s="54">
        <f t="shared" ca="1" si="3"/>
        <v>865944.89478726708</v>
      </c>
      <c r="L31" s="54">
        <f t="shared" ca="1" si="4"/>
        <v>378484.38303812448</v>
      </c>
      <c r="M31" s="54">
        <f>('Disease Projections'!I38+'Disease Projections'!K38)*365*'Economic Costs'!$U$26</f>
        <v>26673.594442913258</v>
      </c>
      <c r="N31" s="54">
        <f t="shared" si="5"/>
        <v>11658.408054493233</v>
      </c>
      <c r="O31" s="206">
        <f ca="1">(avg_clinic_visit*'Disease Projections'!G38*annual_adl_episodes)+('Disease Projections'!I38*avg_clinic_visit*annual_hydrocele_visits)+('Disease Projections'!K38*avg_clinic_visit*annual_lymphedema_visits)</f>
        <v>44878.514095895749</v>
      </c>
      <c r="P31" s="54">
        <f ca="1">'Disease Projections'!M38*yll*$U$21*$U$20</f>
        <v>12597.826846441036</v>
      </c>
      <c r="Q31" s="131">
        <f t="shared" ca="1" si="6"/>
        <v>5506.2172550456698</v>
      </c>
      <c r="S31" t="s">
        <v>576</v>
      </c>
      <c r="T31" s="54">
        <v>14935151</v>
      </c>
      <c r="U31" t="s">
        <v>578</v>
      </c>
    </row>
    <row r="32" spans="1:23">
      <c r="A32">
        <v>29</v>
      </c>
      <c r="B32">
        <v>2050</v>
      </c>
      <c r="C32" s="54">
        <f ca="1">('Disease Projections'!G39*annual_adl_episodes*ccc_adl)+('Disease Projections'!I39*annual_hydrocele_visits*ccc_hydrocele)+('Disease Projections'!K39*annual_lymphedema_visits*ccc_le)</f>
        <v>295678.50285068597</v>
      </c>
      <c r="D32" s="54">
        <f t="shared" ca="1" si="0"/>
        <v>125470.09709540803</v>
      </c>
      <c r="E32" s="131">
        <f ca="1">(('Disease Projections'!G39*annual_adl_episodes)+('Disease Projections'!I39*annual_hydrocele_visits)+('Disease Projections'!K39*annual_lymphedema_visits)*'Economic Costs'!$U$19)</f>
        <v>180302.45201342314</v>
      </c>
      <c r="F32" s="131">
        <f t="shared" ca="1" si="1"/>
        <v>76510.689625915984</v>
      </c>
      <c r="G32" s="54">
        <f ca="1">'Disease Projections'!G39*adl_episode_duration*annual_adl_episodes*min_daily_wage*$U$23+'Disease Projections'!K39*min_daily_wage*'Economic Costs'!$U$22*'Economic Costs'!$U$24+'Disease Projections'!I39*min_daily_wage*'Economic Costs'!$U$22*'Economic Costs'!$U$25</f>
        <v>401830.81987021107</v>
      </c>
      <c r="H32" s="54">
        <f t="shared" ca="1" si="2"/>
        <v>170515.44667250681</v>
      </c>
      <c r="I32">
        <v>0</v>
      </c>
      <c r="J32" s="206">
        <f ca="1">('Disease Projections'!G39*adl_episode_duration*prod_loss_adl*annual_adl_episodes*Productive_pop_based_on_starting_age)+('Disease Projections'!I39*$U$22*prod_loss_hydrocele*Productive_pop_based_on_starting_age)+('Disease Projections'!K39*$U$22*prod_loss_lymphedema*Productive_pop_based_on_starting_age)</f>
        <v>295386.44168693305</v>
      </c>
      <c r="K32" s="54">
        <f t="shared" ca="1" si="3"/>
        <v>775779.65901408729</v>
      </c>
      <c r="L32" s="54">
        <f t="shared" ca="1" si="4"/>
        <v>329199.27625003614</v>
      </c>
      <c r="M32" s="54">
        <f>('Disease Projections'!I39+'Disease Projections'!K39)*365*'Economic Costs'!$U$26</f>
        <v>23896.245738231206</v>
      </c>
      <c r="N32" s="54">
        <f t="shared" si="5"/>
        <v>10140.284951678366</v>
      </c>
      <c r="O32" s="206">
        <f ca="1">(avg_clinic_visit*'Disease Projections'!G39*annual_adl_episodes)+('Disease Projections'!I39*avg_clinic_visit*annual_hydrocele_visits)+('Disease Projections'!K39*avg_clinic_visit*annual_lymphedema_visits)</f>
        <v>40205.604966267478</v>
      </c>
      <c r="P32" s="54">
        <f ca="1">'Disease Projections'!M39*yll*$U$21*$U$20</f>
        <v>11286.096695161494</v>
      </c>
      <c r="Q32" s="131">
        <f t="shared" ca="1" si="6"/>
        <v>4789.214077173453</v>
      </c>
      <c r="S32" t="s">
        <v>577</v>
      </c>
      <c r="T32" s="54">
        <v>30451557</v>
      </c>
      <c r="U32" t="s">
        <v>579</v>
      </c>
    </row>
    <row r="33" spans="1:17">
      <c r="A33">
        <v>30</v>
      </c>
      <c r="B33">
        <v>2051</v>
      </c>
      <c r="C33" s="54">
        <f ca="1">('Disease Projections'!G40*annual_adl_episodes*ccc_adl)+('Disease Projections'!I40*annual_hydrocele_visits*ccc_hydrocele)+('Disease Projections'!K40*annual_lymphedema_visits*ccc_le)</f>
        <v>264196.58128421602</v>
      </c>
      <c r="D33" s="54">
        <f t="shared" ca="1" si="0"/>
        <v>108845.49339846506</v>
      </c>
      <c r="E33" s="131">
        <f ca="1">(('Disease Projections'!G40*annual_adl_episodes)+('Disease Projections'!I40*annual_hydrocele_visits)+('Disease Projections'!K40*annual_lymphedema_visits)*'Economic Costs'!$U$19)</f>
        <v>161105.02102739288</v>
      </c>
      <c r="F33" s="131">
        <f t="shared" ca="1" si="1"/>
        <v>66373.135554817636</v>
      </c>
      <c r="G33" s="54">
        <f ca="1">'Disease Projections'!G40*adl_episode_duration*annual_adl_episodes*min_daily_wage*$U$23+'Disease Projections'!K40*min_daily_wage*'Economic Costs'!$U$22*'Economic Costs'!$U$24+'Disease Projections'!I40*min_daily_wage*'Economic Costs'!$U$22*'Economic Costs'!$U$25</f>
        <v>359046.49083654908</v>
      </c>
      <c r="H33" s="54">
        <f t="shared" ca="1" si="2"/>
        <v>147922.40027530762</v>
      </c>
      <c r="I33">
        <v>0</v>
      </c>
      <c r="J33" s="206">
        <f ca="1">('Disease Projections'!G40*adl_episode_duration*prod_loss_adl*annual_adl_episodes*Productive_pop_based_on_starting_age)+('Disease Projections'!I40*$U$22*prod_loss_hydrocele*Productive_pop_based_on_starting_age)+('Disease Projections'!K40*$U$22*prod_loss_lymphedema*Productive_pop_based_on_starting_age)</f>
        <v>263935.616891318</v>
      </c>
      <c r="K33" s="54">
        <f t="shared" ca="1" si="3"/>
        <v>693179.69269094325</v>
      </c>
      <c r="L33" s="54">
        <f t="shared" ca="1" si="4"/>
        <v>285580.85535397386</v>
      </c>
      <c r="M33" s="54">
        <f>('Disease Projections'!I40+'Disease Projections'!K40)*365*'Economic Costs'!$U$26</f>
        <v>21351.929101035606</v>
      </c>
      <c r="N33" s="54">
        <f t="shared" si="5"/>
        <v>8796.7120797490516</v>
      </c>
      <c r="O33" s="206">
        <f ca="1">(avg_clinic_visit*'Disease Projections'!G40*annual_adl_episodes)+('Disease Projections'!I40*avg_clinic_visit*annual_hydrocele_visits)+('Disease Projections'!K40*avg_clinic_visit*annual_lymphedema_visits)</f>
        <v>35924.773962737621</v>
      </c>
      <c r="P33" s="54">
        <f ca="1">'Disease Projections'!M40*yll*$U$21*$U$20</f>
        <v>10084.426612544441</v>
      </c>
      <c r="Q33" s="131">
        <f t="shared" ca="1" si="6"/>
        <v>4154.6502416781586</v>
      </c>
    </row>
    <row r="34" spans="1:17">
      <c r="A34">
        <v>31</v>
      </c>
      <c r="B34">
        <v>2052</v>
      </c>
      <c r="C34" s="54">
        <f ca="1">('Disease Projections'!G41*annual_adl_episodes*ccc_adl)+('Disease Projections'!I41*annual_hydrocele_visits*ccc_hydrocele)+('Disease Projections'!K41*annual_lymphedema_visits*ccc_le)</f>
        <v>235500.74181706843</v>
      </c>
      <c r="D34" s="54">
        <f t="shared" ca="1" si="0"/>
        <v>94197.269402724502</v>
      </c>
      <c r="E34" s="131">
        <f ca="1">(('Disease Projections'!G41*annual_adl_episodes)+('Disease Projections'!I41*annual_hydrocele_visits)+('Disease Projections'!K41*annual_lymphedema_visits)*'Economic Costs'!$U$19)</f>
        <v>143606.52124256734</v>
      </c>
      <c r="F34" s="131">
        <f t="shared" ca="1" si="1"/>
        <v>57440.762458327728</v>
      </c>
      <c r="G34" s="54">
        <f ca="1">'Disease Projections'!G41*adl_episode_duration*annual_adl_episodes*min_daily_wage*$U$23+'Disease Projections'!K41*min_daily_wage*'Economic Costs'!$U$22*'Economic Costs'!$U$24+'Disease Projections'!I41*min_daily_wage*'Economic Costs'!$U$22*'Economic Costs'!$U$25</f>
        <v>320048.48256480537</v>
      </c>
      <c r="H34" s="54">
        <f t="shared" ca="1" si="2"/>
        <v>128015.27885423046</v>
      </c>
      <c r="I34">
        <v>0</v>
      </c>
      <c r="J34" s="206">
        <f ca="1">('Disease Projections'!G41*adl_episode_duration*prod_loss_adl*annual_adl_episodes*Productive_pop_based_on_starting_age)+('Disease Projections'!I41*$U$22*prod_loss_hydrocele*Productive_pop_based_on_starting_age)+('Disease Projections'!K41*$U$22*prod_loss_lymphedema*Productive_pop_based_on_starting_age)</f>
        <v>235268.12219793259</v>
      </c>
      <c r="K34" s="54">
        <f t="shared" ca="1" si="3"/>
        <v>617889.6450807231</v>
      </c>
      <c r="L34" s="54">
        <f t="shared" ca="1" si="4"/>
        <v>247147.91516042806</v>
      </c>
      <c r="M34" s="54">
        <f>('Disease Projections'!I41+'Disease Projections'!K41)*365*'Economic Costs'!$U$26</f>
        <v>19032.778993873184</v>
      </c>
      <c r="N34" s="54">
        <f t="shared" si="5"/>
        <v>7612.8669342410049</v>
      </c>
      <c r="O34" s="206">
        <f ca="1">(avg_clinic_visit*'Disease Projections'!G41*annual_adl_episodes)+('Disease Projections'!I41*avg_clinic_visit*annual_hydrocele_visits)+('Disease Projections'!K41*avg_clinic_visit*annual_lymphedema_visits)</f>
        <v>32022.787262087339</v>
      </c>
      <c r="P34" s="54">
        <f ca="1">'Disease Projections'!M41*yll*$U$21*$U$20</f>
        <v>8989.1017382210393</v>
      </c>
      <c r="Q34" s="131">
        <f t="shared" ca="1" si="6"/>
        <v>3595.5251418334869</v>
      </c>
    </row>
    <row r="35" spans="1:17">
      <c r="A35">
        <v>32</v>
      </c>
      <c r="B35">
        <v>2053</v>
      </c>
      <c r="C35" s="54">
        <f ca="1">('Disease Projections'!G42*annual_adl_episodes*ccc_adl)+('Disease Projections'!I42*annual_hydrocele_visits*ccc_hydrocele)+('Disease Projections'!K42*annual_lymphedema_visits*ccc_le)</f>
        <v>209464.01763603673</v>
      </c>
      <c r="D35" s="54">
        <f t="shared" ca="1" si="0"/>
        <v>81342.635367191586</v>
      </c>
      <c r="E35" s="131">
        <f ca="1">(('Disease Projections'!G42*annual_adl_episodes)+('Disease Projections'!I42*annual_hydrocele_visits)+('Disease Projections'!K42*annual_lymphedema_visits)*'Economic Costs'!$U$19)</f>
        <v>127729.52928347365</v>
      </c>
      <c r="F35" s="131">
        <f t="shared" ca="1" si="1"/>
        <v>49602.10657365487</v>
      </c>
      <c r="G35" s="54">
        <f ca="1">'Disease Projections'!G42*adl_episode_duration*annual_adl_episodes*min_daily_wage*$U$23+'Disease Projections'!K42*min_daily_wage*'Economic Costs'!$U$22*'Economic Costs'!$U$24+'Disease Projections'!I42*min_daily_wage*'Economic Costs'!$U$22*'Economic Costs'!$U$25</f>
        <v>284664.24555220827</v>
      </c>
      <c r="H35" s="54">
        <f t="shared" ca="1" si="2"/>
        <v>110545.66884258149</v>
      </c>
      <c r="I35">
        <v>0</v>
      </c>
      <c r="J35" s="206">
        <f ca="1">('Disease Projections'!G42*adl_episode_duration*prod_loss_adl*annual_adl_episodes*Productive_pop_based_on_starting_age)+('Disease Projections'!I42*$U$22*prod_loss_hydrocele*Productive_pop_based_on_starting_age)+('Disease Projections'!K42*$U$22*prod_loss_lymphedema*Productive_pop_based_on_starting_age)</f>
        <v>209257.11620706794</v>
      </c>
      <c r="K35" s="54">
        <f t="shared" ca="1" si="3"/>
        <v>549576.38993276691</v>
      </c>
      <c r="L35" s="54">
        <f t="shared" ca="1" si="4"/>
        <v>213420.86529819129</v>
      </c>
      <c r="M35" s="54">
        <f>('Disease Projections'!I42+'Disease Projections'!K42)*365*'Economic Costs'!$U$26</f>
        <v>16928.534169680901</v>
      </c>
      <c r="N35" s="54">
        <f t="shared" si="5"/>
        <v>6573.9767517401624</v>
      </c>
      <c r="O35" s="206">
        <f ca="1">(avg_clinic_visit*'Disease Projections'!G42*annual_adl_episodes)+('Disease Projections'!I42*avg_clinic_visit*annual_hydrocele_visits)+('Disease Projections'!K42*avg_clinic_visit*annual_lymphedema_visits)</f>
        <v>28482.380242484505</v>
      </c>
      <c r="P35" s="54">
        <f ca="1">'Disease Projections'!M42*yll*$U$21*$U$20</f>
        <v>7995.2757282159582</v>
      </c>
      <c r="Q35" s="131">
        <f t="shared" ca="1" si="6"/>
        <v>3104.8616634026539</v>
      </c>
    </row>
    <row r="36" spans="1:17">
      <c r="A36">
        <v>33</v>
      </c>
      <c r="B36">
        <v>2054</v>
      </c>
      <c r="C36" s="54">
        <f ca="1">('Disease Projections'!G43*annual_adl_episodes*ccc_adl)+('Disease Projections'!I43*annual_hydrocele_visits*ccc_hydrocele)+('Disease Projections'!K43*annual_lymphedema_visits*ccc_le)</f>
        <v>185938.04940745365</v>
      </c>
      <c r="D36" s="54">
        <f t="shared" ref="D36:D67" ca="1" si="7">C36/((1+discount_cost)^A36)</f>
        <v>70103.524893304028</v>
      </c>
      <c r="E36" s="131">
        <f ca="1">(('Disease Projections'!G43*annual_adl_episodes)+('Disease Projections'!I43*annual_hydrocele_visits)+('Disease Projections'!K43*annual_lymphedema_visits)*'Economic Costs'!$U$19)</f>
        <v>113383.57678199784</v>
      </c>
      <c r="F36" s="131">
        <f t="shared" ref="F36:F67" ca="1" si="8">E36/((1+discount_cost)^A36)</f>
        <v>42748.584395497055</v>
      </c>
      <c r="G36" s="54">
        <f ca="1">'Disease Projections'!G43*adl_episode_duration*annual_adl_episodes*min_daily_wage*$U$23+'Disease Projections'!K43*min_daily_wage*'Economic Costs'!$U$22*'Economic Costs'!$U$24+'Disease Projections'!I43*min_daily_wage*'Economic Costs'!$U$22*'Economic Costs'!$U$25</f>
        <v>252692.15759048739</v>
      </c>
      <c r="H36" s="54">
        <f t="shared" ref="H36:H67" ca="1" si="9">G36/((1+discount_cost)^A36)</f>
        <v>95271.575755689919</v>
      </c>
      <c r="I36">
        <v>0</v>
      </c>
      <c r="J36" s="206">
        <f ca="1">('Disease Projections'!G43*adl_episode_duration*prod_loss_adl*annual_adl_episodes*Productive_pop_based_on_starting_age)+('Disease Projections'!I43*$U$22*prod_loss_hydrocele*Productive_pop_based_on_starting_age)+('Disease Projections'!K43*$U$22*prod_loss_lymphedema*Productive_pop_based_on_starting_age)</f>
        <v>185754.38612935826</v>
      </c>
      <c r="K36" s="54">
        <f t="shared" ref="K36:K67" ca="1" si="10">J36*min_daily_wage</f>
        <v>487850.6728637687</v>
      </c>
      <c r="L36" s="54">
        <f t="shared" ref="L36:L67" ca="1" si="11">K36/((1+discount_cost)^A36)</f>
        <v>183932.50815693109</v>
      </c>
      <c r="M36" s="54">
        <f>('Disease Projections'!I43+'Disease Projections'!K43)*365*'Economic Costs'!$U$26</f>
        <v>15027.20447340624</v>
      </c>
      <c r="N36" s="54">
        <f t="shared" ref="N36:N67" si="12">M36/((1+discount_cost)^A36)</f>
        <v>5665.6505015265266</v>
      </c>
      <c r="O36" s="206">
        <f ca="1">(avg_clinic_visit*'Disease Projections'!G43*annual_adl_episodes)+('Disease Projections'!I43*avg_clinic_visit*annual_hydrocele_visits)+('Disease Projections'!K43*avg_clinic_visit*annual_lymphedema_visits)</f>
        <v>25283.379381995754</v>
      </c>
      <c r="P36" s="54">
        <f ca="1">'Disease Projections'!M43*yll*$U$21*$U$20</f>
        <v>7097.2856825575891</v>
      </c>
      <c r="Q36" s="131">
        <f t="shared" ref="Q36:Q67" ca="1" si="13">P36/((1+discount_cost)^A36)</f>
        <v>2675.8629829001597</v>
      </c>
    </row>
    <row r="37" spans="1:17">
      <c r="A37">
        <v>34</v>
      </c>
      <c r="B37">
        <v>2055</v>
      </c>
      <c r="C37" s="54">
        <f ca="1">('Disease Projections'!G44*annual_adl_episodes*ccc_adl)+('Disease Projections'!I44*annual_hydrocele_visits*ccc_hydrocele)+('Disease Projections'!K44*annual_lymphedema_visits*ccc_le)</f>
        <v>164760.47204066359</v>
      </c>
      <c r="D37" s="54">
        <f t="shared" ca="1" si="7"/>
        <v>60309.730469674585</v>
      </c>
      <c r="E37" s="131">
        <f ca="1">(('Disease Projections'!G44*annual_adl_episodes)+('Disease Projections'!I44*annual_hydrocele_visits)+('Disease Projections'!K44*annual_lymphedema_visits)*'Economic Costs'!$U$19)</f>
        <v>100469.65476831511</v>
      </c>
      <c r="F37" s="131">
        <f t="shared" ca="1" si="8"/>
        <v>36776.40470684546</v>
      </c>
      <c r="G37" s="54">
        <f ca="1">'Disease Projections'!G44*adl_episode_duration*annual_adl_episodes*min_daily_wage*$U$23+'Disease Projections'!K44*min_daily_wage*'Economic Costs'!$U$22*'Economic Costs'!$U$24+'Disease Projections'!I44*min_daily_wage*'Economic Costs'!$U$22*'Economic Costs'!$U$25</f>
        <v>223911.56247072847</v>
      </c>
      <c r="H37" s="54">
        <f t="shared" ca="1" si="9"/>
        <v>81961.685435815467</v>
      </c>
      <c r="I37">
        <v>0</v>
      </c>
      <c r="J37" s="206">
        <f ca="1">('Disease Projections'!G44*adl_episode_duration*prod_loss_adl*annual_adl_episodes*Productive_pop_based_on_starting_age)+('Disease Projections'!I44*$U$22*prod_loss_hydrocele*Productive_pop_based_on_starting_age)+('Disease Projections'!K44*$U$22*prod_loss_lymphedema*Productive_pop_based_on_starting_age)</f>
        <v>164597.72725285948</v>
      </c>
      <c r="K37" s="54">
        <f t="shared" ca="1" si="10"/>
        <v>432286.49220823642</v>
      </c>
      <c r="L37" s="54">
        <f t="shared" ca="1" si="11"/>
        <v>158236.26570046102</v>
      </c>
      <c r="M37" s="54">
        <f>('Disease Projections'!I44+'Disease Projections'!K44)*365*'Economic Costs'!$U$26</f>
        <v>13315.667827968155</v>
      </c>
      <c r="N37" s="54">
        <f t="shared" si="12"/>
        <v>4874.132295094887</v>
      </c>
      <c r="O37" s="206">
        <f ca="1">(avg_clinic_visit*'Disease Projections'!G44*annual_adl_episodes)+('Disease Projections'!I44*avg_clinic_visit*annual_hydrocele_visits)+('Disease Projections'!K44*avg_clinic_visit*annual_lymphedema_visits)</f>
        <v>22403.706691750485</v>
      </c>
      <c r="P37" s="54">
        <f ca="1">'Disease Projections'!M44*yll*$U$21*$U$20</f>
        <v>6288.9340992449734</v>
      </c>
      <c r="Q37" s="131">
        <f t="shared" ca="1" si="13"/>
        <v>2302.0322518461903</v>
      </c>
    </row>
    <row r="38" spans="1:17">
      <c r="A38">
        <v>35</v>
      </c>
      <c r="B38">
        <v>2056</v>
      </c>
      <c r="C38" s="54">
        <f ca="1">('Disease Projections'!G45*annual_adl_episodes*ccc_adl)+('Disease Projections'!I45*annual_hydrocele_visits*ccc_hydrocele)+('Disease Projections'!K45*annual_lymphedema_visits*ccc_le)</f>
        <v>145761.27149500634</v>
      </c>
      <c r="D38" s="54">
        <f t="shared" ca="1" si="7"/>
        <v>51801.135932766192</v>
      </c>
      <c r="E38" s="131">
        <f ca="1">(('Disease Projections'!G45*annual_adl_episodes)+('Disease Projections'!I45*annual_hydrocele_visits)+('Disease Projections'!K45*annual_lymphedema_visits)*'Economic Costs'!$U$19)</f>
        <v>88884.090002361685</v>
      </c>
      <c r="F38" s="131">
        <f t="shared" ca="1" si="8"/>
        <v>31587.929916145808</v>
      </c>
      <c r="G38" s="54">
        <f ca="1">'Disease Projections'!G45*adl_episode_duration*annual_adl_episodes*min_daily_wage*$U$23+'Disease Projections'!K45*min_daily_wage*'Economic Costs'!$U$22*'Economic Costs'!$U$24+'Disease Projections'!I45*min_daily_wage*'Economic Costs'!$U$22*'Economic Costs'!$U$25</f>
        <v>198091.40896435292</v>
      </c>
      <c r="H38" s="54">
        <f t="shared" ca="1" si="9"/>
        <v>70398.397994402578</v>
      </c>
      <c r="I38">
        <v>0</v>
      </c>
      <c r="J38" s="206">
        <f ca="1">('Disease Projections'!G45*adl_episode_duration*prod_loss_adl*annual_adl_episodes*Productive_pop_based_on_starting_age)+('Disease Projections'!I45*$U$22*prod_loss_hydrocele*Productive_pop_based_on_starting_age)+('Disease Projections'!K45*$U$22*prod_loss_lymphedema*Productive_pop_based_on_starting_age)</f>
        <v>145617.29347099544</v>
      </c>
      <c r="K38" s="54">
        <f t="shared" ca="1" si="10"/>
        <v>382437.77754434565</v>
      </c>
      <c r="L38" s="54">
        <f t="shared" ca="1" si="11"/>
        <v>135912.03683399773</v>
      </c>
      <c r="M38" s="54">
        <f>('Disease Projections'!I45+'Disease Projections'!K45)*365*'Economic Costs'!$U$26</f>
        <v>11780.183980844404</v>
      </c>
      <c r="N38" s="54">
        <f t="shared" si="12"/>
        <v>4186.4818099204185</v>
      </c>
      <c r="O38" s="206">
        <f ca="1">(avg_clinic_visit*'Disease Projections'!G45*annual_adl_episodes)+('Disease Projections'!I45*avg_clinic_visit*annual_hydrocele_visits)+('Disease Projections'!K45*avg_clinic_visit*annual_lymphedema_visits)</f>
        <v>19820.24409826145</v>
      </c>
      <c r="P38" s="54">
        <f ca="1">'Disease Projections'!M45*yll*$U$21*$U$20</f>
        <v>5563.7315146075098</v>
      </c>
      <c r="Q38" s="131">
        <f t="shared" ca="1" si="13"/>
        <v>1977.2578101548222</v>
      </c>
    </row>
    <row r="39" spans="1:17">
      <c r="A39">
        <v>36</v>
      </c>
      <c r="B39">
        <v>2057</v>
      </c>
      <c r="C39" s="54">
        <f ca="1">('Disease Projections'!G46*annual_adl_episodes*ccc_adl)+('Disease Projections'!I46*annual_hydrocele_visits*ccc_hydrocele)+('Disease Projections'!K46*annual_lymphedema_visits*ccc_le)</f>
        <v>128768.05439692276</v>
      </c>
      <c r="D39" s="54">
        <f t="shared" ca="1" si="7"/>
        <v>44429.154078401618</v>
      </c>
      <c r="E39" s="131">
        <f ca="1">(('Disease Projections'!G46*annual_adl_episodes)+('Disease Projections'!I46*annual_hydrocele_visits)+('Disease Projections'!K46*annual_lymphedema_visits)*'Economic Costs'!$U$19)</f>
        <v>78521.758345372276</v>
      </c>
      <c r="F39" s="131">
        <f t="shared" ca="1" si="8"/>
        <v>27092.55270161893</v>
      </c>
      <c r="G39" s="54">
        <f ca="1">'Disease Projections'!G46*adl_episode_duration*annual_adl_episodes*min_daily_wage*$U$23+'Disease Projections'!K46*min_daily_wage*'Economic Costs'!$U$22*'Economic Costs'!$U$24+'Disease Projections'!I46*min_daily_wage*'Economic Costs'!$U$22*'Economic Costs'!$U$25</f>
        <v>174997.41229932086</v>
      </c>
      <c r="H39" s="54">
        <f t="shared" ca="1" si="9"/>
        <v>60379.78154427954</v>
      </c>
      <c r="I39">
        <v>0</v>
      </c>
      <c r="J39" s="206">
        <f ca="1">('Disease Projections'!G46*adl_episode_duration*prod_loss_adl*annual_adl_episodes*Productive_pop_based_on_starting_age)+('Disease Projections'!I46*$U$22*prod_loss_hydrocele*Productive_pop_based_on_starting_age)+('Disease Projections'!K46*$U$22*prod_loss_lymphedema*Productive_pop_based_on_starting_age)</f>
        <v>128640.8616945153</v>
      </c>
      <c r="K39" s="54">
        <f t="shared" ca="1" si="10"/>
        <v>337852.2157304018</v>
      </c>
      <c r="L39" s="54">
        <f t="shared" ca="1" si="11"/>
        <v>116569.96930423543</v>
      </c>
      <c r="M39" s="54">
        <f>('Disease Projections'!I46+'Disease Projections'!K46)*365*'Economic Costs'!$U$26</f>
        <v>10406.820385777839</v>
      </c>
      <c r="N39" s="54">
        <f t="shared" si="12"/>
        <v>3590.6904748342922</v>
      </c>
      <c r="O39" s="206">
        <f ca="1">(avg_clinic_visit*'Disease Projections'!G46*annual_adl_episodes)+('Disease Projections'!I46*avg_clinic_visit*annual_hydrocele_visits)+('Disease Projections'!K46*avg_clinic_visit*annual_lymphedema_visits)</f>
        <v>17509.549992452241</v>
      </c>
      <c r="P39" s="54">
        <f ca="1">'Disease Projections'!M46*yll*$U$21*$U$20</f>
        <v>4915.0976454496531</v>
      </c>
      <c r="Q39" s="131">
        <f t="shared" ca="1" si="13"/>
        <v>1695.868059999905</v>
      </c>
    </row>
    <row r="40" spans="1:17">
      <c r="A40">
        <v>37</v>
      </c>
      <c r="B40">
        <v>2058</v>
      </c>
      <c r="C40" s="54">
        <f ca="1">('Disease Projections'!G47*annual_adl_episodes*ccc_adl)+('Disease Projections'!I47*annual_hydrocele_visits*ccc_hydrocele)+('Disease Projections'!K47*annual_lymphedema_visits*ccc_le)</f>
        <v>113610.25469943293</v>
      </c>
      <c r="D40" s="54">
        <f t="shared" ca="1" si="7"/>
        <v>38057.496786653588</v>
      </c>
      <c r="E40" s="131">
        <f ca="1">(('Disease Projections'!G47*annual_adl_episodes)+('Disease Projections'!I47*annual_hydrocele_visits)+('Disease Projections'!K47*annual_lymphedema_visits)*'Economic Costs'!$U$19)</f>
        <v>69278.649948121398</v>
      </c>
      <c r="F40" s="131">
        <f t="shared" ca="1" si="8"/>
        <v>23207.165627430713</v>
      </c>
      <c r="G40" s="54">
        <f ca="1">'Disease Projections'!G47*adl_episode_duration*annual_adl_episodes*min_daily_wage*$U$23+'Disease Projections'!K47*min_daily_wage*'Economic Costs'!$U$22*'Economic Costs'!$U$24+'Disease Projections'!I47*min_daily_wage*'Economic Costs'!$U$22*'Economic Costs'!$U$25</f>
        <v>154397.77106349322</v>
      </c>
      <c r="H40" s="54">
        <f t="shared" ca="1" si="9"/>
        <v>51720.618809110885</v>
      </c>
      <c r="I40">
        <v>0</v>
      </c>
      <c r="J40" s="206">
        <f ca="1">('Disease Projections'!G47*adl_episode_duration*prod_loss_adl*annual_adl_episodes*Productive_pop_based_on_starting_age)+('Disease Projections'!I47*$U$22*prod_loss_hydrocele*Productive_pop_based_on_starting_age)+('Disease Projections'!K47*$U$22*prod_loss_lymphedema*Productive_pop_based_on_starting_age)</f>
        <v>113498.0343557763</v>
      </c>
      <c r="K40" s="54">
        <f t="shared" ca="1" si="10"/>
        <v>298082.28803071816</v>
      </c>
      <c r="L40" s="54">
        <f t="shared" ca="1" si="11"/>
        <v>99852.480296781068</v>
      </c>
      <c r="M40" s="54">
        <f>('Disease Projections'!I47+'Disease Projections'!K47)*365*'Economic Costs'!$U$26</f>
        <v>9181.7921780118613</v>
      </c>
      <c r="N40" s="54">
        <f t="shared" si="12"/>
        <v>3075.7437102387871</v>
      </c>
      <c r="O40" s="206">
        <f ca="1">(avg_clinic_visit*'Disease Projections'!G47*annual_adl_episodes)+('Disease Projections'!I47*avg_clinic_visit*annual_hydrocele_visits)+('Disease Projections'!K47*avg_clinic_visit*annual_lymphedema_visits)</f>
        <v>15448.431240431102</v>
      </c>
      <c r="P40" s="54">
        <f ca="1">'Disease Projections'!M47*yll*$U$21*$U$20</f>
        <v>4336.5219579295181</v>
      </c>
      <c r="Q40" s="131">
        <f t="shared" ca="1" si="13"/>
        <v>1452.6608616077604</v>
      </c>
    </row>
    <row r="41" spans="1:17">
      <c r="A41">
        <v>38</v>
      </c>
      <c r="B41">
        <v>2059</v>
      </c>
      <c r="C41" s="54">
        <f ca="1">('Disease Projections'!G48*annual_adl_episodes*ccc_adl)+('Disease Projections'!I48*annual_hydrocele_visits*ccc_hydrocele)+('Disease Projections'!K48*annual_lymphedema_visits*ccc_le)</f>
        <v>100122.35688902406</v>
      </c>
      <c r="D41" s="54">
        <f t="shared" ca="1" si="7"/>
        <v>32562.408897927275</v>
      </c>
      <c r="E41" s="131">
        <f ca="1">(('Disease Projections'!G48*annual_adl_episodes)+('Disease Projections'!I48*annual_hydrocele_visits)+('Disease Projections'!K48*annual_lymphedema_visits)*'Economic Costs'!$U$19)</f>
        <v>61053.834737421828</v>
      </c>
      <c r="F41" s="131">
        <f t="shared" ca="1" si="8"/>
        <v>19856.303759508755</v>
      </c>
      <c r="G41" s="54">
        <f ca="1">'Disease Projections'!G48*adl_episode_duration*annual_adl_episodes*min_daily_wage*$U$23+'Disease Projections'!K48*min_daily_wage*'Economic Costs'!$U$22*'Economic Costs'!$U$24+'Disease Projections'!I48*min_daily_wage*'Economic Costs'!$U$22*'Economic Costs'!$U$25</f>
        <v>136067.54758350225</v>
      </c>
      <c r="H41" s="54">
        <f t="shared" ca="1" si="9"/>
        <v>44252.724963947505</v>
      </c>
      <c r="I41">
        <v>0</v>
      </c>
      <c r="J41" s="206">
        <f ca="1">('Disease Projections'!G48*adl_episode_duration*prod_loss_adl*annual_adl_episodes*Productive_pop_based_on_starting_age)+('Disease Projections'!I48*$U$22*prod_loss_hydrocele*Productive_pop_based_on_starting_age)+('Disease Projections'!K48*$U$22*prod_loss_lymphedema*Productive_pop_based_on_starting_age)</f>
        <v>100023.45943185769</v>
      </c>
      <c r="K41" s="54">
        <f t="shared" ca="1" si="10"/>
        <v>262693.72693042114</v>
      </c>
      <c r="L41" s="54">
        <f t="shared" ca="1" si="11"/>
        <v>85434.870063137219</v>
      </c>
      <c r="M41" s="54">
        <f>('Disease Projections'!I48+'Disease Projections'!K48)*365*'Economic Costs'!$U$26</f>
        <v>8091.7226685201831</v>
      </c>
      <c r="N41" s="54">
        <f t="shared" si="12"/>
        <v>2631.6398295840172</v>
      </c>
      <c r="O41" s="206">
        <f ca="1">(avg_clinic_visit*'Disease Projections'!G48*annual_adl_episodes)+('Disease Projections'!I48*avg_clinic_visit*annual_hydrocele_visits)+('Disease Projections'!K48*avg_clinic_visit*annual_lymphedema_visits)</f>
        <v>13614.381466902141</v>
      </c>
      <c r="P41" s="54">
        <f ca="1">'Disease Projections'!M48*yll*$U$21*$U$20</f>
        <v>3821.6866978916814</v>
      </c>
      <c r="Q41" s="131">
        <f t="shared" ca="1" si="13"/>
        <v>1242.9124603454129</v>
      </c>
    </row>
    <row r="42" spans="1:17">
      <c r="A42">
        <v>39</v>
      </c>
      <c r="B42">
        <v>2060</v>
      </c>
      <c r="C42" s="54">
        <f ca="1">('Disease Projections'!G49*annual_adl_episodes*ccc_adl)+('Disease Projections'!I49*annual_hydrocele_visits*ccc_hydrocele)+('Disease Projections'!K49*annual_lymphedema_visits*ccc_le)</f>
        <v>88146.24797640607</v>
      </c>
      <c r="D42" s="54">
        <f t="shared" ca="1" si="7"/>
        <v>27832.490364882953</v>
      </c>
      <c r="E42" s="131">
        <f ca="1">(('Disease Projections'!G49*annual_adl_episodes)+('Disease Projections'!I49*annual_hydrocele_visits)+('Disease Projections'!K49*annual_lymphedema_visits)*'Economic Costs'!$U$19)</f>
        <v>53750.896641799547</v>
      </c>
      <c r="F42" s="131">
        <f t="shared" ca="1" si="8"/>
        <v>16972.036215167576</v>
      </c>
      <c r="G42" s="54">
        <f ca="1">'Disease Projections'!G49*adl_episode_duration*annual_adl_episodes*min_daily_wage*$U$23+'Disease Projections'!K49*min_daily_wage*'Economic Costs'!$U$22*'Economic Costs'!$U$24+'Disease Projections'!I49*min_daily_wage*'Economic Costs'!$U$22*'Economic Costs'!$U$25</f>
        <v>119791.86430989468</v>
      </c>
      <c r="H42" s="54">
        <f t="shared" ca="1" si="9"/>
        <v>37824.705937443228</v>
      </c>
      <c r="I42">
        <v>0</v>
      </c>
      <c r="J42" s="206">
        <f ca="1">('Disease Projections'!G49*adl_episode_duration*prod_loss_adl*annual_adl_episodes*Productive_pop_based_on_starting_age)+('Disease Projections'!I49*$U$22*prod_loss_hydrocele*Productive_pop_based_on_starting_age)+('Disease Projections'!K49*$U$22*prod_loss_lymphedema*Productive_pop_based_on_starting_age)</f>
        <v>88059.180112099944</v>
      </c>
      <c r="K42" s="54">
        <f t="shared" ca="1" si="10"/>
        <v>231271.68711700221</v>
      </c>
      <c r="L42" s="54">
        <f t="shared" ca="1" si="11"/>
        <v>73024.855295907008</v>
      </c>
      <c r="M42" s="54">
        <f>('Disease Projections'!I49+'Disease Projections'!K49)*365*'Economic Costs'!$U$26</f>
        <v>7123.8334279951114</v>
      </c>
      <c r="N42" s="54">
        <f t="shared" si="12"/>
        <v>2249.3756659815704</v>
      </c>
      <c r="O42" s="206">
        <f ca="1">(avg_clinic_visit*'Disease Projections'!G49*annual_adl_episodes)+('Disease Projections'!I49*avg_clinic_visit*annual_hydrocele_visits)+('Disease Projections'!K49*avg_clinic_visit*annual_lymphedema_visits)</f>
        <v>11985.900872839917</v>
      </c>
      <c r="P42" s="54">
        <f ca="1">'Disease Projections'!M49*yll*$U$21*$U$20</f>
        <v>3364.5566667380531</v>
      </c>
      <c r="Q42" s="131">
        <f t="shared" ca="1" si="13"/>
        <v>1062.3706982304575</v>
      </c>
    </row>
    <row r="43" spans="1:17">
      <c r="A43">
        <v>40</v>
      </c>
      <c r="B43">
        <v>2061</v>
      </c>
      <c r="C43" s="54">
        <f ca="1">('Disease Projections'!G50*annual_adl_episodes*ccc_adl)+('Disease Projections'!I50*annual_hydrocele_visits*ccc_hydrocele)+('Disease Projections'!K50*annual_lymphedema_visits*ccc_le)</f>
        <v>77532.825411359256</v>
      </c>
      <c r="D43" s="54">
        <f t="shared" ca="1" si="7"/>
        <v>23768.218014373426</v>
      </c>
      <c r="E43" s="131">
        <f ca="1">(('Disease Projections'!G50*annual_adl_episodes)+('Disease Projections'!I50*annual_hydrocele_visits)+('Disease Projections'!K50*annual_lymphedema_visits)*'Economic Costs'!$U$19)</f>
        <v>47278.914085465731</v>
      </c>
      <c r="F43" s="131">
        <f t="shared" ca="1" si="8"/>
        <v>14493.674537256613</v>
      </c>
      <c r="G43" s="54">
        <f ca="1">'Disease Projections'!G50*adl_episode_duration*annual_adl_episodes*min_daily_wage*$U$23+'Disease Projections'!K50*min_daily_wage*'Economic Costs'!$U$22*'Economic Costs'!$U$24+'Disease Projections'!I50*min_daily_wage*'Economic Costs'!$U$22*'Economic Costs'!$U$25</f>
        <v>105368.08899371812</v>
      </c>
      <c r="H43" s="54">
        <f t="shared" ca="1" si="9"/>
        <v>32301.308480287556</v>
      </c>
      <c r="I43">
        <v>0</v>
      </c>
      <c r="J43" s="206">
        <f ca="1">('Disease Projections'!G50*adl_episode_duration*prod_loss_adl*annual_adl_episodes*Productive_pop_based_on_starting_age)+('Disease Projections'!I50*$U$22*prod_loss_hydrocele*Productive_pop_based_on_starting_age)+('Disease Projections'!K50*$U$22*prod_loss_lymphedema*Productive_pop_based_on_starting_age)</f>
        <v>77456.241124708788</v>
      </c>
      <c r="K43" s="54">
        <f t="shared" ca="1" si="10"/>
        <v>203424.9642098507</v>
      </c>
      <c r="L43" s="54">
        <f t="shared" ca="1" si="11"/>
        <v>62361.314362696561</v>
      </c>
      <c r="M43" s="54">
        <f>('Disease Projections'!I50+'Disease Projections'!K50)*365*'Economic Costs'!$U$26</f>
        <v>6266.0742358562002</v>
      </c>
      <c r="N43" s="54">
        <f t="shared" si="12"/>
        <v>1920.9079217982226</v>
      </c>
      <c r="O43" s="206">
        <f ca="1">(avg_clinic_visit*'Disease Projections'!G50*annual_adl_episodes)+('Disease Projections'!I50*avg_clinic_visit*annual_hydrocele_visits)+('Disease Projections'!K50*avg_clinic_visit*annual_lymphedema_visits)</f>
        <v>10542.71487562919</v>
      </c>
      <c r="P43" s="54">
        <f ca="1">'Disease Projections'!M50*yll*$U$21*$U$20</f>
        <v>2959.4405957999611</v>
      </c>
      <c r="Q43" s="131">
        <f t="shared" ca="1" si="13"/>
        <v>907.23675950618883</v>
      </c>
    </row>
    <row r="44" spans="1:17">
      <c r="A44">
        <v>41</v>
      </c>
      <c r="B44">
        <v>2062</v>
      </c>
      <c r="C44" s="54">
        <f ca="1">('Disease Projections'!G51*annual_adl_episodes*ccc_adl)+('Disease Projections'!I51*annual_hydrocele_visits*ccc_hydrocele)+('Disease Projections'!K51*annual_lymphedema_visits*ccc_le)</f>
        <v>68142.989938382292</v>
      </c>
      <c r="D44" s="54">
        <f t="shared" ca="1" si="7"/>
        <v>20281.261860574545</v>
      </c>
      <c r="E44" s="131">
        <f ca="1">(('Disease Projections'!G51*annual_adl_episodes)+('Disease Projections'!I51*annual_hydrocele_visits)+('Disease Projections'!K51*annual_lymphedema_visits)*'Economic Costs'!$U$19)</f>
        <v>41553.065423971013</v>
      </c>
      <c r="F44" s="131">
        <f t="shared" ca="1" si="8"/>
        <v>12367.355787223165</v>
      </c>
      <c r="G44" s="54">
        <f ca="1">'Disease Projections'!G51*adl_episode_duration*annual_adl_episodes*min_daily_wage*$U$23+'Disease Projections'!K51*min_daily_wage*'Economic Costs'!$U$22*'Economic Costs'!$U$24+'Disease Projections'!I51*min_daily_wage*'Economic Costs'!$U$22*'Economic Costs'!$U$25</f>
        <v>92607.18398988666</v>
      </c>
      <c r="H44" s="54">
        <f t="shared" ca="1" si="9"/>
        <v>27562.491026114873</v>
      </c>
      <c r="I44">
        <v>0</v>
      </c>
      <c r="J44" s="206">
        <f ca="1">('Disease Projections'!G51*adl_episode_duration*prod_loss_adl*annual_adl_episodes*Productive_pop_based_on_starting_age)+('Disease Projections'!I51*$U$22*prod_loss_hydrocele*Productive_pop_based_on_starting_age)+('Disease Projections'!K51*$U$22*prod_loss_lymphedema*Productive_pop_based_on_starting_age)</f>
        <v>68075.680611694261</v>
      </c>
      <c r="K44" s="54">
        <f t="shared" ca="1" si="10"/>
        <v>178788.59974238387</v>
      </c>
      <c r="L44" s="54">
        <f t="shared" ca="1" si="11"/>
        <v>53212.493498444521</v>
      </c>
      <c r="M44" s="54">
        <f>('Disease Projections'!I51+'Disease Projections'!K51)*365*'Economic Costs'!$U$26</f>
        <v>5507.2033211954622</v>
      </c>
      <c r="N44" s="54">
        <f t="shared" si="12"/>
        <v>1639.0979142181529</v>
      </c>
      <c r="O44" s="206">
        <f ca="1">(avg_clinic_visit*'Disease Projections'!G51*annual_adl_episodes)+('Disease Projections'!I51*avg_clinic_visit*annual_hydrocele_visits)+('Disease Projections'!K51*avg_clinic_visit*annual_lymphedema_visits)</f>
        <v>9265.9091150311615</v>
      </c>
      <c r="P44" s="54">
        <f ca="1">'Disease Projections'!M51*yll*$U$21*$U$20</f>
        <v>2601.0290438002162</v>
      </c>
      <c r="Q44" s="131">
        <f t="shared" ca="1" si="13"/>
        <v>774.13907420224268</v>
      </c>
    </row>
    <row r="45" spans="1:17">
      <c r="A45">
        <v>42</v>
      </c>
      <c r="B45">
        <v>2063</v>
      </c>
      <c r="C45" s="54">
        <f ca="1">('Disease Projections'!G52*annual_adl_episodes*ccc_adl)+('Disease Projections'!I52*annual_hydrocele_visits*ccc_hydrocele)+('Disease Projections'!K52*annual_lymphedema_visits*ccc_le)</f>
        <v>59848.145557504919</v>
      </c>
      <c r="D45" s="54">
        <f t="shared" ca="1" si="7"/>
        <v>17293.673699952538</v>
      </c>
      <c r="E45" s="131">
        <f ca="1">(('Disease Projections'!G52*annual_adl_episodes)+('Disease Projections'!I52*annual_hydrocele_visits)+('Disease Projections'!K52*annual_lymphedema_visits)*'Economic Costs'!$U$19)</f>
        <v>36494.933816421551</v>
      </c>
      <c r="F45" s="131">
        <f t="shared" ca="1" si="8"/>
        <v>10545.547756632444</v>
      </c>
      <c r="G45" s="54">
        <f ca="1">'Disease Projections'!G52*adl_episode_duration*annual_adl_episodes*min_daily_wage*$U$23+'Disease Projections'!K52*min_daily_wage*'Economic Costs'!$U$22*'Economic Costs'!$U$24+'Disease Projections'!I52*min_daily_wage*'Economic Costs'!$U$22*'Economic Costs'!$U$25</f>
        <v>81334.385710239803</v>
      </c>
      <c r="H45" s="54">
        <f t="shared" ca="1" si="9"/>
        <v>23502.320981816734</v>
      </c>
      <c r="I45">
        <v>0</v>
      </c>
      <c r="J45" s="206">
        <f ca="1">('Disease Projections'!G52*adl_episode_duration*prod_loss_adl*annual_adl_episodes*Productive_pop_based_on_starting_age)+('Disease Projections'!I52*$U$22*prod_loss_hydrocele*Productive_pop_based_on_starting_age)+('Disease Projections'!K52*$U$22*prod_loss_lymphedema*Productive_pop_based_on_starting_age)</f>
        <v>59789.029595838918</v>
      </c>
      <c r="K45" s="54">
        <f t="shared" ca="1" si="10"/>
        <v>157025.19292270867</v>
      </c>
      <c r="L45" s="54">
        <f t="shared" ca="1" si="11"/>
        <v>45373.877900163163</v>
      </c>
      <c r="M45" s="54">
        <f>('Disease Projections'!I52+'Disease Projections'!K52)*365*'Economic Costs'!$U$26</f>
        <v>4836.8277687802474</v>
      </c>
      <c r="N45" s="54">
        <f t="shared" si="12"/>
        <v>1397.6459988352283</v>
      </c>
      <c r="O45" s="206">
        <f ca="1">(avg_clinic_visit*'Disease Projections'!G52*annual_adl_episodes)+('Disease Projections'!I52*avg_clinic_visit*annual_hydrocele_visits)+('Disease Projections'!K52*avg_clinic_visit*annual_lymphedema_visits)</f>
        <v>8137.9974365733169</v>
      </c>
      <c r="P45" s="54">
        <f ca="1">'Disease Projections'!M52*yll*$U$21*$U$20</f>
        <v>2284.413480438905</v>
      </c>
      <c r="Q45" s="131">
        <f t="shared" ca="1" si="13"/>
        <v>660.10234667211546</v>
      </c>
    </row>
    <row r="46" spans="1:17">
      <c r="A46">
        <v>43</v>
      </c>
      <c r="B46">
        <v>2064</v>
      </c>
      <c r="C46" s="54">
        <f ca="1">('Disease Projections'!G53*annual_adl_episodes*ccc_adl)+('Disease Projections'!I53*annual_hydrocele_visits*ccc_hydrocele)+('Disease Projections'!K53*annual_lymphedema_visits*ccc_le)</f>
        <v>52530.316691346161</v>
      </c>
      <c r="D46" s="54">
        <f t="shared" ca="1" si="7"/>
        <v>14737.009271068302</v>
      </c>
      <c r="E46" s="131">
        <f ca="1">(('Disease Projections'!G53*annual_adl_episodes)+('Disease Projections'!I53*annual_hydrocele_visits)+('Disease Projections'!K53*annual_lymphedema_visits)*'Economic Costs'!$U$19)</f>
        <v>32032.57867304028</v>
      </c>
      <c r="F46" s="131">
        <f t="shared" ca="1" si="8"/>
        <v>8986.5136670418597</v>
      </c>
      <c r="G46" s="54">
        <f ca="1">'Disease Projections'!G53*adl_episode_duration*annual_adl_episodes*min_daily_wage*$U$23+'Disease Projections'!K53*min_daily_wage*'Economic Costs'!$U$22*'Economic Costs'!$U$24+'Disease Projections'!I53*min_daily_wage*'Economic Costs'!$U$22*'Economic Costs'!$U$25</f>
        <v>71389.363855054733</v>
      </c>
      <c r="H46" s="54">
        <f t="shared" ca="1" si="9"/>
        <v>20027.781731628646</v>
      </c>
      <c r="I46">
        <v>0</v>
      </c>
      <c r="J46" s="206">
        <f ca="1">('Disease Projections'!G53*adl_episode_duration*prod_loss_adl*annual_adl_episodes*Productive_pop_based_on_starting_age)+('Disease Projections'!I53*$U$22*prod_loss_hydrocele*Productive_pop_based_on_starting_age)+('Disease Projections'!K53*$U$22*prod_loss_lymphedema*Productive_pop_based_on_starting_age)</f>
        <v>52478.429032022701</v>
      </c>
      <c r="K46" s="54">
        <f t="shared" ca="1" si="10"/>
        <v>137825.20804799182</v>
      </c>
      <c r="L46" s="54">
        <f t="shared" ca="1" si="11"/>
        <v>38665.888513951817</v>
      </c>
      <c r="M46" s="54">
        <f>('Disease Projections'!I53+'Disease Projections'!K53)*365*'Economic Costs'!$U$26</f>
        <v>4245.4129883003898</v>
      </c>
      <c r="N46" s="54">
        <f t="shared" si="12"/>
        <v>1191.0206240657126</v>
      </c>
      <c r="O46" s="206">
        <f ca="1">(avg_clinic_visit*'Disease Projections'!G53*annual_adl_episodes)+('Disease Projections'!I53*avg_clinic_visit*annual_hydrocele_visits)+('Disease Projections'!K53*avg_clinic_visit*annual_lymphedema_visits)</f>
        <v>7142.9378236257216</v>
      </c>
      <c r="P46" s="54">
        <f ca="1">'Disease Projections'!M53*yll*$U$21*$U$20</f>
        <v>2005.0907586791207</v>
      </c>
      <c r="Q46" s="131">
        <f t="shared" ca="1" si="13"/>
        <v>562.51404828967043</v>
      </c>
    </row>
    <row r="47" spans="1:17">
      <c r="A47">
        <v>44</v>
      </c>
      <c r="B47">
        <v>2065</v>
      </c>
      <c r="C47" s="54">
        <f ca="1">('Disease Projections'!G54*annual_adl_episodes*ccc_adl)+('Disease Projections'!I54*annual_hydrocele_visits*ccc_hydrocele)+('Disease Projections'!K54*annual_lymphedema_visits*ccc_le)</f>
        <v>46081.978058054745</v>
      </c>
      <c r="D47" s="54">
        <f t="shared" ca="1" si="7"/>
        <v>12551.430503760474</v>
      </c>
      <c r="E47" s="131">
        <f ca="1">(('Disease Projections'!G54*annual_adl_episodes)+('Disease Projections'!I54*annual_hydrocele_visits)+('Disease Projections'!K54*annual_lymphedema_visits)*'Economic Costs'!$U$19)</f>
        <v>28100.431913008651</v>
      </c>
      <c r="F47" s="131">
        <f t="shared" ca="1" si="8"/>
        <v>7653.7647285332168</v>
      </c>
      <c r="G47" s="54">
        <f ca="1">'Disease Projections'!G54*adl_episode_duration*annual_adl_episodes*min_daily_wage*$U$23+'Disease Projections'!K54*min_daily_wage*'Economic Costs'!$U$22*'Economic Costs'!$U$24+'Disease Projections'!I54*min_daily_wage*'Economic Costs'!$U$22*'Economic Costs'!$U$25</f>
        <v>62625.990208223397</v>
      </c>
      <c r="H47" s="54">
        <f t="shared" ca="1" si="9"/>
        <v>17057.552582430988</v>
      </c>
      <c r="I47">
        <v>0</v>
      </c>
      <c r="J47" s="206">
        <f ca="1">('Disease Projections'!G54*adl_episode_duration*prod_loss_adl*annual_adl_episodes*Productive_pop_based_on_starting_age)+('Disease Projections'!I54*$U$22*prod_loss_hydrocele*Productive_pop_based_on_starting_age)+('Disease Projections'!K54*$U$22*prod_loss_lymphedema*Productive_pop_based_on_starting_age)</f>
        <v>46036.45984820887</v>
      </c>
      <c r="K47" s="54">
        <f t="shared" ca="1" si="10"/>
        <v>120906.52813750686</v>
      </c>
      <c r="L47" s="54">
        <f t="shared" ca="1" si="11"/>
        <v>32931.526581976279</v>
      </c>
      <c r="M47" s="54">
        <f>('Disease Projections'!I54+'Disease Projections'!K54)*365*'Economic Costs'!$U$26</f>
        <v>3724.2689649816721</v>
      </c>
      <c r="N47" s="54">
        <f t="shared" si="12"/>
        <v>1014.3857764176159</v>
      </c>
      <c r="O47" s="206">
        <f ca="1">(avg_clinic_visit*'Disease Projections'!G54*annual_adl_episodes)+('Disease Projections'!I54*avg_clinic_visit*annual_hydrocele_visits)+('Disease Projections'!K54*avg_clinic_visit*annual_lymphedema_visits)</f>
        <v>6266.1092639594872</v>
      </c>
      <c r="P47" s="54">
        <f ca="1">'Disease Projections'!M54*yll*$U$21*$U$20</f>
        <v>1758.9566209693401</v>
      </c>
      <c r="Q47" s="131">
        <f t="shared" ca="1" si="13"/>
        <v>479.09015015398353</v>
      </c>
    </row>
    <row r="48" spans="1:17">
      <c r="A48">
        <v>45</v>
      </c>
      <c r="B48">
        <v>2066</v>
      </c>
      <c r="C48" s="54">
        <f ca="1">('Disease Projections'!G55*annual_adl_episodes*ccc_adl)+('Disease Projections'!I55*annual_hydrocele_visits*ccc_hydrocele)+('Disease Projections'!K55*annual_lymphedema_visits*ccc_le)</f>
        <v>40405.677501861072</v>
      </c>
      <c r="D48" s="54">
        <f t="shared" ca="1" si="7"/>
        <v>10684.821750866109</v>
      </c>
      <c r="E48" s="131">
        <f ca="1">(('Disease Projections'!G55*annual_adl_episodes)+('Disease Projections'!I55*annual_hydrocele_visits)+('Disease Projections'!K55*annual_lymphedema_visits)*'Economic Costs'!$U$19)</f>
        <v>24639.067969469925</v>
      </c>
      <c r="F48" s="131">
        <f t="shared" ca="1" si="8"/>
        <v>6515.5212246876663</v>
      </c>
      <c r="G48" s="54">
        <f ca="1">'Disease Projections'!G55*adl_episode_duration*annual_adl_episodes*min_daily_wage*$U$23+'Disease Projections'!K55*min_daily_wage*'Economic Costs'!$U$22*'Economic Costs'!$U$24+'Disease Projections'!I55*min_daily_wage*'Economic Costs'!$U$22*'Economic Costs'!$U$25</f>
        <v>54911.826059208921</v>
      </c>
      <c r="H48" s="54">
        <f t="shared" ca="1" si="9"/>
        <v>14520.80771149519</v>
      </c>
      <c r="I48">
        <v>0</v>
      </c>
      <c r="J48" s="206">
        <f ca="1">('Disease Projections'!G55*adl_episode_duration*prod_loss_adl*annual_adl_episodes*Productive_pop_based_on_starting_age)+('Disease Projections'!I55*$U$22*prod_loss_hydrocele*Productive_pop_based_on_starting_age)+('Disease Projections'!K55*$U$22*prod_loss_lymphedema*Productive_pop_based_on_starting_age)</f>
        <v>40365.766148551163</v>
      </c>
      <c r="K48" s="54">
        <f t="shared" ca="1" si="10"/>
        <v>106013.46534298525</v>
      </c>
      <c r="L48" s="54">
        <f t="shared" ca="1" si="11"/>
        <v>28034.054875809121</v>
      </c>
      <c r="M48" s="54">
        <f>('Disease Projections'!I55+'Disease Projections'!K55)*365*'Economic Costs'!$U$26</f>
        <v>3265.5197773771874</v>
      </c>
      <c r="N48" s="54">
        <f t="shared" si="12"/>
        <v>863.52955580552111</v>
      </c>
      <c r="O48" s="206">
        <f ca="1">(avg_clinic_visit*'Disease Projections'!G55*annual_adl_episodes)+('Disease Projections'!I55*avg_clinic_visit*annual_hydrocele_visits)+('Disease Projections'!K55*avg_clinic_visit*annual_lymphedema_visits)</f>
        <v>5494.2604632119564</v>
      </c>
      <c r="P48" s="54">
        <f ca="1">'Disease Projections'!M55*yll*$U$21*$U$20</f>
        <v>1542.2913026240565</v>
      </c>
      <c r="Q48" s="131">
        <f t="shared" ca="1" si="13"/>
        <v>407.8413895099302</v>
      </c>
    </row>
    <row r="49" spans="1:17">
      <c r="A49">
        <v>46</v>
      </c>
      <c r="B49">
        <v>2067</v>
      </c>
      <c r="C49" s="54">
        <f ca="1">('Disease Projections'!G56*annual_adl_episodes*ccc_adl)+('Disease Projections'!I56*annual_hydrocele_visits*ccc_hydrocele)+('Disease Projections'!K56*annual_lymphedema_visits*ccc_le)</f>
        <v>35413.517376273478</v>
      </c>
      <c r="D49" s="54">
        <f t="shared" ca="1" si="7"/>
        <v>9091.9434928577648</v>
      </c>
      <c r="E49" s="131">
        <f ca="1">(('Disease Projections'!G56*annual_adl_episodes)+('Disease Projections'!I56*annual_hydrocele_visits)+('Disease Projections'!K56*annual_lymphedema_visits)*'Economic Costs'!$U$19)</f>
        <v>21594.887541034717</v>
      </c>
      <c r="F49" s="131">
        <f t="shared" ca="1" si="8"/>
        <v>5544.1964482536914</v>
      </c>
      <c r="G49" s="54">
        <f ca="1">'Disease Projections'!G56*adl_episode_duration*annual_adl_episodes*min_daily_wage*$U$23+'Disease Projections'!K56*min_daily_wage*'Economic Costs'!$U$22*'Economic Costs'!$U$24+'Disease Projections'!I56*min_daily_wage*'Economic Costs'!$U$22*'Economic Costs'!$U$25</f>
        <v>48127.417396259058</v>
      </c>
      <c r="H49" s="54">
        <f t="shared" ca="1" si="9"/>
        <v>12356.066040396585</v>
      </c>
      <c r="I49">
        <v>0</v>
      </c>
      <c r="J49" s="206">
        <f ca="1">('Disease Projections'!G56*adl_episode_duration*prod_loss_adl*annual_adl_episodes*Productive_pop_based_on_starting_age)+('Disease Projections'!I56*$U$22*prod_loss_hydrocele*Productive_pop_based_on_starting_age)+('Disease Projections'!K56*$U$22*prod_loss_lymphedema*Productive_pop_based_on_starting_age)</f>
        <v>35378.537108862147</v>
      </c>
      <c r="K49" s="54">
        <f t="shared" ca="1" si="10"/>
        <v>92915.400239727504</v>
      </c>
      <c r="L49" s="54">
        <f t="shared" ca="1" si="11"/>
        <v>23854.77724847112</v>
      </c>
      <c r="M49" s="54">
        <f>('Disease Projections'!I56+'Disease Projections'!K56)*365*'Economic Costs'!$U$26</f>
        <v>2862.0616836182303</v>
      </c>
      <c r="N49" s="54">
        <f t="shared" si="12"/>
        <v>734.79577936430724</v>
      </c>
      <c r="O49" s="206">
        <f ca="1">(avg_clinic_visit*'Disease Projections'!G56*annual_adl_episodes)+('Disease Projections'!I56*avg_clinic_visit*annual_hydrocele_visits)+('Disease Projections'!K56*avg_clinic_visit*annual_lymphedema_visits)</f>
        <v>4815.4393247029984</v>
      </c>
      <c r="P49" s="54">
        <f ca="1">'Disease Projections'!M56*yll*$U$21*$U$20</f>
        <v>1351.7397361357648</v>
      </c>
      <c r="Q49" s="131">
        <f t="shared" ca="1" si="13"/>
        <v>347.0409665161053</v>
      </c>
    </row>
    <row r="50" spans="1:17">
      <c r="A50">
        <v>47</v>
      </c>
      <c r="B50">
        <v>2068</v>
      </c>
      <c r="C50" s="54">
        <f ca="1">('Disease Projections'!G57*annual_adl_episodes*ccc_adl)+('Disease Projections'!I57*annual_hydrocele_visits*ccc_hydrocele)+('Disease Projections'!K57*annual_lymphedema_visits*ccc_le)</f>
        <v>31026.546738619087</v>
      </c>
      <c r="D50" s="54">
        <f t="shared" ca="1" si="7"/>
        <v>7733.6387215823434</v>
      </c>
      <c r="E50" s="131">
        <f ca="1">(('Disease Projections'!G57*annual_adl_episodes)+('Disease Projections'!I57*annual_hydrocele_visits)+('Disease Projections'!K57*annual_lymphedema_visits)*'Economic Costs'!$U$19)</f>
        <v>18919.746956737952</v>
      </c>
      <c r="F50" s="131">
        <f t="shared" ca="1" si="8"/>
        <v>4715.9127601217733</v>
      </c>
      <c r="G50" s="54">
        <f ca="1">'Disease Projections'!G57*adl_episode_duration*annual_adl_episodes*min_daily_wage*$U$23+'Disease Projections'!K57*min_daily_wage*'Economic Costs'!$U$22*'Economic Costs'!$U$24+'Disease Projections'!I57*min_daily_wage*'Economic Costs'!$U$22*'Economic Costs'!$U$25</f>
        <v>42165.468891110519</v>
      </c>
      <c r="H50" s="54">
        <f t="shared" ca="1" si="9"/>
        <v>10510.112700491965</v>
      </c>
      <c r="I50">
        <v>0</v>
      </c>
      <c r="J50" s="206">
        <f ca="1">('Disease Projections'!G57*adl_episode_duration*prod_loss_adl*annual_adl_episodes*Productive_pop_based_on_starting_age)+('Disease Projections'!I57*$U$22*prod_loss_hydrocele*Productive_pop_based_on_starting_age)+('Disease Projections'!K57*$U$22*prod_loss_lymphedema*Productive_pop_based_on_starting_age)</f>
        <v>30995.899771523575</v>
      </c>
      <c r="K50" s="54">
        <f t="shared" ca="1" si="10"/>
        <v>81405.187111034233</v>
      </c>
      <c r="L50" s="54">
        <f t="shared" ca="1" si="11"/>
        <v>20290.956402052056</v>
      </c>
      <c r="M50" s="54">
        <f>('Disease Projections'!I57+'Disease Projections'!K57)*365*'Economic Costs'!$U$26</f>
        <v>2507.5139995861136</v>
      </c>
      <c r="N50" s="54">
        <f t="shared" si="12"/>
        <v>625.01984270042158</v>
      </c>
      <c r="O50" s="206">
        <f ca="1">(avg_clinic_visit*'Disease Projections'!G57*annual_adl_episodes)+('Disease Projections'!I57*avg_clinic_visit*annual_hydrocele_visits)+('Disease Projections'!K57*avg_clinic_visit*annual_lymphedema_visits)</f>
        <v>4218.9103016065255</v>
      </c>
      <c r="P50" s="54">
        <f ca="1">'Disease Projections'!M57*yll*$U$21*$U$20</f>
        <v>1184.2883511414198</v>
      </c>
      <c r="Q50" s="131">
        <f t="shared" ca="1" si="13"/>
        <v>295.19425178265357</v>
      </c>
    </row>
    <row r="51" spans="1:17">
      <c r="A51">
        <v>48</v>
      </c>
      <c r="B51">
        <v>2069</v>
      </c>
      <c r="C51" s="54">
        <f ca="1">('Disease Projections'!G58*annual_adl_episodes*ccc_adl)+('Disease Projections'!I58*annual_hydrocele_visits*ccc_hydrocele)+('Disease Projections'!K58*annual_lymphedema_visits*ccc_le)</f>
        <v>27174.104956846521</v>
      </c>
      <c r="D51" s="54">
        <f t="shared" ca="1" si="7"/>
        <v>6576.1008164177756</v>
      </c>
      <c r="E51" s="131">
        <f ca="1">(('Disease Projections'!G58*annual_adl_episodes)+('Disease Projections'!I58*annual_hydrocele_visits)+('Disease Projections'!K58*annual_lymphedema_visits)*'Economic Costs'!$U$19)</f>
        <v>16570.557912570875</v>
      </c>
      <c r="F51" s="131">
        <f t="shared" ca="1" si="8"/>
        <v>4010.0551458972873</v>
      </c>
      <c r="G51" s="54">
        <f ca="1">'Disease Projections'!G58*adl_episode_duration*annual_adl_episodes*min_daily_wage*$U$23+'Disease Projections'!K58*min_daily_wage*'Economic Costs'!$U$22*'Economic Costs'!$U$24+'Disease Projections'!I58*min_daily_wage*'Economic Costs'!$U$22*'Economic Costs'!$U$25</f>
        <v>36929.951852343373</v>
      </c>
      <c r="H51" s="54">
        <f t="shared" ca="1" si="9"/>
        <v>8937.0040673695494</v>
      </c>
      <c r="I51">
        <v>0</v>
      </c>
      <c r="J51" s="206">
        <f ca="1">('Disease Projections'!G58*adl_episode_duration*prod_loss_adl*annual_adl_episodes*Productive_pop_based_on_starting_age)+('Disease Projections'!I58*$U$22*prod_loss_hydrocele*Productive_pop_based_on_starting_age)+('Disease Projections'!K58*$U$22*prod_loss_lymphedema*Productive_pop_based_on_starting_age)</f>
        <v>27147.263300651957</v>
      </c>
      <c r="K51" s="54">
        <f t="shared" ca="1" si="10"/>
        <v>71297.431751679018</v>
      </c>
      <c r="L51" s="54">
        <f t="shared" ca="1" si="11"/>
        <v>17253.892994645917</v>
      </c>
      <c r="M51" s="54">
        <f>('Disease Projections'!I58+'Disease Projections'!K58)*365*'Economic Costs'!$U$26</f>
        <v>2196.1660503036619</v>
      </c>
      <c r="N51" s="54">
        <f t="shared" si="12"/>
        <v>531.46955085827756</v>
      </c>
      <c r="O51" s="206">
        <f ca="1">(avg_clinic_visit*'Disease Projections'!G58*annual_adl_episodes)+('Disease Projections'!I58*avg_clinic_visit*annual_hydrocele_visits)+('Disease Projections'!K58*avg_clinic_visit*annual_lymphedema_visits)</f>
        <v>3695.0651422859355</v>
      </c>
      <c r="P51" s="54">
        <f ca="1">'Disease Projections'!M58*yll*$U$21*$U$20</f>
        <v>1037.2400197870033</v>
      </c>
      <c r="Q51" s="131">
        <f t="shared" ca="1" si="13"/>
        <v>251.01084108471994</v>
      </c>
    </row>
    <row r="52" spans="1:17">
      <c r="A52">
        <v>49</v>
      </c>
      <c r="B52">
        <v>2070</v>
      </c>
      <c r="C52" s="54">
        <f ca="1">('Disease Projections'!G59*annual_adl_episodes*ccc_adl)+('Disease Projections'!I59*annual_hydrocele_visits*ccc_hydrocele)+('Disease Projections'!K59*annual_lymphedema_visits*ccc_le)</f>
        <v>23793.14745474884</v>
      </c>
      <c r="D52" s="54">
        <f t="shared" ca="1" si="7"/>
        <v>5590.2069464570686</v>
      </c>
      <c r="E52" s="131">
        <f ca="1">(('Disease Projections'!G59*annual_adl_episodes)+('Disease Projections'!I59*annual_hydrocele_visits)+('Disease Projections'!K59*annual_lymphedema_visits)*'Economic Costs'!$U$19)</f>
        <v>14508.876316160642</v>
      </c>
      <c r="F52" s="131">
        <f t="shared" ca="1" si="8"/>
        <v>3408.8647297354314</v>
      </c>
      <c r="G52" s="54">
        <f ca="1">'Disease Projections'!G59*adl_episode_duration*annual_adl_episodes*min_daily_wage*$U$23+'Disease Projections'!K59*min_daily_wage*'Economic Costs'!$U$22*'Economic Costs'!$U$24+'Disease Projections'!I59*min_daily_wage*'Economic Costs'!$U$22*'Economic Costs'!$U$25</f>
        <v>32335.187904623046</v>
      </c>
      <c r="H52" s="54">
        <f t="shared" ca="1" si="9"/>
        <v>7597.1618459978336</v>
      </c>
      <c r="I52">
        <v>0</v>
      </c>
      <c r="J52" s="206">
        <f ca="1">('Disease Projections'!G59*adl_episode_duration*prod_loss_adl*annual_adl_episodes*Productive_pop_based_on_starting_age)+('Disease Projections'!I59*$U$22*prod_loss_hydrocele*Productive_pop_based_on_starting_age)+('Disease Projections'!K59*$U$22*prod_loss_lymphedema*Productive_pop_based_on_starting_age)</f>
        <v>23769.645393327457</v>
      </c>
      <c r="K52" s="54">
        <f t="shared" ca="1" si="10"/>
        <v>62426.722407472887</v>
      </c>
      <c r="L52" s="54">
        <f t="shared" ca="1" si="11"/>
        <v>14667.176669690667</v>
      </c>
      <c r="M52" s="54">
        <f>('Disease Projections'!I59+'Disease Projections'!K59)*365*'Economic Costs'!$U$26</f>
        <v>1922.9226777834704</v>
      </c>
      <c r="N52" s="54">
        <f t="shared" si="12"/>
        <v>451.79124499140192</v>
      </c>
      <c r="O52" s="206">
        <f ca="1">(avg_clinic_visit*'Disease Projections'!G59*annual_adl_episodes)+('Disease Projections'!I59*avg_clinic_visit*annual_hydrocele_visits)+('Disease Projections'!K59*avg_clinic_visit*annual_lymphedema_visits)</f>
        <v>3235.3312068576888</v>
      </c>
      <c r="P52" s="54">
        <f ca="1">'Disease Projections'!M59*yll*$U$21*$U$20</f>
        <v>908.18832031267493</v>
      </c>
      <c r="Q52" s="131">
        <f t="shared" ca="1" si="13"/>
        <v>213.37911121505655</v>
      </c>
    </row>
    <row r="53" spans="1:17">
      <c r="A53">
        <v>50</v>
      </c>
      <c r="B53">
        <v>2071</v>
      </c>
      <c r="C53" s="54">
        <f ca="1">('Disease Projections'!G60*annual_adl_episodes*ccc_adl)+('Disease Projections'!I60*annual_hydrocele_visits*ccc_hydrocele)+('Disease Projections'!K60*annual_lymphedema_visits*ccc_le)</f>
        <v>20827.576172962759</v>
      </c>
      <c r="D53" s="54">
        <f t="shared" ca="1" si="7"/>
        <v>4750.9175799131954</v>
      </c>
      <c r="E53" s="131">
        <f ca="1">(('Disease Projections'!G60*annual_adl_episodes)+('Disease Projections'!I60*annual_hydrocele_visits)+('Disease Projections'!K60*annual_lymphedema_visits)*'Economic Costs'!$U$19)</f>
        <v>12700.494007093563</v>
      </c>
      <c r="F53" s="131">
        <f t="shared" ca="1" si="8"/>
        <v>2897.0725998453836</v>
      </c>
      <c r="G53" s="54">
        <f ca="1">'Disease Projections'!G60*adl_episode_duration*annual_adl_episodes*min_daily_wage*$U$23+'Disease Projections'!K60*min_daily_wage*'Economic Costs'!$U$22*'Economic Costs'!$U$24+'Disease Projections'!I60*min_daily_wage*'Economic Costs'!$U$22*'Economic Costs'!$U$25</f>
        <v>28304.939076741815</v>
      </c>
      <c r="H53" s="54">
        <f t="shared" ca="1" si="9"/>
        <v>6456.5569964224705</v>
      </c>
      <c r="I53">
        <v>0</v>
      </c>
      <c r="J53" s="206">
        <f ca="1">('Disease Projections'!G60*adl_episode_duration*prod_loss_adl*annual_adl_episodes*Productive_pop_based_on_starting_age)+('Disease Projections'!I60*$U$22*prod_loss_hydrocele*Productive_pop_based_on_starting_age)+('Disease Projections'!K60*$U$22*prod_loss_lymphedema*Productive_pop_based_on_starting_age)</f>
        <v>20807.003401940918</v>
      </c>
      <c r="K53" s="54">
        <f t="shared" ca="1" si="10"/>
        <v>54645.873087738051</v>
      </c>
      <c r="L53" s="54">
        <f t="shared" ca="1" si="11"/>
        <v>12465.110532605433</v>
      </c>
      <c r="M53" s="54">
        <f>('Disease Projections'!I60+'Disease Projections'!K60)*365*'Economic Costs'!$U$26</f>
        <v>1683.2501299973776</v>
      </c>
      <c r="N53" s="54">
        <f t="shared" si="12"/>
        <v>383.96127170942555</v>
      </c>
      <c r="O53" s="206">
        <f ca="1">(avg_clinic_visit*'Disease Projections'!G60*annual_adl_episodes)+('Disease Projections'!I60*avg_clinic_visit*annual_hydrocele_visits)+('Disease Projections'!K60*avg_clinic_visit*annual_lymphedema_visits)</f>
        <v>2832.0804249940857</v>
      </c>
      <c r="P53" s="54">
        <f ca="1">'Disease Projections'!M60*yll*$U$21*$U$20</f>
        <v>794.99198063987308</v>
      </c>
      <c r="Q53" s="131">
        <f t="shared" ca="1" si="13"/>
        <v>181.34329916003406</v>
      </c>
    </row>
    <row r="54" spans="1:17">
      <c r="A54">
        <v>51</v>
      </c>
      <c r="B54">
        <v>2072</v>
      </c>
      <c r="C54" s="54">
        <f ca="1">('Disease Projections'!G61*annual_adl_episodes*ccc_adl)+('Disease Projections'!I61*annual_hydrocele_visits*ccc_hydrocele)+('Disease Projections'!K61*annual_lymphedema_visits*ccc_le)</f>
        <v>18227.590750316343</v>
      </c>
      <c r="D54" s="54">
        <f t="shared" ca="1" si="7"/>
        <v>4036.740288987759</v>
      </c>
      <c r="E54" s="131">
        <f ca="1">(('Disease Projections'!G61*annual_adl_episodes)+('Disease Projections'!I61*annual_hydrocele_visits)+('Disease Projections'!K61*annual_lymphedema_visits)*'Economic Costs'!$U$19)</f>
        <v>11115.043112345778</v>
      </c>
      <c r="F54" s="131">
        <f t="shared" ca="1" si="8"/>
        <v>2461.5728408683631</v>
      </c>
      <c r="G54" s="54">
        <f ca="1">'Disease Projections'!G61*adl_episode_duration*annual_adl_episodes*min_daily_wage*$U$23+'Disease Projections'!K61*min_daily_wage*'Economic Costs'!$U$22*'Economic Costs'!$U$24+'Disease Projections'!I61*min_daily_wage*'Economic Costs'!$U$22*'Economic Costs'!$U$25</f>
        <v>24771.526048875559</v>
      </c>
      <c r="H54" s="54">
        <f t="shared" ca="1" si="9"/>
        <v>5485.9810378105103</v>
      </c>
      <c r="I54">
        <v>0</v>
      </c>
      <c r="J54" s="206">
        <f ca="1">('Disease Projections'!G61*adl_episode_duration*prod_loss_adl*annual_adl_episodes*Productive_pop_based_on_starting_age)+('Disease Projections'!I61*$U$22*prod_loss_hydrocele*Productive_pop_based_on_starting_age)+('Disease Projections'!K61*$U$22*prod_loss_lymphedema*Productive_pop_based_on_starting_age)</f>
        <v>18209.586156422556</v>
      </c>
      <c r="K54" s="54">
        <f t="shared" ca="1" si="10"/>
        <v>47824.221242318628</v>
      </c>
      <c r="L54" s="54">
        <f t="shared" ca="1" si="11"/>
        <v>10591.304321169342</v>
      </c>
      <c r="M54" s="54">
        <f>('Disease Projections'!I61+'Disease Projections'!K61)*365*'Economic Costs'!$U$26</f>
        <v>1473.1236244301044</v>
      </c>
      <c r="N54" s="54">
        <f t="shared" si="12"/>
        <v>326.24264867771785</v>
      </c>
      <c r="O54" s="206">
        <f ca="1">(avg_clinic_visit*'Disease Projections'!G61*annual_adl_episodes)+('Disease Projections'!I61*avg_clinic_visit*annual_hydrocele_visits)+('Disease Projections'!K61*avg_clinic_visit*annual_lymphedema_visits)</f>
        <v>2478.5410712259018</v>
      </c>
      <c r="P54" s="54">
        <f ca="1">'Disease Projections'!M61*yll*$U$21*$U$20</f>
        <v>695.75011285750031</v>
      </c>
      <c r="Q54" s="131">
        <f t="shared" ca="1" si="13"/>
        <v>154.08303544399627</v>
      </c>
    </row>
    <row r="55" spans="1:17">
      <c r="A55">
        <v>52</v>
      </c>
      <c r="B55">
        <v>2073</v>
      </c>
      <c r="C55" s="54">
        <f ca="1">('Disease Projections'!G62*annual_adl_episodes*ccc_adl)+('Disease Projections'!I62*annual_hydrocele_visits*ccc_hydrocele)+('Disease Projections'!K62*annual_lymphedema_visits*ccc_le)</f>
        <v>15949.071238486811</v>
      </c>
      <c r="D55" s="54">
        <f t="shared" ca="1" si="7"/>
        <v>3429.2544684418713</v>
      </c>
      <c r="E55" s="131">
        <f ca="1">(('Disease Projections'!G62*annual_adl_episodes)+('Disease Projections'!I62*annual_hydrocele_visits)+('Disease Projections'!K62*annual_lymphedema_visits)*'Economic Costs'!$U$19)</f>
        <v>9725.6196304812438</v>
      </c>
      <c r="F55" s="131">
        <f t="shared" ca="1" si="8"/>
        <v>2091.1327109576609</v>
      </c>
      <c r="G55" s="54">
        <f ca="1">'Disease Projections'!G62*adl_episode_duration*annual_adl_episodes*min_daily_wage*$U$23+'Disease Projections'!K62*min_daily_wage*'Economic Costs'!$U$22*'Economic Costs'!$U$24+'Disease Projections'!I62*min_daily_wage*'Economic Costs'!$U$22*'Economic Costs'!$U$25</f>
        <v>21674.989254007207</v>
      </c>
      <c r="H55" s="54">
        <f t="shared" ca="1" si="9"/>
        <v>4660.4001349852788</v>
      </c>
      <c r="I55">
        <v>0</v>
      </c>
      <c r="J55" s="206">
        <f ca="1">('Disease Projections'!G62*adl_episode_duration*prod_loss_adl*annual_adl_episodes*Productive_pop_based_on_starting_age)+('Disease Projections'!I62*$U$22*prod_loss_hydrocele*Productive_pop_based_on_starting_age)+('Disease Projections'!K62*$U$22*prod_loss_lymphedema*Productive_pop_based_on_starting_age)</f>
        <v>15933.317288633232</v>
      </c>
      <c r="K55" s="54">
        <f t="shared" ca="1" si="10"/>
        <v>41846.008173387163</v>
      </c>
      <c r="L55" s="54">
        <f t="shared" ca="1" si="11"/>
        <v>8997.4273968230009</v>
      </c>
      <c r="M55" s="54">
        <f>('Disease Projections'!I62+'Disease Projections'!K62)*365*'Economic Costs'!$U$26</f>
        <v>1288.9774601026668</v>
      </c>
      <c r="N55" s="54">
        <f t="shared" si="12"/>
        <v>277.14665316130964</v>
      </c>
      <c r="O55" s="206">
        <f ca="1">(avg_clinic_visit*'Disease Projections'!G62*annual_adl_episodes)+('Disease Projections'!I62*avg_clinic_visit*annual_hydrocele_visits)+('Disease Projections'!K62*avg_clinic_visit*annual_lymphedema_visits)</f>
        <v>2168.7138280637146</v>
      </c>
      <c r="P55" s="54">
        <f ca="1">'Disease Projections'!M62*yll*$U$21*$U$20</f>
        <v>608.77865133969658</v>
      </c>
      <c r="Q55" s="131">
        <f t="shared" ca="1" si="13"/>
        <v>130.89520255956543</v>
      </c>
    </row>
    <row r="56" spans="1:17">
      <c r="A56">
        <v>53</v>
      </c>
      <c r="B56">
        <v>2074</v>
      </c>
      <c r="C56" s="54">
        <f ca="1">('Disease Projections'!G63*annual_adl_episodes*ccc_adl)+('Disease Projections'!I63*annual_hydrocele_visits*ccc_hydrocele)+('Disease Projections'!K63*annual_lymphedema_visits*ccc_le)</f>
        <v>13952.999144783436</v>
      </c>
      <c r="D56" s="54">
        <f t="shared" ca="1" si="7"/>
        <v>2912.692638898357</v>
      </c>
      <c r="E56" s="131">
        <f ca="1">(('Disease Projections'!G63*annual_adl_episodes)+('Disease Projections'!I63*annual_hydrocele_visits)+('Disease Projections'!K63*annual_lymphedema_visits)*'Economic Costs'!$U$19)</f>
        <v>8508.430388042374</v>
      </c>
      <c r="F56" s="131">
        <f t="shared" ca="1" si="8"/>
        <v>1776.1373237878715</v>
      </c>
      <c r="G56" s="54">
        <f ca="1">'Disease Projections'!G63*adl_episode_duration*annual_adl_episodes*min_daily_wage*$U$23+'Disease Projections'!K63*min_daily_wage*'Economic Costs'!$U$22*'Economic Costs'!$U$24+'Disease Projections'!I63*min_daily_wage*'Economic Costs'!$U$22*'Economic Costs'!$U$25</f>
        <v>18962.302067756405</v>
      </c>
      <c r="H56" s="54">
        <f t="shared" ca="1" si="9"/>
        <v>3958.3860843258453</v>
      </c>
      <c r="I56">
        <v>0</v>
      </c>
      <c r="J56" s="206">
        <f ca="1">('Disease Projections'!G63*adl_episode_duration*prod_loss_adl*annual_adl_episodes*Productive_pop_based_on_starting_age)+('Disease Projections'!I63*$U$22*prod_loss_hydrocele*Productive_pop_based_on_starting_age)+('Disease Projections'!K63*$U$22*prod_loss_lymphedema*Productive_pop_based_on_starting_age)</f>
        <v>13939.216847021577</v>
      </c>
      <c r="K56" s="54">
        <f t="shared" ca="1" si="10"/>
        <v>36608.860009786244</v>
      </c>
      <c r="L56" s="54">
        <f t="shared" ca="1" si="11"/>
        <v>7642.1101988550163</v>
      </c>
      <c r="M56" s="54">
        <f>('Disease Projections'!I63+'Disease Projections'!K63)*365*'Economic Costs'!$U$26</f>
        <v>1127.6582272112289</v>
      </c>
      <c r="N56" s="54">
        <f t="shared" si="12"/>
        <v>235.39898365286513</v>
      </c>
      <c r="O56" s="206">
        <f ca="1">(avg_clinic_visit*'Disease Projections'!G63*annual_adl_episodes)+('Disease Projections'!I63*avg_clinic_visit*annual_hydrocele_visits)+('Disease Projections'!K63*avg_clinic_visit*annual_lymphedema_visits)</f>
        <v>1897.2930608794486</v>
      </c>
      <c r="P56" s="54">
        <f ca="1">'Disease Projections'!M63*yll*$U$21*$U$20</f>
        <v>532.58825385440468</v>
      </c>
      <c r="Q56" s="131">
        <f t="shared" ca="1" si="13"/>
        <v>111.17795324637576</v>
      </c>
    </row>
    <row r="57" spans="1:17">
      <c r="A57">
        <v>54</v>
      </c>
      <c r="B57">
        <v>2075</v>
      </c>
      <c r="C57" s="54">
        <f ca="1">('Disease Projections'!G64*annual_adl_episodes*ccc_adl)+('Disease Projections'!I64*annual_hydrocele_visits*ccc_hydrocele)+('Disease Projections'!K64*annual_lymphedema_visits*ccc_le)</f>
        <v>12204.920552062074</v>
      </c>
      <c r="D57" s="54">
        <f t="shared" ca="1" si="7"/>
        <v>2473.5735175603218</v>
      </c>
      <c r="E57" s="131">
        <f ca="1">(('Disease Projections'!G64*annual_adl_episodes)+('Disease Projections'!I64*annual_hydrocele_visits)+('Disease Projections'!K64*annual_lymphedema_visits)*'Economic Costs'!$U$19)</f>
        <v>7442.4656542483872</v>
      </c>
      <c r="F57" s="131">
        <f t="shared" ca="1" si="8"/>
        <v>1508.365897932101</v>
      </c>
      <c r="G57" s="54">
        <f ca="1">'Disease Projections'!G64*adl_episode_duration*annual_adl_episodes*min_daily_wage*$U$23+'Disease Projections'!K64*min_daily_wage*'Economic Costs'!$U$22*'Economic Costs'!$U$24+'Disease Projections'!I64*min_daily_wage*'Economic Costs'!$U$22*'Economic Costs'!$U$25</f>
        <v>16586.641181562361</v>
      </c>
      <c r="H57" s="54">
        <f t="shared" ca="1" si="9"/>
        <v>3361.617652239137</v>
      </c>
      <c r="I57">
        <v>0</v>
      </c>
      <c r="J57" s="206">
        <f ca="1">('Disease Projections'!G64*adl_episode_duration*prod_loss_adl*annual_adl_episodes*Productive_pop_based_on_starting_age)+('Disease Projections'!I64*$U$22*prod_loss_hydrocele*Productive_pop_based_on_starting_age)+('Disease Projections'!K64*$U$22*prod_loss_lymphedema*Productive_pop_based_on_starting_age)</f>
        <v>12192.864946850397</v>
      </c>
      <c r="K57" s="54">
        <f t="shared" ca="1" si="10"/>
        <v>32022.379080274673</v>
      </c>
      <c r="L57" s="54">
        <f t="shared" ca="1" si="11"/>
        <v>6489.9815221543795</v>
      </c>
      <c r="M57" s="54">
        <f>('Disease Projections'!I64+'Disease Projections'!K64)*365*'Economic Costs'!$U$26</f>
        <v>986.38141736988007</v>
      </c>
      <c r="N57" s="54">
        <f t="shared" si="12"/>
        <v>199.91010525730303</v>
      </c>
      <c r="O57" s="206">
        <f ca="1">(avg_clinic_visit*'Disease Projections'!G64*annual_adl_episodes)+('Disease Projections'!I64*avg_clinic_visit*annual_hydrocele_visits)+('Disease Projections'!K64*avg_clinic_visit*annual_lymphedema_visits)</f>
        <v>1659.5938143284216</v>
      </c>
      <c r="P57" s="54">
        <f ca="1">'Disease Projections'!M64*yll*$U$21*$U$20</f>
        <v>465.86380876291287</v>
      </c>
      <c r="Q57" s="131">
        <f t="shared" ca="1" si="13"/>
        <v>94.416704740534598</v>
      </c>
    </row>
    <row r="58" spans="1:17">
      <c r="A58">
        <v>55</v>
      </c>
      <c r="B58">
        <v>2076</v>
      </c>
      <c r="C58" s="54">
        <f ca="1">('Disease Projections'!G65*annual_adl_episodes*ccc_adl)+('Disease Projections'!I65*annual_hydrocele_visits*ccc_hydrocele)+('Disease Projections'!K65*annual_lymphedema_visits*ccc_le)</f>
        <v>10674.452808037546</v>
      </c>
      <c r="D58" s="54">
        <f t="shared" ca="1" si="7"/>
        <v>2100.3818789489028</v>
      </c>
      <c r="E58" s="131">
        <f ca="1">(('Disease Projections'!G65*annual_adl_episodes)+('Disease Projections'!I65*annual_hydrocele_visits)+('Disease Projections'!K65*annual_lymphedema_visits)*'Economic Costs'!$U$19)</f>
        <v>6509.1983239737065</v>
      </c>
      <c r="F58" s="131">
        <f t="shared" ca="1" si="8"/>
        <v>1280.7965384290687</v>
      </c>
      <c r="G58" s="54">
        <f ca="1">'Disease Projections'!G65*adl_episode_duration*annual_adl_episodes*min_daily_wage*$U$23+'Disease Projections'!K65*min_daily_wage*'Economic Costs'!$U$22*'Economic Costs'!$U$24+'Disease Projections'!I65*min_daily_wage*'Economic Costs'!$U$22*'Economic Costs'!$U$25</f>
        <v>14506.716187228734</v>
      </c>
      <c r="H58" s="54">
        <f t="shared" ca="1" si="9"/>
        <v>2854.4455018590943</v>
      </c>
      <c r="I58">
        <v>0</v>
      </c>
      <c r="J58" s="206">
        <f ca="1">('Disease Projections'!G65*adl_episode_duration*prod_loss_adl*annual_adl_episodes*Productive_pop_based_on_starting_age)+('Disease Projections'!I65*$U$22*prod_loss_hydrocele*Productive_pop_based_on_starting_age)+('Disease Projections'!K65*$U$22*prod_loss_lymphedema*Productive_pop_based_on_starting_age)</f>
        <v>10663.908946784582</v>
      </c>
      <c r="K58" s="54">
        <f t="shared" ca="1" si="10"/>
        <v>28006.849600977414</v>
      </c>
      <c r="L58" s="54">
        <f t="shared" ca="1" si="11"/>
        <v>5510.8285591975946</v>
      </c>
      <c r="M58" s="54">
        <f>('Disease Projections'!I65+'Disease Projections'!K65)*365*'Economic Costs'!$U$26</f>
        <v>862.69155505981882</v>
      </c>
      <c r="N58" s="54">
        <f t="shared" si="12"/>
        <v>169.74937656809206</v>
      </c>
      <c r="O58" s="206">
        <f ca="1">(avg_clinic_visit*'Disease Projections'!G65*annual_adl_episodes)+('Disease Projections'!I65*avg_clinic_visit*annual_hydrocele_visits)+('Disease Projections'!K65*avg_clinic_visit*annual_lymphedema_visits)</f>
        <v>1451.4847332264435</v>
      </c>
      <c r="P58" s="54">
        <f ca="1">'Disease Projections'!M65*yll*$U$21*$U$20</f>
        <v>407.44560527042171</v>
      </c>
      <c r="Q58" s="131">
        <f t="shared" ca="1" si="13"/>
        <v>80.171919006750002</v>
      </c>
    </row>
    <row r="59" spans="1:17">
      <c r="A59">
        <v>56</v>
      </c>
      <c r="B59">
        <v>2077</v>
      </c>
      <c r="C59" s="54">
        <f ca="1">('Disease Projections'!G66*annual_adl_episodes*ccc_adl)+('Disease Projections'!I66*annual_hydrocele_visits*ccc_hydrocele)+('Disease Projections'!K66*annual_lymphedema_visits*ccc_le)</f>
        <v>9334.8346480754517</v>
      </c>
      <c r="D59" s="54">
        <f t="shared" ca="1" si="7"/>
        <v>1783.2902948074452</v>
      </c>
      <c r="E59" s="131">
        <f ca="1">(('Disease Projections'!G66*annual_adl_episodes)+('Disease Projections'!I66*annual_hydrocele_visits)+('Disease Projections'!K66*annual_lymphedema_visits)*'Economic Costs'!$U$19)</f>
        <v>5692.3095861243773</v>
      </c>
      <c r="F59" s="131">
        <f t="shared" ca="1" si="8"/>
        <v>1087.4365559402611</v>
      </c>
      <c r="G59" s="54">
        <f ca="1">'Disease Projections'!G66*adl_episode_duration*annual_adl_episodes*min_daily_wage*$U$23+'Disease Projections'!K66*min_daily_wage*'Economic Costs'!$U$22*'Economic Costs'!$U$24+'Disease Projections'!I66*min_daily_wage*'Economic Costs'!$U$22*'Economic Costs'!$U$25</f>
        <v>12686.158188115667</v>
      </c>
      <c r="H59" s="54">
        <f t="shared" ca="1" si="9"/>
        <v>2423.5140340619578</v>
      </c>
      <c r="I59">
        <v>0</v>
      </c>
      <c r="J59" s="206">
        <f ca="1">('Disease Projections'!G66*adl_episode_duration*prod_loss_adl*annual_adl_episodes*Productive_pop_based_on_starting_age)+('Disease Projections'!I66*$U$22*prod_loss_hydrocele*Productive_pop_based_on_starting_age)+('Disease Projections'!K66*$U$22*prod_loss_lymphedema*Productive_pop_based_on_starting_age)</f>
        <v>9325.6140160563045</v>
      </c>
      <c r="K59" s="54">
        <f t="shared" ca="1" si="10"/>
        <v>24492.057320426396</v>
      </c>
      <c r="L59" s="54">
        <f t="shared" ca="1" si="11"/>
        <v>4678.8668215337639</v>
      </c>
      <c r="M59" s="54">
        <f>('Disease Projections'!I66+'Disease Projections'!K66)*365*'Economic Costs'!$U$26</f>
        <v>754.42583930023602</v>
      </c>
      <c r="N59" s="54">
        <f t="shared" si="12"/>
        <v>144.12256114825163</v>
      </c>
      <c r="O59" s="206">
        <f ca="1">(avg_clinic_visit*'Disease Projections'!G66*annual_adl_episodes)+('Disease Projections'!I66*avg_clinic_visit*annual_hydrocele_visits)+('Disease Projections'!K66*avg_clinic_visit*annual_lymphedema_visits)</f>
        <v>1269.3268894001278</v>
      </c>
      <c r="P59" s="54">
        <f ca="1">'Disease Projections'!M66*yll*$U$21*$U$20</f>
        <v>356.31216153960889</v>
      </c>
      <c r="Q59" s="131">
        <f t="shared" ca="1" si="13"/>
        <v>68.068481505073933</v>
      </c>
    </row>
    <row r="60" spans="1:17">
      <c r="A60">
        <v>57</v>
      </c>
      <c r="B60">
        <v>2078</v>
      </c>
      <c r="C60" s="54">
        <f ca="1">('Disease Projections'!G67*annual_adl_episodes*ccc_adl)+('Disease Projections'!I67*annual_hydrocele_visits*ccc_hydrocele)+('Disease Projections'!K67*annual_lymphedema_visits*ccc_le)</f>
        <v>8162.5184796173598</v>
      </c>
      <c r="D60" s="54">
        <f t="shared" ca="1" si="7"/>
        <v>1513.9180581515977</v>
      </c>
      <c r="E60" s="131">
        <f ca="1">(('Disease Projections'!G67*annual_adl_episodes)+('Disease Projections'!I67*annual_hydrocele_visits)+('Disease Projections'!K67*annual_lymphedema_visits)*'Economic Costs'!$U$19)</f>
        <v>4977.4403018507255</v>
      </c>
      <c r="F60" s="131">
        <f t="shared" ca="1" si="8"/>
        <v>923.17546051014847</v>
      </c>
      <c r="G60" s="54">
        <f ca="1">'Disease Projections'!G67*adl_episode_duration*annual_adl_episodes*min_daily_wage*$U$23+'Disease Projections'!K67*min_daily_wage*'Economic Costs'!$U$22*'Economic Costs'!$U$24+'Disease Projections'!I67*min_daily_wage*'Economic Costs'!$U$22*'Economic Costs'!$U$25</f>
        <v>11092.965708524058</v>
      </c>
      <c r="H60" s="54">
        <f t="shared" ca="1" si="9"/>
        <v>2057.4337622054927</v>
      </c>
      <c r="I60">
        <v>0</v>
      </c>
      <c r="J60" s="206">
        <f ca="1">('Disease Projections'!G67*adl_episode_duration*prod_loss_adl*annual_adl_episodes*Productive_pop_based_on_starting_age)+('Disease Projections'!I67*$U$22*prod_loss_hydrocele*Productive_pop_based_on_starting_age)+('Disease Projections'!K67*$U$22*prod_loss_lymphedema*Productive_pop_based_on_starting_age)</f>
        <v>8154.4558216177829</v>
      </c>
      <c r="K60" s="54">
        <f t="shared" ca="1" si="10"/>
        <v>21416.219785215442</v>
      </c>
      <c r="L60" s="54">
        <f t="shared" ca="1" si="11"/>
        <v>3972.1076223157388</v>
      </c>
      <c r="M60" s="54">
        <f>('Disease Projections'!I67+'Disease Projections'!K67)*365*'Economic Costs'!$U$26</f>
        <v>659.68119275241816</v>
      </c>
      <c r="N60" s="54">
        <f t="shared" si="12"/>
        <v>122.35234417229616</v>
      </c>
      <c r="O60" s="206">
        <f ca="1">(avg_clinic_visit*'Disease Projections'!G67*annual_adl_episodes)+('Disease Projections'!I67*avg_clinic_visit*annual_hydrocele_visits)+('Disease Projections'!K67*avg_clinic_visit*annual_lymphedema_visits)</f>
        <v>1109.9183415680382</v>
      </c>
      <c r="P60" s="54">
        <f ca="1">'Disease Projections'!M67*yll*$U$21*$U$20</f>
        <v>311.56466212061781</v>
      </c>
      <c r="Q60" s="131">
        <f t="shared" ca="1" si="13"/>
        <v>57.7864992825616</v>
      </c>
    </row>
    <row r="61" spans="1:17">
      <c r="A61">
        <v>58</v>
      </c>
      <c r="B61">
        <v>2079</v>
      </c>
      <c r="C61" s="54">
        <f ca="1">('Disease Projections'!G68*annual_adl_episodes*ccc_adl)+('Disease Projections'!I68*annual_hydrocele_visits*ccc_hydrocele)+('Disease Projections'!K68*annual_lymphedema_visits*ccc_le)</f>
        <v>7136.8027996748351</v>
      </c>
      <c r="D61" s="54">
        <f t="shared" ca="1" si="7"/>
        <v>1285.1229039810523</v>
      </c>
      <c r="E61" s="131">
        <f ca="1">(('Disease Projections'!G68*annual_adl_episodes)+('Disease Projections'!I68*annual_hydrocele_visits)+('Disease Projections'!K68*annual_lymphedema_visits)*'Economic Costs'!$U$19)</f>
        <v>4351.9668555933058</v>
      </c>
      <c r="F61" s="131">
        <f t="shared" ca="1" si="8"/>
        <v>783.65795447566188</v>
      </c>
      <c r="G61" s="54">
        <f ca="1">'Disease Projections'!G68*adl_episode_duration*annual_adl_episodes*min_daily_wage*$U$23+'Disease Projections'!K68*min_daily_wage*'Economic Costs'!$U$22*'Economic Costs'!$U$24+'Disease Projections'!I68*min_daily_wage*'Economic Costs'!$U$22*'Economic Costs'!$U$25</f>
        <v>9699.0051444272704</v>
      </c>
      <c r="H61" s="54">
        <f t="shared" ca="1" si="9"/>
        <v>1746.4982579456223</v>
      </c>
      <c r="I61">
        <v>0</v>
      </c>
      <c r="J61" s="206">
        <f ca="1">('Disease Projections'!G68*adl_episode_duration*prod_loss_adl*annual_adl_episodes*Productive_pop_based_on_starting_age)+('Disease Projections'!I68*$U$22*prod_loss_hydrocele*Productive_pop_based_on_starting_age)+('Disease Projections'!K68*$U$22*prod_loss_lymphedema*Productive_pop_based_on_starting_age)</f>
        <v>7129.7533087208012</v>
      </c>
      <c r="K61" s="54">
        <f t="shared" ca="1" si="10"/>
        <v>18725.021903869812</v>
      </c>
      <c r="L61" s="54">
        <f t="shared" ca="1" si="11"/>
        <v>3371.8116083165955</v>
      </c>
      <c r="M61" s="54">
        <f>('Disease Projections'!I68+'Disease Projections'!K68)*365*'Economic Costs'!$U$26</f>
        <v>576.78455431184443</v>
      </c>
      <c r="N61" s="54">
        <f t="shared" si="12"/>
        <v>103.86149963992654</v>
      </c>
      <c r="O61" s="206">
        <f ca="1">(avg_clinic_visit*'Disease Projections'!G68*annual_adl_episodes)+('Disease Projections'!I68*avg_clinic_visit*annual_hydrocele_visits)+('Disease Projections'!K68*avg_clinic_visit*annual_lymphedema_visits)</f>
        <v>970.4441524136746</v>
      </c>
      <c r="P61" s="54">
        <f ca="1">'Disease Projections'!M68*yll*$U$21*$U$20</f>
        <v>272.41292726683122</v>
      </c>
      <c r="Q61" s="131">
        <f t="shared" ca="1" si="13"/>
        <v>49.0533509188568</v>
      </c>
    </row>
    <row r="62" spans="1:17">
      <c r="A62">
        <v>59</v>
      </c>
      <c r="B62">
        <v>2080</v>
      </c>
      <c r="C62" s="54">
        <f ca="1">('Disease Projections'!G69*annual_adl_episodes*ccc_adl)+('Disease Projections'!I69*annual_hydrocele_visits*ccc_hydrocele)+('Disease Projections'!K69*annual_lymphedema_visits*ccc_le)</f>
        <v>6239.502247339251</v>
      </c>
      <c r="D62" s="54">
        <f t="shared" ca="1" si="7"/>
        <v>1090.8214965034317</v>
      </c>
      <c r="E62" s="131">
        <f ca="1">(('Disease Projections'!G69*annual_adl_episodes)+('Disease Projections'!I69*annual_hydrocele_visits)+('Disease Projections'!K69*annual_lymphedema_visits)*'Economic Costs'!$U$19)</f>
        <v>3804.7999556688819</v>
      </c>
      <c r="F62" s="131">
        <f t="shared" ca="1" si="8"/>
        <v>665.17446697110859</v>
      </c>
      <c r="G62" s="54">
        <f ca="1">'Disease Projections'!G69*adl_episode_duration*annual_adl_episodes*min_daily_wage*$U$23+'Disease Projections'!K69*min_daily_wage*'Economic Costs'!$U$22*'Economic Costs'!$U$24+'Disease Projections'!I69*min_daily_wage*'Economic Costs'!$U$22*'Economic Costs'!$U$25</f>
        <v>8479.5623606646623</v>
      </c>
      <c r="H62" s="54">
        <f t="shared" ca="1" si="9"/>
        <v>1482.4401911063981</v>
      </c>
      <c r="I62">
        <v>0</v>
      </c>
      <c r="J62" s="206">
        <f ca="1">('Disease Projections'!G69*adl_episode_duration*prod_loss_adl*annual_adl_episodes*Productive_pop_based_on_starting_age)+('Disease Projections'!I69*$U$22*prod_loss_hydrocele*Productive_pop_based_on_starting_age)+('Disease Projections'!K69*$U$22*prod_loss_lymphedema*Productive_pop_based_on_starting_age)</f>
        <v>6233.3390793374256</v>
      </c>
      <c r="K62" s="54">
        <f t="shared" ca="1" si="10"/>
        <v>16370.750254721284</v>
      </c>
      <c r="L62" s="54">
        <f t="shared" ca="1" si="11"/>
        <v>2862.0177674195274</v>
      </c>
      <c r="M62" s="54">
        <f>('Disease Projections'!I69+'Disease Projections'!K69)*365*'Economic Costs'!$U$26</f>
        <v>504.26621329978337</v>
      </c>
      <c r="N62" s="54">
        <f t="shared" si="12"/>
        <v>88.158382451477721</v>
      </c>
      <c r="O62" s="206">
        <f ca="1">(avg_clinic_visit*'Disease Projections'!G69*annual_adl_episodes)+('Disease Projections'!I69*avg_clinic_visit*annual_hydrocele_visits)+('Disease Projections'!K69*avg_clinic_visit*annual_lymphedema_visits)</f>
        <v>848.43152317144552</v>
      </c>
      <c r="P62" s="54">
        <f ca="1">'Disease Projections'!M69*yll*$U$21*$U$20</f>
        <v>238.16281878533886</v>
      </c>
      <c r="Q62" s="131">
        <f t="shared" ca="1" si="13"/>
        <v>41.636834494239366</v>
      </c>
    </row>
    <row r="63" spans="1:17">
      <c r="A63">
        <v>60</v>
      </c>
      <c r="B63">
        <v>2081</v>
      </c>
      <c r="C63" s="54">
        <f ca="1">('Disease Projections'!G70*annual_adl_episodes*ccc_adl)+('Disease Projections'!I70*annual_hydrocele_visits*ccc_hydrocele)+('Disease Projections'!K70*annual_lymphedema_visits*ccc_le)</f>
        <v>5454.6525374634602</v>
      </c>
      <c r="D63" s="54">
        <f t="shared" ca="1" si="7"/>
        <v>925.83503014956671</v>
      </c>
      <c r="E63" s="131">
        <f ca="1">(('Disease Projections'!G70*annual_adl_episodes)+('Disease Projections'!I70*annual_hydrocele_visits)+('Disease Projections'!K70*annual_lymphedema_visits)*'Economic Costs'!$U$19)</f>
        <v>3326.2047051237655</v>
      </c>
      <c r="F63" s="131">
        <f t="shared" ca="1" si="8"/>
        <v>564.56700262780419</v>
      </c>
      <c r="G63" s="54">
        <f ca="1">'Disease Projections'!G70*adl_episode_duration*annual_adl_episodes*min_daily_wage*$U$23+'Disease Projections'!K70*min_daily_wage*'Economic Costs'!$U$22*'Economic Costs'!$U$24+'Disease Projections'!I70*min_daily_wage*'Economic Costs'!$U$22*'Economic Costs'!$U$25</f>
        <v>7412.9416920881977</v>
      </c>
      <c r="H63" s="54">
        <f t="shared" ca="1" si="9"/>
        <v>1258.2214995096617</v>
      </c>
      <c r="I63">
        <v>0</v>
      </c>
      <c r="J63" s="206">
        <f ca="1">('Disease Projections'!G70*adl_episode_duration*prod_loss_adl*annual_adl_episodes*Productive_pop_based_on_starting_age)+('Disease Projections'!I70*$U$22*prod_loss_hydrocele*Productive_pop_based_on_starting_age)+('Disease Projections'!K70*$U$22*prod_loss_lymphedema*Productive_pop_based_on_starting_age)</f>
        <v>5449.2646172981431</v>
      </c>
      <c r="K63" s="54">
        <f t="shared" ca="1" si="10"/>
        <v>14311.518912454174</v>
      </c>
      <c r="L63" s="54">
        <f t="shared" ca="1" si="11"/>
        <v>2429.1383278392486</v>
      </c>
      <c r="M63" s="54">
        <f>('Disease Projections'!I70+'Disease Projections'!K70)*365*'Economic Costs'!$U$26</f>
        <v>440.83596269329132</v>
      </c>
      <c r="N63" s="54">
        <f t="shared" si="12"/>
        <v>74.824450138294566</v>
      </c>
      <c r="O63" s="206">
        <f ca="1">(avg_clinic_visit*'Disease Projections'!G70*annual_adl_episodes)+('Disease Projections'!I70*avg_clinic_visit*annual_hydrocele_visits)+('Disease Projections'!K70*avg_clinic_visit*annual_lymphedema_visits)</f>
        <v>741.70967126498215</v>
      </c>
      <c r="P63" s="54">
        <f ca="1">'Disease Projections'!M70*yll*$U$21*$U$20</f>
        <v>208.20497730742542</v>
      </c>
      <c r="Q63" s="131">
        <f t="shared" ca="1" si="13"/>
        <v>35.339274155187447</v>
      </c>
    </row>
    <row r="64" spans="1:17">
      <c r="A64">
        <v>61</v>
      </c>
      <c r="B64">
        <v>2082</v>
      </c>
      <c r="C64" s="54">
        <f ca="1">('Disease Projections'!G71*annual_adl_episodes*ccc_adl)+('Disease Projections'!I71*annual_hydrocele_visits*ccc_hydrocele)+('Disease Projections'!K71*annual_lymphedema_visits*ccc_le)</f>
        <v>4768.2474215164038</v>
      </c>
      <c r="D64" s="54">
        <f t="shared" ca="1" si="7"/>
        <v>785.75666875417039</v>
      </c>
      <c r="E64" s="131">
        <f ca="1">(('Disease Projections'!G71*annual_adl_episodes)+('Disease Projections'!I71*annual_hydrocele_visits)+('Disease Projections'!K71*annual_lymphedema_visits)*'Economic Costs'!$U$19)</f>
        <v>2907.6402025082007</v>
      </c>
      <c r="F64" s="131">
        <f t="shared" ca="1" si="8"/>
        <v>479.14830701716454</v>
      </c>
      <c r="G64" s="54">
        <f ca="1">'Disease Projections'!G71*adl_episode_duration*annual_adl_episodes*min_daily_wage*$U$23+'Disease Projections'!K71*min_daily_wage*'Economic Costs'!$U$22*'Economic Costs'!$U$24+'Disease Projections'!I71*min_daily_wage*'Economic Costs'!$U$22*'Economic Costs'!$U$25</f>
        <v>6480.1084700416241</v>
      </c>
      <c r="H64" s="54">
        <f t="shared" ca="1" si="9"/>
        <v>1067.8532371473068</v>
      </c>
      <c r="I64">
        <v>0</v>
      </c>
      <c r="J64" s="206">
        <f ca="1">('Disease Projections'!G71*adl_episode_duration*prod_loss_adl*annual_adl_episodes*Productive_pop_based_on_starting_age)+('Disease Projections'!I71*$U$22*prod_loss_hydrocele*Productive_pop_based_on_starting_age)+('Disease Projections'!K71*$U$22*prod_loss_lymphedema*Productive_pop_based_on_starting_age)</f>
        <v>4763.5375089675936</v>
      </c>
      <c r="K64" s="54">
        <f t="shared" ca="1" si="10"/>
        <v>12510.579305208408</v>
      </c>
      <c r="L64" s="54">
        <f t="shared" ca="1" si="11"/>
        <v>2061.6109547266715</v>
      </c>
      <c r="M64" s="54">
        <f>('Disease Projections'!I71+'Disease Projections'!K71)*365*'Economic Costs'!$U$26</f>
        <v>385.36184073815895</v>
      </c>
      <c r="N64" s="54">
        <f t="shared" si="12"/>
        <v>63.503549517380932</v>
      </c>
      <c r="O64" s="206">
        <f ca="1">(avg_clinic_visit*'Disease Projections'!G71*annual_adl_episodes)+('Disease Projections'!I71*avg_clinic_visit*annual_hydrocele_visits)+('Disease Projections'!K71*avg_clinic_visit*annual_lymphedema_visits)</f>
        <v>648.37406291834282</v>
      </c>
      <c r="P64" s="54">
        <f ca="1">'Disease Projections'!M71*yll*$U$21*$U$20</f>
        <v>182.00478204147447</v>
      </c>
      <c r="Q64" s="131">
        <f t="shared" ca="1" si="13"/>
        <v>29.992460246275801</v>
      </c>
    </row>
    <row r="65" spans="1:17">
      <c r="A65">
        <v>62</v>
      </c>
      <c r="B65">
        <v>2083</v>
      </c>
      <c r="C65" s="54">
        <f ca="1">('Disease Projections'!G72*annual_adl_episodes*ccc_adl)+('Disease Projections'!I72*annual_hydrocele_visits*ccc_hydrocele)+('Disease Projections'!K72*annual_lymphedema_visits*ccc_le)</f>
        <v>4168.0048321256018</v>
      </c>
      <c r="D65" s="54">
        <f t="shared" ca="1" si="7"/>
        <v>666.83791060424051</v>
      </c>
      <c r="E65" s="131">
        <f ca="1">(('Disease Projections'!G72*annual_adl_episodes)+('Disease Projections'!I72*annual_hydrocele_visits)+('Disease Projections'!K72*annual_lymphedema_visits)*'Economic Costs'!$U$19)</f>
        <v>2541.6169386366964</v>
      </c>
      <c r="F65" s="131">
        <f t="shared" ca="1" si="8"/>
        <v>406.6325729407809</v>
      </c>
      <c r="G65" s="54">
        <f ca="1">'Disease Projections'!G72*adl_episode_duration*annual_adl_episodes*min_daily_wage*$U$23+'Disease Projections'!K72*min_daily_wage*'Economic Costs'!$U$22*'Economic Costs'!$U$24+'Disease Projections'!I72*min_daily_wage*'Economic Costs'!$U$22*'Economic Costs'!$U$25</f>
        <v>5664.371209840041</v>
      </c>
      <c r="H65" s="54">
        <f t="shared" ca="1" si="9"/>
        <v>906.24114284681366</v>
      </c>
      <c r="I65">
        <v>0</v>
      </c>
      <c r="J65" s="206">
        <f ca="1">('Disease Projections'!G72*adl_episode_duration*prod_loss_adl*annual_adl_episodes*Productive_pop_based_on_starting_age)+('Disease Projections'!I72*$U$22*prod_loss_hydrocele*Productive_pop_based_on_starting_age)+('Disease Projections'!K72*$U$22*prod_loss_lymphedema*Productive_pop_based_on_starting_age)</f>
        <v>4163.8878187815062</v>
      </c>
      <c r="K65" s="54">
        <f t="shared" ca="1" si="10"/>
        <v>10935.706641711189</v>
      </c>
      <c r="L65" s="54">
        <f t="shared" ca="1" si="11"/>
        <v>1749.6006030829508</v>
      </c>
      <c r="M65" s="54">
        <f>('Disease Projections'!I72+'Disease Projections'!K72)*365*'Economic Costs'!$U$26</f>
        <v>336.85123113906286</v>
      </c>
      <c r="N65" s="54">
        <f t="shared" si="12"/>
        <v>53.892732903259201</v>
      </c>
      <c r="O65" s="206">
        <f ca="1">(avg_clinic_visit*'Disease Projections'!G72*annual_adl_episodes)+('Disease Projections'!I72*avg_clinic_visit*annual_hydrocele_visits)+('Disease Projections'!K72*avg_clinic_visit*annual_lymphedema_visits)</f>
        <v>566.75461409029242</v>
      </c>
      <c r="P65" s="54">
        <f ca="1">'Disease Projections'!M72*yll*$U$21*$U$20</f>
        <v>159.09342447200081</v>
      </c>
      <c r="Q65" s="131">
        <f t="shared" ca="1" si="13"/>
        <v>25.453311845533289</v>
      </c>
    </row>
    <row r="66" spans="1:17">
      <c r="A66">
        <v>63</v>
      </c>
      <c r="B66">
        <v>2084</v>
      </c>
      <c r="C66" s="54">
        <f ca="1">('Disease Projections'!G73*annual_adl_episodes*ccc_adl)+('Disease Projections'!I73*annual_hydrocele_visits*ccc_hydrocele)+('Disease Projections'!K73*annual_lymphedema_visits*ccc_le)</f>
        <v>3643.159454304212</v>
      </c>
      <c r="D66" s="54">
        <f t="shared" ca="1" si="7"/>
        <v>565.89130826050791</v>
      </c>
      <c r="E66" s="131">
        <f ca="1">(('Disease Projections'!G73*annual_adl_episodes)+('Disease Projections'!I73*annual_hydrocele_visits)+('Disease Projections'!K73*annual_lymphedema_visits)*'Economic Costs'!$U$19)</f>
        <v>2221.5703081351362</v>
      </c>
      <c r="F66" s="131">
        <f t="shared" ca="1" si="8"/>
        <v>345.07611973393341</v>
      </c>
      <c r="G66" s="54">
        <f ca="1">'Disease Projections'!G73*adl_episode_duration*annual_adl_episodes*min_daily_wage*$U$23+'Disease Projections'!K73*min_daily_wage*'Economic Costs'!$U$22*'Economic Costs'!$U$24+'Disease Projections'!I73*min_daily_wage*'Economic Costs'!$U$22*'Economic Costs'!$U$25</f>
        <v>4951.0997124476144</v>
      </c>
      <c r="H66" s="54">
        <f t="shared" ca="1" si="9"/>
        <v>769.05343527992875</v>
      </c>
      <c r="I66">
        <v>0</v>
      </c>
      <c r="J66" s="206">
        <f ca="1">('Disease Projections'!G73*adl_episode_duration*prod_loss_adl*annual_adl_episodes*Productive_pop_based_on_starting_age)+('Disease Projections'!I73*$U$22*prod_loss_hydrocele*Productive_pop_based_on_starting_age)+('Disease Projections'!K73*$U$22*prod_loss_lymphedema*Productive_pop_based_on_starting_age)</f>
        <v>3639.5608653648633</v>
      </c>
      <c r="K66" s="54">
        <f t="shared" ca="1" si="10"/>
        <v>9558.6556748135026</v>
      </c>
      <c r="L66" s="54">
        <f t="shared" ca="1" si="11"/>
        <v>1484.7442811324897</v>
      </c>
      <c r="M66" s="54">
        <f>('Disease Projections'!I73+'Disease Projections'!K73)*365*'Economic Costs'!$U$26</f>
        <v>294.43409901049478</v>
      </c>
      <c r="N66" s="54">
        <f t="shared" si="12"/>
        <v>45.734396085436849</v>
      </c>
      <c r="O66" s="206">
        <f ca="1">(avg_clinic_visit*'Disease Projections'!G73*annual_adl_episodes)+('Disease Projections'!I73*avg_clinic_visit*annual_hydrocele_visits)+('Disease Projections'!K73*avg_clinic_visit*annual_lymphedema_visits)</f>
        <v>495.38748484141934</v>
      </c>
      <c r="P66" s="54">
        <f ca="1">'Disease Projections'!M73*yll*$U$21*$U$20</f>
        <v>139.05999076954447</v>
      </c>
      <c r="Q66" s="131">
        <f t="shared" ca="1" si="13"/>
        <v>21.600163564155828</v>
      </c>
    </row>
    <row r="67" spans="1:17">
      <c r="A67">
        <v>64</v>
      </c>
      <c r="B67">
        <v>2085</v>
      </c>
      <c r="C67" s="54">
        <f ca="1">('Disease Projections'!G74*annual_adl_episodes*ccc_adl)+('Disease Projections'!I74*annual_hydrocele_visits*ccc_hydrocele)+('Disease Projections'!K74*annual_lymphedema_visits*ccc_le)</f>
        <v>3184.2791027671155</v>
      </c>
      <c r="D67" s="54">
        <f t="shared" ca="1" si="7"/>
        <v>480.20728650481971</v>
      </c>
      <c r="E67" s="131">
        <f ca="1">(('Disease Projections'!G74*annual_adl_episodes)+('Disease Projections'!I74*annual_hydrocele_visits)+('Disease Projections'!K74*annual_lymphedema_visits)*'Economic Costs'!$U$19)</f>
        <v>1941.748637755868</v>
      </c>
      <c r="F67" s="131">
        <f t="shared" ca="1" si="8"/>
        <v>292.82666949668146</v>
      </c>
      <c r="G67" s="54">
        <f ca="1">'Disease Projections'!G74*adl_episode_duration*annual_adl_episodes*min_daily_wage*$U$23+'Disease Projections'!K74*min_daily_wage*'Economic Costs'!$U$22*'Economic Costs'!$U$24+'Disease Projections'!I74*min_daily_wage*'Economic Costs'!$U$22*'Economic Costs'!$U$25</f>
        <v>4327.4755189309208</v>
      </c>
      <c r="H67" s="54">
        <f t="shared" ca="1" si="9"/>
        <v>652.6077675025449</v>
      </c>
      <c r="I67">
        <v>0</v>
      </c>
      <c r="J67" s="206">
        <f ca="1">('Disease Projections'!G74*adl_episode_duration*prod_loss_adl*annual_adl_episodes*Productive_pop_based_on_starting_age)+('Disease Projections'!I74*$U$22*prod_loss_hydrocele*Productive_pop_based_on_starting_age)+('Disease Projections'!K74*$U$22*prod_loss_lymphedema*Productive_pop_based_on_starting_age)</f>
        <v>3181.1337802242115</v>
      </c>
      <c r="K67" s="54">
        <f t="shared" ca="1" si="10"/>
        <v>8354.6789257040691</v>
      </c>
      <c r="L67" s="54">
        <f t="shared" ca="1" si="11"/>
        <v>1259.9328033290089</v>
      </c>
      <c r="M67" s="54">
        <f>('Disease Projections'!I74+'Disease Projections'!K74)*365*'Economic Costs'!$U$26</f>
        <v>257.34815079628248</v>
      </c>
      <c r="N67" s="54">
        <f t="shared" si="12"/>
        <v>38.809555693006132</v>
      </c>
      <c r="O67" s="206">
        <f ca="1">(avg_clinic_visit*'Disease Projections'!G74*annual_adl_episodes)+('Disease Projections'!I74*avg_clinic_visit*annual_hydrocele_visits)+('Disease Projections'!K74*avg_clinic_visit*annual_lymphedema_visits)</f>
        <v>432.99011079221668</v>
      </c>
      <c r="P67" s="54">
        <f ca="1">'Disease Projections'!M74*yll*$U$21*$U$20</f>
        <v>121.54445288286662</v>
      </c>
      <c r="Q67" s="131">
        <f t="shared" ca="1" si="13"/>
        <v>18.329590473986467</v>
      </c>
    </row>
    <row r="68" spans="1:17">
      <c r="A68">
        <v>65</v>
      </c>
      <c r="B68">
        <v>2086</v>
      </c>
      <c r="C68" s="54">
        <f ca="1">('Disease Projections'!G75*annual_adl_episodes*ccc_adl)+('Disease Projections'!I75*annual_hydrocele_visits*ccc_hydrocele)+('Disease Projections'!K75*annual_lymphedema_visits*ccc_le)</f>
        <v>2783.1024515058302</v>
      </c>
      <c r="D68" s="54">
        <f t="shared" ref="D68:D84" ca="1" si="14">C68/((1+discount_cost)^A68)</f>
        <v>407.4830873894856</v>
      </c>
      <c r="E68" s="131">
        <f ca="1">(('Disease Projections'!G75*annual_adl_episodes)+('Disease Projections'!I75*annual_hydrocele_visits)+('Disease Projections'!K75*annual_lymphedema_visits)*'Economic Costs'!$U$19)</f>
        <v>1697.1142351342105</v>
      </c>
      <c r="F68" s="131">
        <f t="shared" ref="F68:F84" ca="1" si="15">E68/((1+discount_cost)^A68)</f>
        <v>248.48001833743663</v>
      </c>
      <c r="G68" s="54">
        <f ca="1">'Disease Projections'!G75*adl_episode_duration*annual_adl_episodes*min_daily_wage*$U$23+'Disease Projections'!K75*min_daily_wage*'Economic Costs'!$U$22*'Economic Costs'!$U$24+'Disease Projections'!I75*min_daily_wage*'Economic Costs'!$U$22*'Economic Costs'!$U$25</f>
        <v>3782.2713829017462</v>
      </c>
      <c r="H68" s="54">
        <f t="shared" ref="H68:H85" ca="1" si="16">G68/((1+discount_cost)^A68)</f>
        <v>553.7746623793214</v>
      </c>
      <c r="I68">
        <v>0</v>
      </c>
      <c r="J68" s="206">
        <f ca="1">('Disease Projections'!G75*adl_episode_duration*prod_loss_adl*annual_adl_episodes*Productive_pop_based_on_starting_age)+('Disease Projections'!I75*$U$22*prod_loss_hydrocele*Productive_pop_based_on_starting_age)+('Disease Projections'!K75*$U$22*prod_loss_lymphedema*Productive_pop_based_on_starting_age)</f>
        <v>2780.3533976077833</v>
      </c>
      <c r="K68" s="54">
        <f t="shared" ref="K68:K84" ca="1" si="17">J68*min_daily_wage</f>
        <v>7302.1009306204778</v>
      </c>
      <c r="L68" s="54">
        <f t="shared" ref="L68:L84" ca="1" si="18">K68/((1+discount_cost)^A68)</f>
        <v>1069.1243615659741</v>
      </c>
      <c r="M68" s="54">
        <f>('Disease Projections'!I75+'Disease Projections'!K75)*365*'Economic Costs'!$U$26</f>
        <v>224.92571984322305</v>
      </c>
      <c r="N68" s="54">
        <f t="shared" ref="N68:N84" si="19">M68/((1+discount_cost)^A68)</f>
        <v>32.932106651492063</v>
      </c>
      <c r="O68" s="206">
        <f ca="1">(avg_clinic_visit*'Disease Projections'!G75*annual_adl_episodes)+('Disease Projections'!I75*avg_clinic_visit*annual_hydrocele_visits)+('Disease Projections'!K75*avg_clinic_visit*annual_lymphedema_visits)</f>
        <v>378.43913800659459</v>
      </c>
      <c r="P68" s="54">
        <f ca="1">'Disease Projections'!M75*yll*$U$21*$U$20</f>
        <v>106.23147465034903</v>
      </c>
      <c r="Q68" s="131">
        <f t="shared" ref="Q68:Q84" ca="1" si="20">P68/((1+discount_cost)^A68)</f>
        <v>15.553695928455983</v>
      </c>
    </row>
    <row r="69" spans="1:17">
      <c r="A69">
        <v>66</v>
      </c>
      <c r="B69">
        <v>2087</v>
      </c>
      <c r="C69" s="54">
        <f ca="1">('Disease Projections'!G76*annual_adl_episodes*ccc_adl)+('Disease Projections'!I76*annual_hydrocele_visits*ccc_hydrocele)+('Disease Projections'!K76*annual_lymphedema_visits*ccc_le)</f>
        <v>2432.3958446447236</v>
      </c>
      <c r="D69" s="54">
        <f t="shared" ca="1" si="14"/>
        <v>345.76212788567443</v>
      </c>
      <c r="E69" s="131">
        <f ca="1">(('Disease Projections'!G76*annual_adl_episodes)+('Disease Projections'!I76*annual_hydrocele_visits)+('Disease Projections'!K76*annual_lymphedema_visits)*'Economic Costs'!$U$19)</f>
        <v>1483.2560731619242</v>
      </c>
      <c r="F69" s="131">
        <f t="shared" ca="1" si="15"/>
        <v>210.84305713847493</v>
      </c>
      <c r="G69" s="54">
        <f ca="1">'Disease Projections'!G76*adl_episode_duration*annual_adl_episodes*min_daily_wage*$U$23+'Disease Projections'!K76*min_daily_wage*'Economic Costs'!$U$22*'Economic Costs'!$U$24+'Disease Projections'!I76*min_daily_wage*'Economic Costs'!$U$22*'Economic Costs'!$U$25</f>
        <v>3305.6566746621579</v>
      </c>
      <c r="H69" s="54">
        <f t="shared" ca="1" si="16"/>
        <v>469.89509886192593</v>
      </c>
      <c r="I69">
        <v>0</v>
      </c>
      <c r="J69" s="206">
        <f ca="1">('Disease Projections'!G76*adl_episode_duration*prod_loss_adl*annual_adl_episodes*Productive_pop_based_on_starting_age)+('Disease Projections'!I76*$U$22*prod_loss_hydrocele*Productive_pop_based_on_starting_age)+('Disease Projections'!K76*$U$22*prod_loss_lymphedema*Productive_pop_based_on_starting_age)</f>
        <v>2429.9932067990717</v>
      </c>
      <c r="K69" s="54">
        <f t="shared" ca="1" si="17"/>
        <v>6381.94255163244</v>
      </c>
      <c r="L69" s="54">
        <f t="shared" ca="1" si="18"/>
        <v>907.18541620385997</v>
      </c>
      <c r="M69" s="54">
        <f>('Disease Projections'!I76+'Disease Projections'!K76)*365*'Economic Costs'!$U$26</f>
        <v>196.58219409219362</v>
      </c>
      <c r="N69" s="54">
        <f t="shared" si="19"/>
        <v>27.94392116866954</v>
      </c>
      <c r="O69" s="206">
        <f ca="1">(avg_clinic_visit*'Disease Projections'!G76*annual_adl_episodes)+('Disease Projections'!I76*avg_clinic_visit*annual_hydrocele_visits)+('Disease Projections'!K76*avg_clinic_visit*annual_lymphedema_visits)</f>
        <v>330.75095249911374</v>
      </c>
      <c r="P69" s="54">
        <f ca="1">'Disease Projections'!M76*yll*$U$21*$U$20</f>
        <v>92.844946247013496</v>
      </c>
      <c r="Q69" s="131">
        <f t="shared" ca="1" si="20"/>
        <v>13.197796834128088</v>
      </c>
    </row>
    <row r="70" spans="1:17">
      <c r="A70">
        <v>67</v>
      </c>
      <c r="B70">
        <v>2088</v>
      </c>
      <c r="C70" s="54">
        <f ca="1">('Disease Projections'!G77*annual_adl_episodes*ccc_adl)+('Disease Projections'!I77*annual_hydrocele_visits*ccc_hydrocele)+('Disease Projections'!K77*annual_lymphedema_visits*ccc_le)</f>
        <v>2125.8271062731851</v>
      </c>
      <c r="D70" s="54">
        <f t="shared" ca="1" si="14"/>
        <v>293.38228393344878</v>
      </c>
      <c r="E70" s="131">
        <f ca="1">(('Disease Projections'!G77*annual_adl_episodes)+('Disease Projections'!I77*annual_hydrocele_visits)+('Disease Projections'!K77*annual_lymphedema_visits)*'Economic Costs'!$U$19)</f>
        <v>1296.3128402040538</v>
      </c>
      <c r="F70" s="131">
        <f t="shared" ca="1" si="15"/>
        <v>178.90223557176134</v>
      </c>
      <c r="G70" s="54">
        <f ca="1">'Disease Projections'!G77*adl_episode_duration*annual_adl_episodes*min_daily_wage*$U$23+'Disease Projections'!K77*min_daily_wage*'Economic Costs'!$U$22*'Economic Costs'!$U$24+'Disease Projections'!I77*min_daily_wage*'Economic Costs'!$U$22*'Economic Costs'!$U$25</f>
        <v>2889.025887172611</v>
      </c>
      <c r="H70" s="54">
        <f t="shared" ca="1" si="16"/>
        <v>398.71022935984564</v>
      </c>
      <c r="I70">
        <v>0</v>
      </c>
      <c r="J70" s="206">
        <f ca="1">('Disease Projections'!G77*adl_episode_duration*prod_loss_adl*annual_adl_episodes*Productive_pop_based_on_starting_age)+('Disease Projections'!I77*$U$22*prod_loss_hydrocele*Productive_pop_based_on_starting_age)+('Disease Projections'!K77*$U$22*prod_loss_lymphedema*Productive_pop_based_on_starting_age)</f>
        <v>2123.7272865953601</v>
      </c>
      <c r="K70" s="54">
        <f t="shared" ca="1" si="17"/>
        <v>5577.5898880965578</v>
      </c>
      <c r="L70" s="54">
        <f t="shared" ca="1" si="18"/>
        <v>769.75500753803601</v>
      </c>
      <c r="M70" s="54">
        <f>('Disease Projections'!I77+'Disease Projections'!K77)*365*'Economic Costs'!$U$26</f>
        <v>171.80581759827834</v>
      </c>
      <c r="N70" s="54">
        <f t="shared" si="19"/>
        <v>23.710669137341878</v>
      </c>
      <c r="O70" s="206">
        <f ca="1">(avg_clinic_visit*'Disease Projections'!G77*annual_adl_episodes)+('Disease Projections'!I77*avg_clinic_visit*annual_hydrocele_visits)+('Disease Projections'!K77*avg_clinic_visit*annual_lymphedema_visits)</f>
        <v>289.0645212194022</v>
      </c>
      <c r="P70" s="54">
        <f ca="1">'Disease Projections'!M77*yll*$U$21*$U$20</f>
        <v>81.143167485227437</v>
      </c>
      <c r="Q70" s="131">
        <f t="shared" ca="1" si="20"/>
        <v>11.198449644451534</v>
      </c>
    </row>
    <row r="71" spans="1:17">
      <c r="A71">
        <v>68</v>
      </c>
      <c r="B71">
        <v>2089</v>
      </c>
      <c r="C71" s="54">
        <f ca="1">('Disease Projections'!G78*annual_adl_episodes*ccc_adl)+('Disease Projections'!I78*annual_hydrocele_visits*ccc_hydrocele)+('Disease Projections'!K78*annual_lymphedema_visits*ccc_le)</f>
        <v>1857.8544542165989</v>
      </c>
      <c r="D71" s="54">
        <f t="shared" ca="1" si="14"/>
        <v>248.93181639522686</v>
      </c>
      <c r="E71" s="131">
        <f ca="1">(('Disease Projections'!G78*annual_adl_episodes)+('Disease Projections'!I78*annual_hydrocele_visits)+('Disease Projections'!K78*annual_lymphedema_visits)*'Economic Costs'!$U$19)</f>
        <v>1132.9052005802109</v>
      </c>
      <c r="F71" s="131">
        <f t="shared" ca="1" si="15"/>
        <v>151.79668608806517</v>
      </c>
      <c r="G71" s="54">
        <f ca="1">'Disease Projections'!G78*adl_episode_duration*annual_adl_episodes*min_daily_wage*$U$23+'Disease Projections'!K78*min_daily_wage*'Economic Costs'!$U$22*'Economic Costs'!$U$24+'Disease Projections'!I78*min_daily_wage*'Economic Costs'!$U$22*'Economic Costs'!$U$25</f>
        <v>2524.847668463658</v>
      </c>
      <c r="H71" s="54">
        <f t="shared" ca="1" si="16"/>
        <v>338.30148255447585</v>
      </c>
      <c r="I71">
        <v>0</v>
      </c>
      <c r="J71" s="206">
        <f ca="1">('Disease Projections'!G78*adl_episode_duration*prod_loss_adl*annual_adl_episodes*Productive_pop_based_on_starting_age)+('Disease Projections'!I78*$U$22*prod_loss_hydrocele*Productive_pop_based_on_starting_age)+('Disease Projections'!K78*$U$22*prod_loss_lymphedema*Productive_pop_based_on_starting_age)</f>
        <v>1856.0193288058886</v>
      </c>
      <c r="K71" s="54">
        <f t="shared" ca="1" si="17"/>
        <v>4874.5028167224855</v>
      </c>
      <c r="L71" s="54">
        <f t="shared" ca="1" si="18"/>
        <v>653.1291175346887</v>
      </c>
      <c r="M71" s="54">
        <f>('Disease Projections'!I78+'Disease Projections'!K78)*365*'Economic Costs'!$U$26</f>
        <v>150.14871272615503</v>
      </c>
      <c r="N71" s="54">
        <f t="shared" si="19"/>
        <v>20.118256144067836</v>
      </c>
      <c r="O71" s="206">
        <f ca="1">(avg_clinic_visit*'Disease Projections'!G78*annual_adl_episodes)+('Disease Projections'!I78*avg_clinic_visit*annual_hydrocele_visits)+('Disease Projections'!K78*avg_clinic_visit*annual_lymphedema_visits)</f>
        <v>252.62628683145658</v>
      </c>
      <c r="P71" s="54">
        <f ca="1">'Disease Projections'!M78*yll*$U$21*$U$20</f>
        <v>70.914607635217763</v>
      </c>
      <c r="Q71" s="131">
        <f t="shared" ca="1" si="20"/>
        <v>9.5017680462128968</v>
      </c>
    </row>
    <row r="72" spans="1:17">
      <c r="A72">
        <v>69</v>
      </c>
      <c r="B72">
        <v>2090</v>
      </c>
      <c r="C72" s="54">
        <f ca="1">('Disease Projections'!G79*annual_adl_episodes*ccc_adl)+('Disease Projections'!I79*annual_hydrocele_visits*ccc_hydrocele)+('Disease Projections'!K79*annual_lymphedema_visits*ccc_le)</f>
        <v>1623.6288037122811</v>
      </c>
      <c r="D72" s="54">
        <f t="shared" ca="1" si="14"/>
        <v>211.2118315345534</v>
      </c>
      <c r="E72" s="131">
        <f ca="1">(('Disease Projections'!G79*annual_adl_episodes)+('Disease Projections'!I79*annual_hydrocele_visits)+('Disease Projections'!K79*annual_lymphedema_visits)*'Economic Costs'!$U$19)</f>
        <v>990.07622010578666</v>
      </c>
      <c r="F72" s="131">
        <f t="shared" ca="1" si="15"/>
        <v>128.79533260879973</v>
      </c>
      <c r="G72" s="54">
        <f ca="1">'Disease Projections'!G79*adl_episode_duration*annual_adl_episodes*min_daily_wage*$U$23+'Disease Projections'!K79*min_daily_wage*'Economic Costs'!$U$22*'Economic Costs'!$U$24+'Disease Projections'!I79*min_daily_wage*'Economic Costs'!$U$22*'Economic Costs'!$U$25</f>
        <v>2206.5320510976144</v>
      </c>
      <c r="H72" s="54">
        <f t="shared" ca="1" si="16"/>
        <v>287.03954671563503</v>
      </c>
      <c r="I72">
        <v>0</v>
      </c>
      <c r="J72" s="206">
        <f ca="1">('Disease Projections'!G79*adl_episode_duration*prod_loss_adl*annual_adl_episodes*Productive_pop_based_on_starting_age)+('Disease Projections'!I79*$U$22*prod_loss_hydrocele*Productive_pop_based_on_starting_age)+('Disease Projections'!K79*$U$22*prod_loss_lymphedema*Productive_pop_based_on_starting_age)</f>
        <v>1622.0250384288968</v>
      </c>
      <c r="K72" s="54">
        <f t="shared" ca="1" si="17"/>
        <v>4259.9586630937301</v>
      </c>
      <c r="L72" s="54">
        <f t="shared" ca="1" si="18"/>
        <v>554.16217637695786</v>
      </c>
      <c r="M72" s="54">
        <f>('Disease Projections'!I79+'Disease Projections'!K79)*365*'Economic Costs'!$U$26</f>
        <v>131.21898449537221</v>
      </c>
      <c r="N72" s="54">
        <f t="shared" si="19"/>
        <v>17.06978958737605</v>
      </c>
      <c r="O72" s="206">
        <f ca="1">(avg_clinic_visit*'Disease Projections'!G79*annual_adl_episodes)+('Disease Projections'!I79*avg_clinic_visit*annual_hydrocele_visits)+('Disease Projections'!K79*avg_clinic_visit*annual_lymphedema_visits)</f>
        <v>220.77688321790004</v>
      </c>
      <c r="P72" s="54">
        <f ca="1">'Disease Projections'!M79*yll*$U$21*$U$20</f>
        <v>61.974176340441616</v>
      </c>
      <c r="Q72" s="131">
        <f t="shared" ca="1" si="20"/>
        <v>8.0619900698864715</v>
      </c>
    </row>
    <row r="73" spans="1:17">
      <c r="A73">
        <v>70</v>
      </c>
      <c r="B73">
        <v>2091</v>
      </c>
      <c r="C73" s="54">
        <f ca="1">('Disease Projections'!G80*annual_adl_episodes*ccc_adl)+('Disease Projections'!I80*annual_hydrocele_visits*ccc_hydrocele)+('Disease Projections'!K80*annual_lymphedema_visits*ccc_le)</f>
        <v>1418.907918530331</v>
      </c>
      <c r="D73" s="54">
        <f t="shared" ca="1" si="14"/>
        <v>179.20432339581484</v>
      </c>
      <c r="E73" s="131">
        <f ca="1">(('Disease Projections'!G80*annual_adl_episodes)+('Disease Projections'!I80*annual_hydrocele_visits)+('Disease Projections'!K80*annual_lymphedema_visits)*'Economic Costs'!$U$19)</f>
        <v>865.23901611296196</v>
      </c>
      <c r="F73" s="131">
        <f t="shared" ca="1" si="15"/>
        <v>109.27740301765706</v>
      </c>
      <c r="G73" s="54">
        <f ca="1">'Disease Projections'!G80*adl_episode_duration*annual_adl_episodes*min_daily_wage*$U$23+'Disease Projections'!K80*min_daily_wage*'Economic Costs'!$U$22*'Economic Costs'!$U$24+'Disease Projections'!I80*min_daily_wage*'Economic Costs'!$U$22*'Economic Costs'!$U$25</f>
        <v>1928.3137824575017</v>
      </c>
      <c r="H73" s="54">
        <f t="shared" ca="1" si="16"/>
        <v>243.54093889196537</v>
      </c>
      <c r="I73">
        <v>0</v>
      </c>
      <c r="J73" s="206">
        <f ca="1">('Disease Projections'!G80*adl_episode_duration*prod_loss_adl*annual_adl_episodes*Productive_pop_based_on_starting_age)+('Disease Projections'!I80*$U$22*prod_loss_hydrocele*Productive_pop_based_on_starting_age)+('Disease Projections'!K80*$U$22*prod_loss_lymphedema*Productive_pop_based_on_starting_age)</f>
        <v>1417.5063695710767</v>
      </c>
      <c r="K73" s="54">
        <f t="shared" ca="1" si="17"/>
        <v>3722.8269576490611</v>
      </c>
      <c r="L73" s="54">
        <f t="shared" ca="1" si="18"/>
        <v>470.18321439506349</v>
      </c>
      <c r="M73" s="54">
        <f>('Disease Projections'!I80+'Disease Projections'!K80)*365*'Economic Costs'!$U$26</f>
        <v>114.67378241645567</v>
      </c>
      <c r="N73" s="54">
        <f t="shared" si="19"/>
        <v>14.48299591594713</v>
      </c>
      <c r="O73" s="206">
        <f ca="1">(avg_clinic_visit*'Disease Projections'!G80*annual_adl_episodes)+('Disease Projections'!I80*avg_clinic_visit*annual_hydrocele_visits)+('Disease Projections'!K80*avg_clinic_visit*annual_lymphedema_visits)</f>
        <v>192.93946196943475</v>
      </c>
      <c r="P73" s="54">
        <f ca="1">'Disease Projections'!M80*yll*$U$21*$U$20</f>
        <v>54.159946751862719</v>
      </c>
      <c r="Q73" s="131">
        <f t="shared" ca="1" si="20"/>
        <v>6.8402582620539842</v>
      </c>
    </row>
    <row r="74" spans="1:17">
      <c r="A74">
        <v>71</v>
      </c>
      <c r="B74">
        <v>2092</v>
      </c>
      <c r="C74" s="54">
        <f ca="1">('Disease Projections'!G81*annual_adl_episodes*ccc_adl)+('Disease Projections'!I81*annual_hydrocele_visits*ccc_hydrocele)+('Disease Projections'!K81*annual_lymphedema_visits*ccc_le)</f>
        <v>1239.9810273534779</v>
      </c>
      <c r="D74" s="54">
        <f t="shared" ca="1" si="14"/>
        <v>152.04498010461896</v>
      </c>
      <c r="E74" s="131">
        <f ca="1">(('Disease Projections'!G81*annual_adl_episodes)+('Disease Projections'!I81*annual_hydrocele_visits)+('Disease Projections'!K81*annual_lymphedema_visits)*'Economic Costs'!$U$19)</f>
        <v>756.13078910527543</v>
      </c>
      <c r="F74" s="131">
        <f t="shared" ca="1" si="15"/>
        <v>92.71584665402176</v>
      </c>
      <c r="G74" s="54">
        <f ca="1">'Disease Projections'!G81*adl_episode_duration*annual_adl_episodes*min_daily_wage*$U$23+'Disease Projections'!K81*min_daily_wage*'Economic Costs'!$U$22*'Economic Costs'!$U$24+'Disease Projections'!I81*min_daily_wage*'Economic Costs'!$U$22*'Economic Costs'!$U$25</f>
        <v>1685.1498774551465</v>
      </c>
      <c r="H74" s="54">
        <f t="shared" ca="1" si="16"/>
        <v>206.63104832968489</v>
      </c>
      <c r="I74">
        <v>0</v>
      </c>
      <c r="J74" s="206">
        <f ca="1">('Disease Projections'!G81*adl_episode_duration*prod_loss_adl*annual_adl_episodes*Productive_pop_based_on_starting_age)+('Disease Projections'!I81*$U$22*prod_loss_hydrocele*Productive_pop_based_on_starting_age)+('Disease Projections'!K81*$U$22*prod_loss_lymphedema*Productive_pop_based_on_starting_age)</f>
        <v>1238.7562162887948</v>
      </c>
      <c r="K74" s="54">
        <f t="shared" ca="1" si="17"/>
        <v>3253.3716496460775</v>
      </c>
      <c r="L74" s="54">
        <f t="shared" ca="1" si="18"/>
        <v>398.9245132235061</v>
      </c>
      <c r="M74" s="54">
        <f>('Disease Projections'!I81+'Disease Projections'!K81)*365*'Economic Costs'!$U$26</f>
        <v>100.2132081118739</v>
      </c>
      <c r="N74" s="54">
        <f t="shared" si="19"/>
        <v>12.288022878955196</v>
      </c>
      <c r="O74" s="206">
        <f ca="1">(avg_clinic_visit*'Disease Projections'!G81*annual_adl_episodes)+('Disease Projections'!I81*avg_clinic_visit*annual_hydrocele_visits)+('Disease Projections'!K81*avg_clinic_visit*annual_lymphedema_visits)</f>
        <v>168.60944191338859</v>
      </c>
      <c r="P74" s="54">
        <f ca="1">'Disease Projections'!M81*yll*$U$21*$U$20</f>
        <v>47.33027812287088</v>
      </c>
      <c r="Q74" s="131">
        <f t="shared" ca="1" si="20"/>
        <v>5.8035816974532999</v>
      </c>
    </row>
    <row r="75" spans="1:17">
      <c r="A75">
        <v>72</v>
      </c>
      <c r="B75">
        <v>2093</v>
      </c>
      <c r="C75" s="54">
        <f ca="1">('Disease Projections'!G82*annual_adl_episodes*ccc_adl)+('Disease Projections'!I82*annual_hydrocele_visits*ccc_hydrocele)+('Disease Projections'!K82*annual_lymphedema_visits*ccc_le)</f>
        <v>1083.6026712614266</v>
      </c>
      <c r="D75" s="54">
        <f t="shared" ca="1" si="14"/>
        <v>129.00005284202285</v>
      </c>
      <c r="E75" s="131">
        <f ca="1">(('Disease Projections'!G82*annual_adl_episodes)+('Disease Projections'!I82*annual_hydrocele_visits)+('Disease Projections'!K82*annual_lymphedema_visits)*'Economic Costs'!$U$19)</f>
        <v>660.77248346794136</v>
      </c>
      <c r="F75" s="131">
        <f t="shared" ca="1" si="15"/>
        <v>78.663229193308666</v>
      </c>
      <c r="G75" s="54">
        <f ca="1">'Disease Projections'!G82*adl_episode_duration*annual_adl_episodes*min_daily_wage*$U$23+'Disease Projections'!K82*min_daily_wage*'Economic Costs'!$U$22*'Economic Costs'!$U$24+'Disease Projections'!I82*min_daily_wage*'Economic Costs'!$U$22*'Economic Costs'!$U$25</f>
        <v>1472.629716426879</v>
      </c>
      <c r="H75" s="54">
        <f t="shared" ca="1" si="16"/>
        <v>175.31270111641237</v>
      </c>
      <c r="I75">
        <v>0</v>
      </c>
      <c r="J75" s="206">
        <f ca="1">('Disease Projections'!G82*adl_episode_duration*prod_loss_adl*annual_adl_episodes*Productive_pop_based_on_starting_age)+('Disease Projections'!I82*$U$22*prod_loss_hydrocele*Productive_pop_based_on_starting_age)+('Disease Projections'!K82*$U$22*prod_loss_lymphedema*Productive_pop_based_on_starting_age)</f>
        <v>1082.5323254156408</v>
      </c>
      <c r="K75" s="54">
        <f t="shared" ca="1" si="17"/>
        <v>2843.0775410225037</v>
      </c>
      <c r="L75" s="54">
        <f t="shared" ca="1" si="18"/>
        <v>338.46091630516912</v>
      </c>
      <c r="M75" s="54">
        <f>('Disease Projections'!I82+'Disease Projections'!K82)*365*'Economic Costs'!$U$26</f>
        <v>87.574968979543939</v>
      </c>
      <c r="N75" s="54">
        <f t="shared" si="19"/>
        <v>10.425570114965284</v>
      </c>
      <c r="O75" s="206">
        <f ca="1">(avg_clinic_visit*'Disease Projections'!G82*annual_adl_episodes)+('Disease Projections'!I82*avg_clinic_visit*annual_hydrocele_visits)+('Disease Projections'!K82*avg_clinic_visit*annual_lymphedema_visits)</f>
        <v>147.34551386419145</v>
      </c>
      <c r="P75" s="54">
        <f ca="1">'Disease Projections'!M82*yll*$U$21*$U$20</f>
        <v>41.361290756966447</v>
      </c>
      <c r="Q75" s="131">
        <f t="shared" ca="1" si="20"/>
        <v>4.9239530639507727</v>
      </c>
    </row>
    <row r="76" spans="1:17">
      <c r="A76">
        <v>73</v>
      </c>
      <c r="B76">
        <v>2094</v>
      </c>
      <c r="C76" s="54">
        <f ca="1">('Disease Projections'!G83*annual_adl_episodes*ccc_adl)+('Disease Projections'!I83*annual_hydrocele_visits*ccc_hydrocele)+('Disease Projections'!K83*annual_lymphedema_visits*ccc_le)</f>
        <v>946.93468365630929</v>
      </c>
      <c r="D76" s="54">
        <f t="shared" ca="1" si="14"/>
        <v>109.44668714682902</v>
      </c>
      <c r="E76" s="131">
        <f ca="1">(('Disease Projections'!G83*annual_adl_episodes)+('Disease Projections'!I83*annual_hydrocele_visits)+('Disease Projections'!K83*annual_lymphedema_visits)*'Economic Costs'!$U$19)</f>
        <v>577.43340727752081</v>
      </c>
      <c r="F76" s="131">
        <f t="shared" ca="1" si="15"/>
        <v>66.739738828035314</v>
      </c>
      <c r="G76" s="54">
        <f ca="1">'Disease Projections'!G83*adl_episode_duration*annual_adl_episodes*min_daily_wage*$U$23+'Disease Projections'!K83*min_daily_wage*'Economic Costs'!$U$22*'Economic Costs'!$U$24+'Disease Projections'!I83*min_daily_wage*'Economic Costs'!$U$22*'Economic Costs'!$U$25</f>
        <v>1286.8961951194176</v>
      </c>
      <c r="H76" s="54">
        <f t="shared" ca="1" si="16"/>
        <v>148.7394301725671</v>
      </c>
      <c r="I76">
        <v>0</v>
      </c>
      <c r="J76" s="206">
        <f ca="1">('Disease Projections'!G83*adl_episode_duration*prod_loss_adl*annual_adl_episodes*Productive_pop_based_on_starting_age)+('Disease Projections'!I83*$U$22*prod_loss_hydrocele*Productive_pop_based_on_starting_age)+('Disease Projections'!K83*$U$22*prod_loss_lymphedema*Productive_pop_based_on_starting_age)</f>
        <v>945.99933379813456</v>
      </c>
      <c r="K76" s="54">
        <f t="shared" ca="1" si="17"/>
        <v>2484.4980575624554</v>
      </c>
      <c r="L76" s="54">
        <f t="shared" ca="1" si="18"/>
        <v>287.15822359891092</v>
      </c>
      <c r="M76" s="54">
        <f>('Disease Projections'!I83+'Disease Projections'!K83)*365*'Economic Costs'!$U$26</f>
        <v>76.529689106726678</v>
      </c>
      <c r="N76" s="54">
        <f t="shared" si="19"/>
        <v>8.8452995604373186</v>
      </c>
      <c r="O76" s="206">
        <f ca="1">(avg_clinic_visit*'Disease Projections'!G83*annual_adl_episodes)+('Disease Projections'!I83*avg_clinic_visit*annual_hydrocele_visits)+('Disease Projections'!K83*avg_clinic_visit*annual_lymphedema_visits)</f>
        <v>128.76175120234888</v>
      </c>
      <c r="P76" s="54">
        <f ca="1">'Disease Projections'!M83*yll*$U$21*$U$20</f>
        <v>36.144651372048408</v>
      </c>
      <c r="Q76" s="131">
        <f t="shared" ca="1" si="20"/>
        <v>4.1775979051408241</v>
      </c>
    </row>
    <row r="77" spans="1:17">
      <c r="A77">
        <v>74</v>
      </c>
      <c r="B77">
        <v>2095</v>
      </c>
      <c r="C77" s="54">
        <f ca="1">('Disease Projections'!G84*annual_adl_episodes*ccc_adl)+('Disease Projections'!I84*annual_hydrocele_visits*ccc_hydrocele)+('Disease Projections'!K84*annual_lymphedema_visits*ccc_le)</f>
        <v>827.49532707910419</v>
      </c>
      <c r="D77" s="54">
        <f t="shared" ca="1" si="14"/>
        <v>92.856203193325584</v>
      </c>
      <c r="E77" s="131">
        <f ca="1">(('Disease Projections'!G84*annual_adl_episodes)+('Disease Projections'!I84*annual_hydrocele_visits)+('Disease Projections'!K84*annual_lymphedema_visits)*'Economic Costs'!$U$19)</f>
        <v>504.60021632805677</v>
      </c>
      <c r="F77" s="131">
        <f t="shared" ca="1" si="15"/>
        <v>56.622990711191015</v>
      </c>
      <c r="G77" s="54">
        <f ca="1">'Disease Projections'!G84*adl_episode_duration*annual_adl_episodes*min_daily_wage*$U$23+'Disease Projections'!K84*min_daily_wage*'Economic Costs'!$U$22*'Economic Costs'!$U$24+'Disease Projections'!I84*min_daily_wage*'Economic Costs'!$U$22*'Economic Costs'!$U$25</f>
        <v>1124.5766009809645</v>
      </c>
      <c r="H77" s="54">
        <f t="shared" ca="1" si="16"/>
        <v>126.19275293764346</v>
      </c>
      <c r="I77">
        <v>0</v>
      </c>
      <c r="J77" s="206">
        <f ca="1">('Disease Projections'!G84*adl_episode_duration*prod_loss_adl*annual_adl_episodes*Productive_pop_based_on_starting_age)+('Disease Projections'!I84*$U$22*prod_loss_hydrocele*Productive_pop_based_on_starting_age)+('Disease Projections'!K84*$U$22*prod_loss_lymphedema*Productive_pop_based_on_starting_age)</f>
        <v>826.677955353068</v>
      </c>
      <c r="K77" s="54">
        <f t="shared" ca="1" si="17"/>
        <v>2171.1217977904771</v>
      </c>
      <c r="L77" s="54">
        <f t="shared" ca="1" si="18"/>
        <v>243.62932359353226</v>
      </c>
      <c r="M77" s="54">
        <f>('Disease Projections'!I84+'Disease Projections'!K84)*365*'Economic Costs'!$U$26</f>
        <v>66.876798591969077</v>
      </c>
      <c r="N77" s="54">
        <f t="shared" si="19"/>
        <v>7.5044841895298759</v>
      </c>
      <c r="O77" s="206">
        <f ca="1">(avg_clinic_visit*'Disease Projections'!G84*annual_adl_episodes)+('Disease Projections'!I84*avg_clinic_visit*annual_hydrocele_visits)+('Disease Projections'!K84*avg_clinic_visit*annual_lymphedema_visits)</f>
        <v>112.52069362910593</v>
      </c>
      <c r="P77" s="54">
        <f ca="1">'Disease Projections'!M84*yll*$U$21*$U$20</f>
        <v>31.585631644398696</v>
      </c>
      <c r="Q77" s="131">
        <f t="shared" ca="1" si="20"/>
        <v>3.5443364258194148</v>
      </c>
    </row>
    <row r="78" spans="1:17">
      <c r="A78">
        <v>75</v>
      </c>
      <c r="B78">
        <v>2096</v>
      </c>
      <c r="C78" s="54">
        <f ca="1">('Disease Projections'!G85*annual_adl_episodes*ccc_adl)+('Disease Projections'!I85*annual_hydrocele_visits*ccc_hydrocele)+('Disease Projections'!K85*annual_lymphedema_visits*ccc_le)</f>
        <v>723.11472257194646</v>
      </c>
      <c r="D78" s="54">
        <f t="shared" ca="1" si="14"/>
        <v>78.779886530805953</v>
      </c>
      <c r="E78" s="131">
        <f ca="1">(('Disease Projections'!G85*annual_adl_episodes)+('Disease Projections'!I85*annual_hydrocele_visits)+('Disease Projections'!K85*annual_lymphedema_visits)*'Economic Costs'!$U$19)</f>
        <v>440.94973530276621</v>
      </c>
      <c r="F78" s="131">
        <f t="shared" ca="1" si="15"/>
        <v>48.039362259678768</v>
      </c>
      <c r="G78" s="54">
        <f ca="1">'Disease Projections'!G85*adl_episode_duration*annual_adl_episodes*min_daily_wage*$U$23+'Disease Projections'!K85*min_daily_wage*'Economic Costs'!$U$22*'Economic Costs'!$U$24+'Disease Projections'!I85*min_daily_wage*'Economic Costs'!$U$22*'Economic Costs'!$U$25</f>
        <v>982.72204110164762</v>
      </c>
      <c r="H78" s="54">
        <f t="shared" ca="1" si="16"/>
        <v>107.06286080575138</v>
      </c>
      <c r="I78">
        <v>0</v>
      </c>
      <c r="J78" s="206">
        <f ca="1">('Disease Projections'!G85*adl_episode_duration*prod_loss_adl*annual_adl_episodes*Productive_pop_based_on_starting_age)+('Disease Projections'!I85*$U$22*prod_loss_hydrocele*Productive_pop_based_on_starting_age)+('Disease Projections'!K85*$U$22*prod_loss_lymphedema*Productive_pop_based_on_starting_age)</f>
        <v>722.40045445517399</v>
      </c>
      <c r="K78" s="54">
        <f t="shared" ca="1" si="17"/>
        <v>1897.2555917878744</v>
      </c>
      <c r="L78" s="54">
        <f t="shared" ca="1" si="18"/>
        <v>206.69691208799134</v>
      </c>
      <c r="M78" s="54">
        <f>('Disease Projections'!I85+'Disease Projections'!K85)*365*'Economic Costs'!$U$26</f>
        <v>58.44093142015862</v>
      </c>
      <c r="N78" s="54">
        <f t="shared" si="19"/>
        <v>6.3668596452572377</v>
      </c>
      <c r="O78" s="206">
        <f ca="1">(avg_clinic_visit*'Disease Projections'!G85*annual_adl_episodes)+('Disease Projections'!I85*avg_clinic_visit*annual_hydrocele_visits)+('Disease Projections'!K85*avg_clinic_visit*annual_lymphedema_visits)</f>
        <v>98.327286565372745</v>
      </c>
      <c r="P78" s="54">
        <f ca="1">'Disease Projections'!M85*yll*$U$21*$U$20</f>
        <v>27.601406940169547</v>
      </c>
      <c r="Q78" s="131">
        <f t="shared" ca="1" si="20"/>
        <v>3.0070411221931814</v>
      </c>
    </row>
    <row r="79" spans="1:17">
      <c r="A79">
        <v>76</v>
      </c>
      <c r="B79">
        <v>2097</v>
      </c>
      <c r="C79" s="54">
        <f ca="1">('Disease Projections'!G86*annual_adl_episodes*ccc_adl)+('Disease Projections'!I86*annual_hydrocele_visits*ccc_hydrocele)+('Disease Projections'!K86*annual_lymphedema_visits*ccc_le)</f>
        <v>631.89580720145364</v>
      </c>
      <c r="D79" s="54">
        <f t="shared" ca="1" si="14"/>
        <v>66.836915034101537</v>
      </c>
      <c r="E79" s="131">
        <f ca="1">(('Disease Projections'!G86*annual_adl_episodes)+('Disease Projections'!I86*annual_hydrocele_visits)+('Disease Projections'!K86*annual_lymphedema_visits)*'Economic Costs'!$U$19)</f>
        <v>385.32514997533599</v>
      </c>
      <c r="F79" s="131">
        <f t="shared" ca="1" si="15"/>
        <v>40.75663110262321</v>
      </c>
      <c r="G79" s="54">
        <f ca="1">'Disease Projections'!G86*adl_episode_duration*annual_adl_episodes*min_daily_wage*$U$23+'Disease Projections'!K86*min_daily_wage*'Economic Costs'!$U$22*'Economic Costs'!$U$24+'Disease Projections'!I86*min_daily_wage*'Economic Costs'!$U$22*'Economic Costs'!$U$25</f>
        <v>858.75438299460347</v>
      </c>
      <c r="H79" s="54">
        <f t="shared" ca="1" si="16"/>
        <v>90.832211698904544</v>
      </c>
      <c r="I79">
        <v>0</v>
      </c>
      <c r="J79" s="206">
        <f ca="1">('Disease Projections'!G86*adl_episode_duration*prod_loss_adl*annual_adl_episodes*Productive_pop_based_on_starting_age)+('Disease Projections'!I86*$U$22*prod_loss_hydrocele*Productive_pop_based_on_starting_age)+('Disease Projections'!K86*$U$22*prod_loss_lymphedema*Productive_pop_based_on_starting_age)</f>
        <v>631.27164202528229</v>
      </c>
      <c r="K79" s="54">
        <f t="shared" ca="1" si="17"/>
        <v>1657.9220643941305</v>
      </c>
      <c r="L79" s="54">
        <f t="shared" ca="1" si="18"/>
        <v>175.36181580604386</v>
      </c>
      <c r="M79" s="54">
        <f>('Disease Projections'!I86+'Disease Projections'!K86)*365*'Economic Costs'!$U$26</f>
        <v>51.068770114373805</v>
      </c>
      <c r="N79" s="54">
        <f t="shared" si="19"/>
        <v>5.4016485156741743</v>
      </c>
      <c r="O79" s="206">
        <f ca="1">(avg_clinic_visit*'Disease Projections'!G86*annual_adl_episodes)+('Disease Projections'!I86*avg_clinic_visit*annual_hydrocele_visits)+('Disease Projections'!K86*avg_clinic_visit*annual_lymphedema_visits)</f>
        <v>85.923572255815827</v>
      </c>
      <c r="P79" s="54">
        <f ca="1">'Disease Projections'!M86*yll*$U$21*$U$20</f>
        <v>24.119566057678931</v>
      </c>
      <c r="Q79" s="131">
        <f t="shared" ca="1" si="20"/>
        <v>2.5511759516115009</v>
      </c>
    </row>
    <row r="80" spans="1:17">
      <c r="A80">
        <v>77</v>
      </c>
      <c r="B80">
        <v>2098</v>
      </c>
      <c r="C80" s="54">
        <f ca="1">('Disease Projections'!G87*annual_adl_episodes*ccc_adl)+('Disease Projections'!I87*annual_hydrocele_visits*ccc_hydrocele)+('Disease Projections'!K87*annual_lymphedema_visits*ccc_le)</f>
        <v>552.18014483413731</v>
      </c>
      <c r="D80" s="54">
        <f t="shared" ca="1" si="14"/>
        <v>56.704102906081928</v>
      </c>
      <c r="E80" s="131">
        <f ca="1">(('Disease Projections'!G87*annual_adl_episodes)+('Disease Projections'!I87*annual_hydrocele_visits)+('Disease Projections'!K87*annual_lymphedema_visits)*'Economic Costs'!$U$19)</f>
        <v>336.71515888660463</v>
      </c>
      <c r="F80" s="131">
        <f t="shared" ca="1" si="15"/>
        <v>34.577721053839973</v>
      </c>
      <c r="G80" s="54">
        <f ca="1">'Disease Projections'!G87*adl_episode_duration*annual_adl_episodes*min_daily_wage*$U$23+'Disease Projections'!K87*min_daily_wage*'Economic Costs'!$U$22*'Economic Costs'!$U$24+'Disease Projections'!I87*min_daily_wage*'Economic Costs'!$U$22*'Economic Costs'!$U$25</f>
        <v>750.41979100794322</v>
      </c>
      <c r="H80" s="54">
        <f t="shared" ca="1" si="16"/>
        <v>77.061592036882359</v>
      </c>
      <c r="I80">
        <v>0</v>
      </c>
      <c r="J80" s="206">
        <f ca="1">('Disease Projections'!G87*adl_episode_duration*prod_loss_adl*annual_adl_episodes*Productive_pop_based_on_starting_age)+('Disease Projections'!I87*$U$22*prod_loss_hydrocele*Productive_pop_based_on_starting_age)+('Disease Projections'!K87*$U$22*prod_loss_lymphedema*Productive_pop_based_on_starting_age)</f>
        <v>551.63472007668395</v>
      </c>
      <c r="K80" s="54">
        <f t="shared" ca="1" si="17"/>
        <v>1448.769932016661</v>
      </c>
      <c r="L80" s="54">
        <f t="shared" ca="1" si="18"/>
        <v>148.77608345911543</v>
      </c>
      <c r="M80" s="54">
        <f>('Disease Projections'!I87+'Disease Projections'!K87)*365*'Economic Costs'!$U$26</f>
        <v>44.626282619511151</v>
      </c>
      <c r="N80" s="54">
        <f t="shared" si="19"/>
        <v>4.5827314611842116</v>
      </c>
      <c r="O80" s="206">
        <f ca="1">(avg_clinic_visit*'Disease Projections'!G87*annual_adl_episodes)+('Disease Projections'!I87*avg_clinic_visit*annual_hydrocele_visits)+('Disease Projections'!K87*avg_clinic_visit*annual_lymphedema_visits)</f>
        <v>75.084040805728733</v>
      </c>
      <c r="P80" s="54">
        <f ca="1">'Disease Projections'!M87*yll*$U$21*$U$20</f>
        <v>21.076806219129885</v>
      </c>
      <c r="Q80" s="131">
        <f t="shared" ca="1" si="20"/>
        <v>2.1644048594686116</v>
      </c>
    </row>
    <row r="81" spans="1:17">
      <c r="A81">
        <v>78</v>
      </c>
      <c r="B81">
        <v>2099</v>
      </c>
      <c r="C81" s="54">
        <f ca="1">('Disease Projections'!G88*annual_adl_episodes*ccc_adl)+('Disease Projections'!I88*annual_hydrocele_visits*ccc_hydrocele)+('Disease Projections'!K88*annual_lymphedema_visits*ccc_le)</f>
        <v>482.51799508283671</v>
      </c>
      <c r="D81" s="54">
        <f t="shared" ca="1" si="14"/>
        <v>48.107189738366721</v>
      </c>
      <c r="E81" s="131">
        <f ca="1">(('Disease Projections'!G88*annual_adl_episodes)+('Disease Projections'!I88*annual_hydrocele_visits)+('Disease Projections'!K88*annual_lymphedema_visits)*'Economic Costs'!$U$19)</f>
        <v>294.2357216208236</v>
      </c>
      <c r="F81" s="131">
        <f t="shared" ca="1" si="15"/>
        <v>29.335390248788887</v>
      </c>
      <c r="G81" s="54">
        <f ca="1">'Disease Projections'!G88*adl_episode_duration*annual_adl_episodes*min_daily_wage*$U$23+'Disease Projections'!K88*min_daily_wage*'Economic Costs'!$U$22*'Economic Costs'!$U$24+'Disease Projections'!I88*min_daily_wage*'Economic Costs'!$U$22*'Economic Costs'!$U$25</f>
        <v>655.7480496449183</v>
      </c>
      <c r="H81" s="54">
        <f t="shared" ca="1" si="16"/>
        <v>65.378278460715819</v>
      </c>
      <c r="I81">
        <v>0</v>
      </c>
      <c r="J81" s="206">
        <f ca="1">('Disease Projections'!G88*adl_episode_duration*prod_loss_adl*annual_adl_episodes*Productive_pop_based_on_starting_age)+('Disease Projections'!I88*$U$22*prod_loss_hydrocele*Productive_pop_based_on_starting_age)+('Disease Projections'!K88*$U$22*prod_loss_lymphedema*Productive_pop_based_on_starting_age)</f>
        <v>482.04138022644048</v>
      </c>
      <c r="K81" s="54">
        <f t="shared" ca="1" si="17"/>
        <v>1265.9954717186693</v>
      </c>
      <c r="L81" s="54">
        <f t="shared" ca="1" si="18"/>
        <v>126.22013062005583</v>
      </c>
      <c r="M81" s="54">
        <f>('Disease Projections'!I88+'Disease Projections'!K88)*365*'Economic Costs'!$U$26</f>
        <v>38.996303324225089</v>
      </c>
      <c r="N81" s="54">
        <f t="shared" si="19"/>
        <v>3.8879432108875709</v>
      </c>
      <c r="O81" s="206">
        <f ca="1">(avg_clinic_visit*'Disease Projections'!G88*annual_adl_episodes)+('Disease Projections'!I88*avg_clinic_visit*annual_hydrocele_visits)+('Disease Projections'!K88*avg_clinic_visit*annual_lymphedema_visits)</f>
        <v>65.611560233084148</v>
      </c>
      <c r="P81" s="54">
        <f ca="1">'Disease Projections'!M88*yll*$U$21*$U$20</f>
        <v>18.417790597412445</v>
      </c>
      <c r="Q81" s="131">
        <f t="shared" ca="1" si="20"/>
        <v>1.8362592812297442</v>
      </c>
    </row>
    <row r="82" spans="1:17">
      <c r="A82">
        <v>79</v>
      </c>
      <c r="B82">
        <v>2100</v>
      </c>
      <c r="C82" s="54">
        <f ca="1">('Disease Projections'!G89*annual_adl_episodes*ccc_adl)+('Disease Projections'!I89*annual_hydrocele_visits*ccc_hydrocele)+('Disease Projections'!K89*annual_lymphedema_visits*ccc_le)</f>
        <v>421.64211634466534</v>
      </c>
      <c r="D82" s="54">
        <f t="shared" ca="1" si="14"/>
        <v>40.813442966253177</v>
      </c>
      <c r="E82" s="131">
        <f ca="1">(('Disease Projections'!G89*annual_adl_episodes)+('Disease Projections'!I89*annual_hydrocele_visits)+('Disease Projections'!K89*annual_lymphedema_visits)*'Economic Costs'!$U$19)</f>
        <v>257.11408410189006</v>
      </c>
      <c r="F82" s="131">
        <f t="shared" ca="1" si="15"/>
        <v>24.887720179107955</v>
      </c>
      <c r="G82" s="54">
        <f ca="1">'Disease Projections'!G89*adl_episode_duration*annual_adl_episodes*min_daily_wage*$U$23+'Disease Projections'!K89*min_daily_wage*'Economic Costs'!$U$22*'Economic Costs'!$U$24+'Disease Projections'!I89*min_daily_wage*'Economic Costs'!$U$22*'Economic Costs'!$U$25</f>
        <v>573.01696156161643</v>
      </c>
      <c r="H82" s="54">
        <f t="shared" ca="1" si="16"/>
        <v>55.465984475501301</v>
      </c>
      <c r="I82">
        <v>0</v>
      </c>
      <c r="J82" s="206">
        <f ca="1">('Disease Projections'!G89*adl_episode_duration*prod_loss_adl*annual_adl_episodes*Productive_pop_based_on_starting_age)+('Disease Projections'!I89*$U$22*prod_loss_hydrocele*Productive_pop_based_on_starting_age)+('Disease Projections'!K89*$U$22*prod_loss_lymphedema*Productive_pop_based_on_starting_age)</f>
        <v>421.22563260979928</v>
      </c>
      <c r="K82" s="54">
        <f t="shared" ca="1" si="17"/>
        <v>1106.2737875435769</v>
      </c>
      <c r="L82" s="54">
        <f t="shared" ca="1" si="18"/>
        <v>107.08333058470551</v>
      </c>
      <c r="M82" s="54">
        <f>('Disease Projections'!I89+'Disease Projections'!K89)*365*'Economic Costs'!$U$26</f>
        <v>34.076415865945059</v>
      </c>
      <c r="N82" s="54">
        <f t="shared" si="19"/>
        <v>3.2984747052692516</v>
      </c>
      <c r="O82" s="206">
        <f ca="1">(avg_clinic_visit*'Disease Projections'!G89*annual_adl_episodes)+('Disease Projections'!I89*avg_clinic_visit*annual_hydrocele_visits)+('Disease Projections'!K89*avg_clinic_visit*annual_lymphedema_visits)</f>
        <v>57.33381427277908</v>
      </c>
      <c r="P82" s="54">
        <f ca="1">'Disease Projections'!M89*yll*$U$21*$U$20</f>
        <v>16.094148373787956</v>
      </c>
      <c r="Q82" s="131">
        <f t="shared" ca="1" si="20"/>
        <v>1.5578557769287738</v>
      </c>
    </row>
    <row r="83" spans="1:17">
      <c r="A83">
        <v>80</v>
      </c>
      <c r="B83">
        <v>2101</v>
      </c>
      <c r="C83" s="54">
        <f ca="1">('Disease Projections'!G90*annual_adl_episodes*ccc_adl)+('Disease Projections'!I90*annual_hydrocele_visits*ccc_hydrocele)+('Disease Projections'!K90*annual_lymphedema_visits*ccc_le)</f>
        <v>368.44484186711566</v>
      </c>
      <c r="D83" s="54">
        <f t="shared" ca="1" si="14"/>
        <v>34.625376505208791</v>
      </c>
      <c r="E83" s="131">
        <f ca="1">(('Disease Projections'!G90*annual_adl_episodes)+('Disease Projections'!I90*annual_hydrocele_visits)+('Disease Projections'!K90*annual_lymphedema_visits)*'Economic Costs'!$U$19)</f>
        <v>224.67479975670062</v>
      </c>
      <c r="F83" s="131">
        <f t="shared" ca="1" si="15"/>
        <v>21.114285365986774</v>
      </c>
      <c r="G83" s="54">
        <f ca="1">'Disease Projections'!G90*adl_episode_duration*annual_adl_episodes*min_daily_wage*$U$23+'Disease Projections'!K90*min_daily_wage*'Economic Costs'!$U$22*'Economic Costs'!$U$24+'Disease Projections'!I90*min_daily_wage*'Economic Costs'!$U$22*'Economic Costs'!$U$25</f>
        <v>500.72119365126133</v>
      </c>
      <c r="H83" s="54">
        <f t="shared" ca="1" si="16"/>
        <v>47.056323998058666</v>
      </c>
      <c r="I83">
        <v>0</v>
      </c>
      <c r="J83" s="206">
        <f ca="1">('Disease Projections'!G90*adl_episode_duration*prod_loss_adl*annual_adl_episodes*Productive_pop_based_on_starting_age)+('Disease Projections'!I90*$U$22*prod_loss_hydrocele*Productive_pop_based_on_starting_age)+('Disease Projections'!K90*$U$22*prod_loss_lymphedema*Productive_pop_based_on_starting_age)</f>
        <v>368.08090458977892</v>
      </c>
      <c r="K83" s="54">
        <f t="shared" ca="1" si="17"/>
        <v>966.69866437166036</v>
      </c>
      <c r="L83" s="54">
        <f t="shared" ca="1" si="18"/>
        <v>90.847533789123915</v>
      </c>
      <c r="M83" s="54">
        <f>('Disease Projections'!I90+'Disease Projections'!K90)*365*'Economic Costs'!$U$26</f>
        <v>29.777100456594482</v>
      </c>
      <c r="N83" s="54">
        <f t="shared" si="19"/>
        <v>2.798365446828178</v>
      </c>
      <c r="O83" s="206">
        <f ca="1">(avg_clinic_visit*'Disease Projections'!G90*annual_adl_episodes)+('Disease Projections'!I90*avg_clinic_visit*annual_hydrocele_visits)+('Disease Projections'!K90*avg_clinic_visit*annual_lymphedema_visits)</f>
        <v>50.100185238859936</v>
      </c>
      <c r="P83" s="54">
        <f ca="1">'Disease Projections'!M90*yll*$U$21*$U$20</f>
        <v>14.063599727592118</v>
      </c>
      <c r="Q83" s="131">
        <f t="shared" ca="1" si="20"/>
        <v>1.3216562704983024</v>
      </c>
    </row>
    <row r="84" spans="1:17">
      <c r="A84">
        <v>81</v>
      </c>
      <c r="B84">
        <v>2102</v>
      </c>
      <c r="C84" s="54">
        <f ca="1">('Disease Projections'!G91*annual_adl_episodes*ccc_adl)+('Disease Projections'!I91*annual_hydrocele_visits*ccc_hydrocele)+('Disease Projections'!K91*annual_lymphedema_visits*ccc_le)</f>
        <v>321.95802355871751</v>
      </c>
      <c r="D84" s="54">
        <f t="shared" ca="1" si="14"/>
        <v>29.375417756545183</v>
      </c>
      <c r="E84" s="131">
        <f ca="1">(('Disease Projections'!G91*annual_adl_episodes)+('Disease Projections'!I91*annual_hydrocele_visits)+('Disease Projections'!K91*annual_lymphedema_visits)*'Economic Costs'!$U$19)</f>
        <v>196.3274994068361</v>
      </c>
      <c r="F84" s="131">
        <f t="shared" ca="1" si="15"/>
        <v>17.91290134169272</v>
      </c>
      <c r="G84" s="54">
        <f ca="1">'Disease Projections'!G91*adl_episode_duration*annual_adl_episodes*min_daily_wage*$U$23+'Disease Projections'!K91*min_daily_wage*'Economic Costs'!$U$22*'Economic Costs'!$U$24+'Disease Projections'!I91*min_daily_wage*'Economic Costs'!$U$22*'Economic Costs'!$U$25</f>
        <v>437.54502042958399</v>
      </c>
      <c r="H84" s="54">
        <f t="shared" ca="1" si="16"/>
        <v>39.921563750285081</v>
      </c>
      <c r="I84">
        <v>0</v>
      </c>
      <c r="J84" s="206">
        <f ca="1">('Disease Projections'!G91*adl_episode_duration*prod_loss_adl*annual_adl_episodes*Productive_pop_based_on_starting_age)+('Disease Projections'!I91*$U$22*prod_loss_hydrocele*Productive_pop_based_on_starting_age)+('Disease Projections'!K91*$U$22*prod_loss_lymphedema*Productive_pop_based_on_starting_age)</f>
        <v>321.64000437865002</v>
      </c>
      <c r="K84" s="54">
        <f t="shared" ca="1" si="17"/>
        <v>844.72994595539251</v>
      </c>
      <c r="L84" s="54">
        <f t="shared" ca="1" si="18"/>
        <v>77.073075488606207</v>
      </c>
      <c r="M84" s="54">
        <f>('Disease Projections'!I91+'Disease Projections'!K91)*365*'Economic Costs'!$U$26</f>
        <v>26.020112974663949</v>
      </c>
      <c r="N84" s="54">
        <f t="shared" si="19"/>
        <v>2.3740724963291853</v>
      </c>
      <c r="O84" s="206">
        <f ca="1">(avg_clinic_visit*'Disease Projections'!G91*annual_adl_episodes)+('Disease Projections'!I91*avg_clinic_visit*annual_hydrocele_visits)+('Disease Projections'!K91*avg_clinic_visit*annual_lymphedema_visits)</f>
        <v>43.779026835301778</v>
      </c>
      <c r="P84" s="54">
        <f ca="1">'Disease Projections'!M91*yll*$U$21*$U$20</f>
        <v>12.289190288215563</v>
      </c>
      <c r="Q84" s="131">
        <f t="shared" ca="1" si="20"/>
        <v>1.1212644885061305</v>
      </c>
    </row>
    <row r="85" spans="1:17">
      <c r="C85" s="131">
        <f ca="1">SUM(C4:C84)</f>
        <v>29942298.469537102</v>
      </c>
      <c r="D85" s="131">
        <f ca="1">SUM(D4:D84)</f>
        <v>20936844.40402288</v>
      </c>
      <c r="E85" s="131">
        <f ca="1">SUM(E4:E84)</f>
        <v>18258580.792738795</v>
      </c>
      <c r="F85" s="131">
        <f ca="1">SUM(F4:F84)</f>
        <v>12767124.924787482</v>
      </c>
      <c r="G85" s="54">
        <f ca="1">'Disease Projections'!G92*adl_episode_duration*annual_adl_episodes*min_daily_wage*$U$23+'Disease Projections'!K92*min_daily_wage*'Economic Costs'!$U$22*'Economic Costs'!$U$24+'Disease Projections'!I92*min_daily_wage*'Economic Costs'!$U$22*'Economic Costs'!$U$25</f>
        <v>40691961.799091376</v>
      </c>
      <c r="H85" s="54">
        <f t="shared" ca="1" si="16"/>
        <v>40691961.799091376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E327D-2625-BD4D-A400-377769B1BD18}">
  <sheetPr codeName="Sheet6">
    <tabColor theme="4"/>
  </sheetPr>
  <dimension ref="A4:AK107"/>
  <sheetViews>
    <sheetView workbookViewId="0">
      <pane xSplit="2" ySplit="10" topLeftCell="C13" activePane="bottomRight" state="frozen"/>
      <selection pane="topRight" activeCell="C1" sqref="C1"/>
      <selection pane="bottomLeft" activeCell="A11" sqref="A11"/>
      <selection pane="bottomRight" activeCell="X20" sqref="X20"/>
    </sheetView>
  </sheetViews>
  <sheetFormatPr baseColWidth="10" defaultRowHeight="14"/>
  <cols>
    <col min="3" max="3" width="22.6640625" customWidth="1"/>
    <col min="8" max="8" width="13.6640625" customWidth="1"/>
    <col min="9" max="10" width="14.83203125" customWidth="1"/>
    <col min="17" max="17" width="13.6640625" customWidth="1"/>
    <col min="23" max="23" width="14.5" customWidth="1"/>
  </cols>
  <sheetData>
    <row r="4" spans="1:37">
      <c r="C4" s="163" t="s">
        <v>459</v>
      </c>
      <c r="D4" s="207">
        <f>Dashboard!AC13/100</f>
        <v>0.03</v>
      </c>
    </row>
    <row r="5" spans="1:37">
      <c r="C5" s="13" t="s">
        <v>460</v>
      </c>
      <c r="D5" s="204">
        <f>Dashboard!AC14/100</f>
        <v>0</v>
      </c>
    </row>
    <row r="6" spans="1:37">
      <c r="C6" t="s">
        <v>461</v>
      </c>
      <c r="D6" s="208">
        <f>Dashboard!AC15</f>
        <v>2022</v>
      </c>
    </row>
    <row r="7" spans="1:37">
      <c r="C7" s="13" t="s">
        <v>462</v>
      </c>
      <c r="D7" s="204">
        <f>Dashboard!AC16</f>
        <v>2049</v>
      </c>
    </row>
    <row r="8" spans="1:37">
      <c r="C8" s="1" t="s">
        <v>463</v>
      </c>
      <c r="D8" s="209">
        <v>50</v>
      </c>
    </row>
    <row r="9" spans="1:37">
      <c r="AG9" t="s">
        <v>602</v>
      </c>
    </row>
    <row r="10" spans="1:37">
      <c r="A10" t="s">
        <v>601</v>
      </c>
      <c r="B10" t="s">
        <v>517</v>
      </c>
      <c r="C10" t="s">
        <v>466</v>
      </c>
      <c r="E10" t="s">
        <v>468</v>
      </c>
      <c r="F10" t="s">
        <v>596</v>
      </c>
      <c r="G10" t="s">
        <v>470</v>
      </c>
      <c r="H10" t="s">
        <v>597</v>
      </c>
      <c r="I10" t="s">
        <v>471</v>
      </c>
      <c r="J10" t="s">
        <v>598</v>
      </c>
      <c r="K10" t="s">
        <v>472</v>
      </c>
      <c r="L10" t="s">
        <v>599</v>
      </c>
      <c r="M10" t="s">
        <v>544</v>
      </c>
      <c r="N10" t="s">
        <v>600</v>
      </c>
      <c r="AG10" t="s">
        <v>603</v>
      </c>
      <c r="AH10" t="s">
        <v>608</v>
      </c>
      <c r="AI10" t="s">
        <v>609</v>
      </c>
      <c r="AJ10" t="s">
        <v>604</v>
      </c>
      <c r="AK10" t="s">
        <v>605</v>
      </c>
    </row>
    <row r="11" spans="1:37">
      <c r="A11">
        <v>1</v>
      </c>
      <c r="B11">
        <v>2020</v>
      </c>
      <c r="C11" s="183">
        <f>IF($D$7&lt;=$D$6,0,($D$4+($D$5-$D$4)/(1+$D$8^((($D$6-2020)+($D$7-2020)/2-(B11-2020))/($D$7-2020))))/(Dashboard!$AA$7/100))</f>
        <v>2.1319915699063476E-2</v>
      </c>
      <c r="D11">
        <v>2020</v>
      </c>
      <c r="E11" s="53">
        <f>pop_calc!$C$24*'Disease Projections'!C11</f>
        <v>101456.80975030498</v>
      </c>
      <c r="F11" s="53">
        <f>SUM(E$11:E11)</f>
        <v>101456.80975030498</v>
      </c>
      <c r="G11" s="206">
        <f>E11*(1-$R$28)*1.25</f>
        <v>42231.397058564442</v>
      </c>
      <c r="H11" s="206">
        <f>SUM(G$11:G11)</f>
        <v>42231.397058564442</v>
      </c>
      <c r="I11" s="206">
        <f>$R$30*E11</f>
        <v>21103.016428063434</v>
      </c>
      <c r="J11" s="206">
        <f>SUM(I$11:I11)</f>
        <v>21103.016428063434</v>
      </c>
      <c r="K11" s="206">
        <f>$R$31*E11</f>
        <v>12682.101218788122</v>
      </c>
      <c r="L11" s="206">
        <f>SUM(K$11:K11)</f>
        <v>12682.101218788122</v>
      </c>
      <c r="M11" s="206">
        <f t="shared" ref="M11:M42" ca="1" si="0">E11*prob_lf_death</f>
        <v>113.54104998870487</v>
      </c>
      <c r="N11" s="206">
        <f ca="1">SUM(M$11:M11)</f>
        <v>113.54104998870487</v>
      </c>
      <c r="AF11" t="s">
        <v>606</v>
      </c>
      <c r="AG11">
        <f ca="1">(VLOOKUP(yearly_horizon,A11:H91,8))*yearly_horizon*util_adl</f>
        <v>11303.148877839141</v>
      </c>
      <c r="AH11">
        <f ca="1">VLOOKUP(yearly_horizon,A11:J91,10)*yearly_horizon*util_hydrocele</f>
        <v>2441.9558564125682</v>
      </c>
      <c r="AI11">
        <f ca="1">VLOOKUP(yearly_horizon,A11:L91,12)*yearly_horizon*util_lymphedema</f>
        <v>862.89943050209195</v>
      </c>
      <c r="AK11">
        <f ca="1">AG11+AH11+AI11+AJ11</f>
        <v>14608.0041647538</v>
      </c>
    </row>
    <row r="12" spans="1:37">
      <c r="A12">
        <v>2</v>
      </c>
      <c r="B12">
        <v>2021</v>
      </c>
      <c r="C12" s="183">
        <f>IF($D$7&lt;=$D$6,0,($D$4+($D$5-$D$4)/(1+$D$8^((($D$6-2020)+($D$7-2020)/2-(B12-2020))/($D$7-2020))))/(Dashboard!$AA$7/100))</f>
        <v>2.1024009962089203E-2</v>
      </c>
      <c r="D12">
        <v>2021</v>
      </c>
      <c r="E12" s="53">
        <f>pop_calc!$C$24*'Disease Projections'!C12</f>
        <v>100048.65915140082</v>
      </c>
      <c r="F12" s="53">
        <f>SUM(E$11:E12)</f>
        <v>201505.46890170581</v>
      </c>
      <c r="G12" s="206">
        <f t="shared" ref="G12:G75" si="1">E12*(1-$R$28)*1.25</f>
        <v>41645.254371770585</v>
      </c>
      <c r="H12" s="206">
        <f>SUM(G$11:G12)</f>
        <v>83876.651430335027</v>
      </c>
      <c r="I12" s="206">
        <f t="shared" ref="I12:I75" si="2">$R$30*E12</f>
        <v>20810.121103491369</v>
      </c>
      <c r="J12" s="206">
        <f>SUM(I$11:I12)</f>
        <v>41913.137531554807</v>
      </c>
      <c r="K12" s="206">
        <f t="shared" ref="K12:K75" si="3">$R$31*E12</f>
        <v>12506.082393925102</v>
      </c>
      <c r="L12" s="206">
        <f>SUM(K$11:K12)</f>
        <v>25188.183612713226</v>
      </c>
      <c r="M12" s="206">
        <f t="shared" ca="1" si="0"/>
        <v>111.96517846332091</v>
      </c>
      <c r="N12" s="206">
        <f ca="1">SUM(M$11:M12)</f>
        <v>225.50622845202577</v>
      </c>
      <c r="AF12" t="s">
        <v>607</v>
      </c>
      <c r="AG12">
        <f ca="1">AG11/(1+discount_effects)^yearly_horizon</f>
        <v>10973.93094935839</v>
      </c>
      <c r="AH12">
        <f ca="1">AH11/(1+discount_effects)^yearly_horizon</f>
        <v>2370.8309285558912</v>
      </c>
      <c r="AI12">
        <f ca="1">AI11/(1+discount_effects)^yearly_horizon</f>
        <v>837.76643738067173</v>
      </c>
      <c r="AK12">
        <f ca="1">AG12+AH12+AI12+AJ12</f>
        <v>14182.528315294952</v>
      </c>
    </row>
    <row r="13" spans="1:37">
      <c r="A13">
        <v>3</v>
      </c>
      <c r="B13">
        <v>2022</v>
      </c>
      <c r="C13" s="183">
        <f>IF($D$7&lt;=$D$6,0,($D$4+($D$5-$D$4)/(1+$D$8^((($D$6-2020)+($D$7-2020)/2-(B13-2020))/($D$7-2020))))/(Dashboard!$AA$7/100))</f>
        <v>2.0695291107890659E-2</v>
      </c>
      <c r="D13">
        <v>2022</v>
      </c>
      <c r="E13" s="53">
        <f>pop_calc!$C$24*'Disease Projections'!C13</f>
        <v>98484.358113699025</v>
      </c>
      <c r="F13" s="53">
        <f>SUM(E$11:E13)</f>
        <v>299989.82701540482</v>
      </c>
      <c r="G13" s="206">
        <f t="shared" si="1"/>
        <v>40994.114064827219</v>
      </c>
      <c r="H13" s="206">
        <f>SUM(G$11:G13)</f>
        <v>124870.76549516225</v>
      </c>
      <c r="I13" s="206">
        <f t="shared" si="2"/>
        <v>20484.746487649398</v>
      </c>
      <c r="J13" s="206">
        <f>SUM(I$11:I13)</f>
        <v>62397.884019204204</v>
      </c>
      <c r="K13" s="206">
        <f t="shared" si="3"/>
        <v>12310.544764212378</v>
      </c>
      <c r="L13" s="206">
        <f>SUM(K$11:K13)</f>
        <v>37498.728376925603</v>
      </c>
      <c r="M13" s="206">
        <f t="shared" ca="1" si="0"/>
        <v>110.21455785188829</v>
      </c>
      <c r="N13" s="206">
        <f ca="1">SUM(M$11:M13)</f>
        <v>335.72078630391405</v>
      </c>
    </row>
    <row r="14" spans="1:37">
      <c r="A14">
        <v>4</v>
      </c>
      <c r="B14">
        <v>2023</v>
      </c>
      <c r="C14" s="183">
        <f>IF($D$7&lt;=$D$6,0,($D$4+($D$5-$D$4)/(1+$D$8^((($D$6-2020)+($D$7-2020)/2-(B14-2020))/($D$7-2020))))/(Dashboard!$AA$7/100))</f>
        <v>2.0331490474619646E-2</v>
      </c>
      <c r="D14">
        <v>2023</v>
      </c>
      <c r="E14" s="53">
        <f>pop_calc!$C$24*'Disease Projections'!C14</f>
        <v>96753.110572300953</v>
      </c>
      <c r="F14" s="53">
        <f>SUM(E$11:E14)</f>
        <v>396742.93758770579</v>
      </c>
      <c r="G14" s="206">
        <f t="shared" si="1"/>
        <v>40273.482275720264</v>
      </c>
      <c r="H14" s="206">
        <f>SUM(G$11:G14)</f>
        <v>165144.2477708825</v>
      </c>
      <c r="I14" s="206">
        <f t="shared" si="2"/>
        <v>20124.646999038596</v>
      </c>
      <c r="J14" s="206">
        <f>SUM(I$11:I14)</f>
        <v>82522.531018242793</v>
      </c>
      <c r="K14" s="206">
        <f t="shared" si="3"/>
        <v>12094.138821537619</v>
      </c>
      <c r="L14" s="206">
        <f>SUM(K$11:K14)</f>
        <v>49592.867198463224</v>
      </c>
      <c r="M14" s="206">
        <f t="shared" ca="1" si="0"/>
        <v>108.27710620005267</v>
      </c>
      <c r="N14" s="206">
        <f ca="1">SUM(M$11:M14)</f>
        <v>443.99789250396674</v>
      </c>
    </row>
    <row r="15" spans="1:37">
      <c r="A15">
        <v>5</v>
      </c>
      <c r="B15">
        <v>2024</v>
      </c>
      <c r="C15" s="183">
        <f>IF($D$7&lt;=$D$6,0,($D$4+($D$5-$D$4)/(1+$D$8^((($D$6-2020)+($D$7-2020)/2-(B15-2020))/($D$7-2020))))/(Dashboard!$AA$7/100))</f>
        <v>1.9930535097214791E-2</v>
      </c>
      <c r="D15">
        <v>2024</v>
      </c>
      <c r="E15" s="53">
        <f>pop_calc!$C$24*'Disease Projections'!C15</f>
        <v>94845.051740458905</v>
      </c>
      <c r="F15" s="53">
        <f>SUM(E$11:E15)</f>
        <v>491587.98932816472</v>
      </c>
      <c r="G15" s="206">
        <f t="shared" si="1"/>
        <v>39479.252786966012</v>
      </c>
      <c r="H15" s="206">
        <f>SUM(G$11:G15)</f>
        <v>204623.50055784851</v>
      </c>
      <c r="I15" s="206">
        <f t="shared" si="2"/>
        <v>19727.770762015451</v>
      </c>
      <c r="J15" s="206">
        <f>SUM(I$11:I15)</f>
        <v>102250.30178025825</v>
      </c>
      <c r="K15" s="206">
        <f t="shared" si="3"/>
        <v>11855.631467557363</v>
      </c>
      <c r="L15" s="206">
        <f>SUM(K$11:K15)</f>
        <v>61448.49866602059</v>
      </c>
      <c r="M15" s="206">
        <f t="shared" ca="1" si="0"/>
        <v>106.14178375357768</v>
      </c>
      <c r="N15" s="206">
        <f ca="1">SUM(M$11:M15)</f>
        <v>550.13967625754447</v>
      </c>
    </row>
    <row r="16" spans="1:37">
      <c r="A16">
        <v>6</v>
      </c>
      <c r="B16">
        <v>2025</v>
      </c>
      <c r="C16" s="183">
        <f>IF($D$7&lt;=$D$6,0,($D$4+($D$5-$D$4)/(1+$D$8^((($D$6-2020)+($D$7-2020)/2-(B16-2020))/($D$7-2020))))/(Dashboard!$AA$7/100))</f>
        <v>1.9490650919664756E-2</v>
      </c>
      <c r="D16">
        <v>2025</v>
      </c>
      <c r="E16" s="53">
        <f>pop_calc!$C$24*'Disease Projections'!C16</f>
        <v>92751.739274133171</v>
      </c>
      <c r="F16" s="53">
        <f>SUM(E$11:E16)</f>
        <v>584339.72860229784</v>
      </c>
      <c r="G16" s="206">
        <f t="shared" si="1"/>
        <v>38607.91147285793</v>
      </c>
      <c r="H16" s="206">
        <f>SUM(G$11:G16)</f>
        <v>243231.41203070644</v>
      </c>
      <c r="I16" s="206">
        <f t="shared" si="2"/>
        <v>19292.361769019699</v>
      </c>
      <c r="J16" s="206">
        <f>SUM(I$11:I16)</f>
        <v>121542.66354927795</v>
      </c>
      <c r="K16" s="206">
        <f t="shared" si="3"/>
        <v>11593.967409266646</v>
      </c>
      <c r="L16" s="206">
        <f>SUM(K$11:K16)</f>
        <v>73042.46607528723</v>
      </c>
      <c r="M16" s="206">
        <f t="shared" ca="1" si="0"/>
        <v>103.79914262415508</v>
      </c>
      <c r="N16" s="206">
        <f ca="1">SUM(M$11:M16)</f>
        <v>653.93881888169949</v>
      </c>
      <c r="W16" s="184" t="s">
        <v>467</v>
      </c>
      <c r="X16" s="185" cm="1">
        <f t="array" ref="X16">INDEX($C$11:$C$91,MATCH(TRUE,$C$11:$C$91&lt;=0.01,0))</f>
        <v>9.8380925735775948E-3</v>
      </c>
    </row>
    <row r="17" spans="1:24">
      <c r="A17">
        <v>7</v>
      </c>
      <c r="B17">
        <v>2026</v>
      </c>
      <c r="C17" s="183">
        <f>IF($D$7&lt;=$D$6,0,($D$4+($D$5-$D$4)/(1+$D$8^((($D$6-2020)+($D$7-2020)/2-(B17-2020))/($D$7-2020))))/(Dashboard!$AA$7/100))</f>
        <v>1.9010478077625997E-2</v>
      </c>
      <c r="D17">
        <v>2026</v>
      </c>
      <c r="E17" s="53">
        <f>pop_calc!$C$24*'Disease Projections'!C17</f>
        <v>90466.70187672312</v>
      </c>
      <c r="F17" s="53">
        <f>SUM(E$11:E17)</f>
        <v>674806.43047902093</v>
      </c>
      <c r="G17" s="206">
        <f t="shared" si="1"/>
        <v>37656.764656185995</v>
      </c>
      <c r="H17" s="206">
        <f>SUM(G$11:G17)</f>
        <v>280888.17668689246</v>
      </c>
      <c r="I17" s="206">
        <f t="shared" si="2"/>
        <v>18817.073990358407</v>
      </c>
      <c r="J17" s="206">
        <f>SUM(I$11:I17)</f>
        <v>140359.73753963635</v>
      </c>
      <c r="K17" s="206">
        <f t="shared" si="3"/>
        <v>11308.33773459039</v>
      </c>
      <c r="L17" s="206">
        <f>SUM(K$11:K17)</f>
        <v>84350.803809877616</v>
      </c>
      <c r="M17" s="206">
        <f t="shared" ca="1" si="0"/>
        <v>101.24194073692922</v>
      </c>
      <c r="N17" s="206">
        <f ca="1">SUM(M$11:M17)</f>
        <v>755.18075961862871</v>
      </c>
      <c r="W17" s="186"/>
      <c r="X17" s="187"/>
    </row>
    <row r="18" spans="1:24">
      <c r="A18">
        <v>8</v>
      </c>
      <c r="B18">
        <v>2027</v>
      </c>
      <c r="C18" s="183">
        <f>IF($D$7&lt;=$D$6,0,($D$4+($D$5-$D$4)/(1+$D$8^((($D$6-2020)+($D$7-2020)/2-(B18-2020))/($D$7-2020))))/(Dashboard!$AA$7/100))</f>
        <v>1.8489194067582228E-2</v>
      </c>
      <c r="D18">
        <v>2027</v>
      </c>
      <c r="E18" s="53">
        <f>pop_calc!$C$24*'Disease Projections'!C18</f>
        <v>87986.025434123032</v>
      </c>
      <c r="F18" s="53">
        <f>SUM(E$11:E18)</f>
        <v>762792.45591314393</v>
      </c>
      <c r="G18" s="206">
        <f t="shared" si="1"/>
        <v>36624.183086953708</v>
      </c>
      <c r="H18" s="206">
        <f>SUM(G$11:G18)</f>
        <v>317512.35977384617</v>
      </c>
      <c r="I18" s="206">
        <f t="shared" si="2"/>
        <v>18301.093290297591</v>
      </c>
      <c r="J18" s="206">
        <f>SUM(I$11:I18)</f>
        <v>158660.83082993393</v>
      </c>
      <c r="K18" s="206">
        <f t="shared" si="3"/>
        <v>10998.253179265379</v>
      </c>
      <c r="L18" s="206">
        <f>SUM(K$11:K18)</f>
        <v>95349.056989142991</v>
      </c>
      <c r="M18" s="206">
        <f t="shared" ca="1" si="0"/>
        <v>98.465797778479725</v>
      </c>
      <c r="N18" s="206">
        <f ca="1">SUM(M$11:M18)</f>
        <v>853.64655739710838</v>
      </c>
      <c r="W18" s="186"/>
      <c r="X18" s="187"/>
    </row>
    <row r="19" spans="1:24">
      <c r="A19">
        <v>9</v>
      </c>
      <c r="B19">
        <v>2028</v>
      </c>
      <c r="C19" s="183">
        <f>IF($D$7&lt;=$D$6,0,($D$4+($D$5-$D$4)/(1+$D$8^((($D$6-2020)+($D$7-2020)/2-(B19-2020))/($D$7-2020))))/(Dashboard!$AA$7/100))</f>
        <v>1.7926638536489674E-2</v>
      </c>
      <c r="D19">
        <v>2028</v>
      </c>
      <c r="E19" s="53">
        <f>pop_calc!$C$24*'Disease Projections'!C19</f>
        <v>85308.946861314864</v>
      </c>
      <c r="F19" s="53">
        <f>SUM(E$11:E19)</f>
        <v>848101.40277445875</v>
      </c>
      <c r="G19" s="206">
        <f t="shared" si="1"/>
        <v>35509.849131022303</v>
      </c>
      <c r="H19" s="206">
        <f>SUM(G$11:G19)</f>
        <v>353022.20890486846</v>
      </c>
      <c r="I19" s="206">
        <f t="shared" si="2"/>
        <v>17744.260947153492</v>
      </c>
      <c r="J19" s="206">
        <f>SUM(I$11:I19)</f>
        <v>176405.09177708742</v>
      </c>
      <c r="K19" s="206">
        <f t="shared" si="3"/>
        <v>10663.618357664358</v>
      </c>
      <c r="L19" s="206">
        <f>SUM(K$11:K19)</f>
        <v>106012.67534680734</v>
      </c>
      <c r="M19" s="206">
        <f t="shared" ca="1" si="0"/>
        <v>95.469859774840799</v>
      </c>
      <c r="N19" s="206">
        <f ca="1">SUM(M$11:M19)</f>
        <v>949.11641717194914</v>
      </c>
      <c r="W19" s="186"/>
      <c r="X19" s="187"/>
    </row>
    <row r="20" spans="1:24">
      <c r="A20">
        <v>10</v>
      </c>
      <c r="B20">
        <v>2029</v>
      </c>
      <c r="C20" s="183">
        <f>IF($D$7&lt;=$D$6,0,($D$4+($D$5-$D$4)/(1+$D$8^((($D$6-2020)+($D$7-2020)/2-(B20-2020))/($D$7-2020))))/(Dashboard!$AA$7/100))</f>
        <v>1.7323431345900493E-2</v>
      </c>
      <c r="D20">
        <v>2029</v>
      </c>
      <c r="E20" s="53">
        <f>pop_calc!$C$24*'Disease Projections'!C20</f>
        <v>82438.415943675689</v>
      </c>
      <c r="F20" s="53">
        <f>SUM(E$11:E20)</f>
        <v>930539.81871813443</v>
      </c>
      <c r="G20" s="206">
        <f t="shared" si="1"/>
        <v>34314.990636555005</v>
      </c>
      <c r="H20" s="206">
        <f>SUM(G$11:G20)</f>
        <v>387337.19954142347</v>
      </c>
      <c r="I20" s="206">
        <f t="shared" si="2"/>
        <v>17147.190516284543</v>
      </c>
      <c r="J20" s="206">
        <f>SUM(I$11:I20)</f>
        <v>193552.28229337197</v>
      </c>
      <c r="K20" s="206">
        <f t="shared" si="3"/>
        <v>10304.801992959461</v>
      </c>
      <c r="L20" s="206">
        <f>SUM(K$11:K20)</f>
        <v>116317.4773397668</v>
      </c>
      <c r="M20" s="206">
        <f t="shared" ca="1" si="0"/>
        <v>92.257427852174203</v>
      </c>
      <c r="N20" s="206">
        <f ca="1">SUM(M$11:M20)</f>
        <v>1041.3738450241233</v>
      </c>
      <c r="W20" s="188" t="s">
        <v>32</v>
      </c>
      <c r="X20" s="189">
        <f>IF(VLOOKUP(X16,C11:D91,2,FALSE)=2020,2021,VLOOKUP(X16,C11:D91,2,FALSE))</f>
        <v>2039</v>
      </c>
    </row>
    <row r="21" spans="1:24">
      <c r="A21">
        <v>11</v>
      </c>
      <c r="B21">
        <v>2030</v>
      </c>
      <c r="C21" s="183">
        <f>IF($D$7&lt;=$D$6,0,($D$4+($D$5-$D$4)/(1+$D$8^((($D$6-2020)+($D$7-2020)/2-(B21-2020))/($D$7-2020))))/(Dashboard!$AA$7/100))</f>
        <v>1.6681073808041871E-2</v>
      </c>
      <c r="D21">
        <v>2030</v>
      </c>
      <c r="E21" s="53">
        <f>pop_calc!$C$24*'Disease Projections'!C21</f>
        <v>79381.577097307294</v>
      </c>
      <c r="F21" s="53">
        <f>SUM(E$11:E21)</f>
        <v>1009921.3958154417</v>
      </c>
      <c r="G21" s="206">
        <f t="shared" si="1"/>
        <v>33042.581466754156</v>
      </c>
      <c r="H21" s="206">
        <f>SUM(G$11:G21)</f>
        <v>420379.78100817761</v>
      </c>
      <c r="I21" s="206">
        <f t="shared" si="2"/>
        <v>16511.368036239917</v>
      </c>
      <c r="J21" s="206">
        <f>SUM(I$11:I21)</f>
        <v>210063.6503296119</v>
      </c>
      <c r="K21" s="206">
        <f t="shared" si="3"/>
        <v>9922.6971371634118</v>
      </c>
      <c r="L21" s="206">
        <f>SUM(K$11:K21)</f>
        <v>126240.17447693022</v>
      </c>
      <c r="M21" s="206">
        <f t="shared" ca="1" si="0"/>
        <v>88.836497378240338</v>
      </c>
      <c r="N21" s="206">
        <f ca="1">SUM(M$11:M21)</f>
        <v>1130.2103424023637</v>
      </c>
    </row>
    <row r="22" spans="1:24">
      <c r="A22">
        <v>12</v>
      </c>
      <c r="B22">
        <v>2031</v>
      </c>
      <c r="C22" s="183">
        <f>IF($D$7&lt;=$D$6,0,($D$4+($D$5-$D$4)/(1+$D$8^((($D$6-2020)+($D$7-2020)/2-(B22-2020))/($D$7-2020))))/(Dashboard!$AA$7/100))</f>
        <v>1.6002021952987163E-2</v>
      </c>
      <c r="D22">
        <v>2031</v>
      </c>
      <c r="E22" s="53">
        <f>pop_calc!$C$24*'Disease Projections'!C22</f>
        <v>76150.118031458202</v>
      </c>
      <c r="F22" s="53">
        <f>SUM(E$11:E22)</f>
        <v>1086071.5138468998</v>
      </c>
      <c r="G22" s="206">
        <f t="shared" si="1"/>
        <v>31697.486630594471</v>
      </c>
      <c r="H22" s="206">
        <f>SUM(G$11:G22)</f>
        <v>452077.26763877209</v>
      </c>
      <c r="I22" s="206">
        <f t="shared" si="2"/>
        <v>15839.224550543306</v>
      </c>
      <c r="J22" s="206">
        <f>SUM(I$11:I22)</f>
        <v>225902.8748801552</v>
      </c>
      <c r="K22" s="206">
        <f t="shared" si="3"/>
        <v>9518.7647539322752</v>
      </c>
      <c r="L22" s="206">
        <f>SUM(K$11:K22)</f>
        <v>135758.93923086248</v>
      </c>
      <c r="M22" s="206">
        <f t="shared" ca="1" si="0"/>
        <v>85.220148153037911</v>
      </c>
      <c r="N22" s="206">
        <f ca="1">SUM(M$11:M22)</f>
        <v>1215.4304905554015</v>
      </c>
    </row>
    <row r="23" spans="1:24">
      <c r="A23">
        <v>13</v>
      </c>
      <c r="B23">
        <v>2032</v>
      </c>
      <c r="C23" s="183">
        <f>IF($D$7&lt;=$D$6,0,($D$4+($D$5-$D$4)/(1+$D$8^((($D$6-2020)+($D$7-2020)/2-(B23-2020))/($D$7-2020))))/(Dashboard!$AA$7/100))</f>
        <v>1.5289720774567356E-2</v>
      </c>
      <c r="D23">
        <v>2032</v>
      </c>
      <c r="E23" s="53">
        <f>pop_calc!$C$24*'Disease Projections'!C23</f>
        <v>72760.43271731642</v>
      </c>
      <c r="F23" s="53">
        <f>SUM(E$11:E23)</f>
        <v>1158831.9465642162</v>
      </c>
      <c r="G23" s="206">
        <f t="shared" si="1"/>
        <v>30286.530118582956</v>
      </c>
      <c r="H23" s="206">
        <f>SUM(G$11:G23)</f>
        <v>482363.79775735503</v>
      </c>
      <c r="I23" s="206">
        <f t="shared" si="2"/>
        <v>15134.170005201815</v>
      </c>
      <c r="J23" s="206">
        <f>SUM(I$11:I23)</f>
        <v>241037.04488535703</v>
      </c>
      <c r="K23" s="206">
        <f t="shared" si="3"/>
        <v>9095.0540896645525</v>
      </c>
      <c r="L23" s="206">
        <f>SUM(K$11:K23)</f>
        <v>144853.99332052702</v>
      </c>
      <c r="M23" s="206">
        <f t="shared" ca="1" si="0"/>
        <v>81.42672678835919</v>
      </c>
      <c r="N23" s="206">
        <f ca="1">SUM(M$11:M23)</f>
        <v>1296.8572173437608</v>
      </c>
    </row>
    <row r="24" spans="1:24">
      <c r="A24">
        <v>14</v>
      </c>
      <c r="B24">
        <v>2033</v>
      </c>
      <c r="C24" s="183">
        <f>IF($D$7&lt;=$D$6,0,($D$4+($D$5-$D$4)/(1+$D$8^((($D$6-2020)+($D$7-2020)/2-(B24-2020))/($D$7-2020))))/(Dashboard!$AA$7/100))</f>
        <v>1.4548589949118354E-2</v>
      </c>
      <c r="D24">
        <v>2033</v>
      </c>
      <c r="E24" s="53">
        <f>pop_calc!$C$24*'Disease Projections'!C24</f>
        <v>69233.553426655388</v>
      </c>
      <c r="F24" s="53">
        <f>SUM(E$11:E24)</f>
        <v>1228065.4999908716</v>
      </c>
      <c r="G24" s="206">
        <f t="shared" si="1"/>
        <v>28818.466613845303</v>
      </c>
      <c r="H24" s="206">
        <f>SUM(G$11:G24)</f>
        <v>511182.26437120035</v>
      </c>
      <c r="I24" s="206">
        <f t="shared" si="2"/>
        <v>14400.579112744321</v>
      </c>
      <c r="J24" s="206">
        <f>SUM(I$11:I24)</f>
        <v>255437.62399810134</v>
      </c>
      <c r="K24" s="206">
        <f t="shared" si="3"/>
        <v>8654.1941783319235</v>
      </c>
      <c r="L24" s="206">
        <f>SUM(K$11:K24)</f>
        <v>153508.18749885896</v>
      </c>
      <c r="M24" s="206">
        <f t="shared" ca="1" si="0"/>
        <v>77.479770651746904</v>
      </c>
      <c r="N24" s="206">
        <f ca="1">SUM(M$11:M24)</f>
        <v>1374.3369879955078</v>
      </c>
    </row>
    <row r="25" spans="1:24">
      <c r="A25">
        <v>15</v>
      </c>
      <c r="B25">
        <v>2034</v>
      </c>
      <c r="C25" s="183">
        <f>IF($D$7&lt;=$D$6,0,($D$4+($D$5-$D$4)/(1+$D$8^((($D$6-2020)+($D$7-2020)/2-(B25-2020))/($D$7-2020))))/(Dashboard!$AA$7/100))</f>
        <v>1.3783954670516891E-2</v>
      </c>
      <c r="D25">
        <v>2034</v>
      </c>
      <c r="E25" s="53">
        <f>pop_calc!$C$24*'Disease Projections'!C25</f>
        <v>65594.821590917039</v>
      </c>
      <c r="F25" s="53">
        <f>SUM(E$11:E25)</f>
        <v>1293660.3215817886</v>
      </c>
      <c r="G25" s="206">
        <f t="shared" si="1"/>
        <v>27303.844487219216</v>
      </c>
      <c r="H25" s="206">
        <f>SUM(G$11:G25)</f>
        <v>538486.10885841958</v>
      </c>
      <c r="I25" s="206">
        <f t="shared" si="2"/>
        <v>13643.722890910743</v>
      </c>
      <c r="J25" s="206">
        <f>SUM(I$11:I25)</f>
        <v>269081.34688901209</v>
      </c>
      <c r="K25" s="206">
        <f t="shared" si="3"/>
        <v>8199.3526988646299</v>
      </c>
      <c r="L25" s="206">
        <f>SUM(K$11:K25)</f>
        <v>161707.54019772357</v>
      </c>
      <c r="M25" s="206">
        <f t="shared" ca="1" si="0"/>
        <v>73.407639522512198</v>
      </c>
      <c r="N25" s="206">
        <f ca="1">SUM(M$11:M25)</f>
        <v>1447.74462751802</v>
      </c>
      <c r="V25" t="s">
        <v>473</v>
      </c>
    </row>
    <row r="26" spans="1:24">
      <c r="A26">
        <v>16</v>
      </c>
      <c r="B26">
        <v>2035</v>
      </c>
      <c r="C26" s="183">
        <f>IF($D$7&lt;=$D$6,0,($D$4+($D$5-$D$4)/(1+$D$8^((($D$6-2020)+($D$7-2020)/2-(B26-2020))/($D$7-2020))))/(Dashboard!$AA$7/100))</f>
        <v>1.3001919859436941E-2</v>
      </c>
      <c r="D26">
        <v>2035</v>
      </c>
      <c r="E26" s="53">
        <f>pop_calc!$C$24*'Disease Projections'!C26</f>
        <v>61873.289190611184</v>
      </c>
      <c r="F26" s="53">
        <f>SUM(E$11:E26)</f>
        <v>1355533.6107723997</v>
      </c>
      <c r="G26" s="206">
        <f t="shared" si="1"/>
        <v>25754.756625591905</v>
      </c>
      <c r="H26" s="206">
        <f>SUM(G$11:G26)</f>
        <v>564240.86548401148</v>
      </c>
      <c r="I26" s="206">
        <f t="shared" si="2"/>
        <v>12869.644151647126</v>
      </c>
      <c r="J26" s="206">
        <f>SUM(I$11:I26)</f>
        <v>281950.9910406592</v>
      </c>
      <c r="K26" s="206">
        <f t="shared" si="3"/>
        <v>7734.1611488263979</v>
      </c>
      <c r="L26" s="206">
        <f>SUM(K$11:K26)</f>
        <v>169441.70134654996</v>
      </c>
      <c r="M26" s="206">
        <f t="shared" ca="1" si="0"/>
        <v>69.242845682279679</v>
      </c>
      <c r="N26" s="206">
        <f ca="1">SUM(M$11:M26)</f>
        <v>1516.9874732002997</v>
      </c>
      <c r="V26" t="s">
        <v>474</v>
      </c>
    </row>
    <row r="27" spans="1:24">
      <c r="A27">
        <v>17</v>
      </c>
      <c r="B27">
        <v>2036</v>
      </c>
      <c r="C27" s="183">
        <f>IF($D$7&lt;=$D$6,0,($D$4+($D$5-$D$4)/(1+$D$8^((($D$6-2020)+($D$7-2020)/2-(B27-2020))/($D$7-2020))))/(Dashboard!$AA$7/100))</f>
        <v>1.2209191616039738E-2</v>
      </c>
      <c r="D27">
        <v>2036</v>
      </c>
      <c r="E27" s="53">
        <f>pop_calc!$C$24*'Disease Projections'!C27</f>
        <v>58100.869087769199</v>
      </c>
      <c r="F27" s="53">
        <f>SUM(E$11:E27)</f>
        <v>1413634.4798601689</v>
      </c>
      <c r="G27" s="206">
        <f t="shared" si="1"/>
        <v>24184.486757783925</v>
      </c>
      <c r="H27" s="206">
        <f>SUM(G$11:G27)</f>
        <v>588425.35224179539</v>
      </c>
      <c r="I27" s="206">
        <f t="shared" si="2"/>
        <v>12084.980770255992</v>
      </c>
      <c r="J27" s="206">
        <f>SUM(I$11:I27)</f>
        <v>294035.97181091516</v>
      </c>
      <c r="K27" s="206">
        <f t="shared" si="3"/>
        <v>7262.6086359711499</v>
      </c>
      <c r="L27" s="206">
        <f>SUM(K$11:K27)</f>
        <v>176704.30998252111</v>
      </c>
      <c r="M27" s="206">
        <f t="shared" ca="1" si="0"/>
        <v>65.021103045887656</v>
      </c>
      <c r="N27" s="206">
        <f ca="1">SUM(M$11:M27)</f>
        <v>1582.0085762461874</v>
      </c>
      <c r="V27" t="s">
        <v>475</v>
      </c>
    </row>
    <row r="28" spans="1:24">
      <c r="A28">
        <v>18</v>
      </c>
      <c r="B28">
        <v>2037</v>
      </c>
      <c r="C28" s="183">
        <f>IF($D$7&lt;=$D$6,0,($D$4+($D$5-$D$4)/(1+$D$8^((($D$6-2020)+($D$7-2020)/2-(B28-2020))/($D$7-2020))))/(Dashboard!$AA$7/100))</f>
        <v>1.1412855628054748E-2</v>
      </c>
      <c r="D28">
        <v>2037</v>
      </c>
      <c r="E28" s="53">
        <f>pop_calc!$C$24*'Disease Projections'!C28</f>
        <v>54311.280518530002</v>
      </c>
      <c r="F28" s="53">
        <f>SUM(E$11:E28)</f>
        <v>1467945.7603786988</v>
      </c>
      <c r="G28" s="206">
        <f t="shared" si="1"/>
        <v>22607.07051583811</v>
      </c>
      <c r="H28" s="206">
        <f>SUM(G$11:G28)</f>
        <v>611032.4227576335</v>
      </c>
      <c r="I28" s="206">
        <f t="shared" si="2"/>
        <v>11296.74634785424</v>
      </c>
      <c r="J28" s="206">
        <f>SUM(I$11:I28)</f>
        <v>305332.71815876942</v>
      </c>
      <c r="K28" s="206">
        <f t="shared" si="3"/>
        <v>6788.9100648162503</v>
      </c>
      <c r="L28" s="206">
        <f>SUM(K$11:K28)</f>
        <v>183493.22004733735</v>
      </c>
      <c r="M28" s="206">
        <f t="shared" ca="1" si="0"/>
        <v>60.780147054510067</v>
      </c>
      <c r="N28" s="206">
        <f ca="1">SUM(M$11:M28)</f>
        <v>1642.7887233006975</v>
      </c>
      <c r="P28" s="163" t="s">
        <v>509</v>
      </c>
      <c r="Q28" s="163"/>
      <c r="R28" s="207">
        <v>0.66700000000000004</v>
      </c>
      <c r="V28" t="s">
        <v>476</v>
      </c>
    </row>
    <row r="29" spans="1:24">
      <c r="A29">
        <v>19</v>
      </c>
      <c r="B29">
        <v>2038</v>
      </c>
      <c r="C29" s="183">
        <f>IF($D$7&lt;=$D$6,0,($D$4+($D$5-$D$4)/(1+$D$8^((($D$6-2020)+($D$7-2020)/2-(B29-2020))/($D$7-2020))))/(Dashboard!$AA$7/100))</f>
        <v>1.0620127384657544E-2</v>
      </c>
      <c r="D29">
        <v>2038</v>
      </c>
      <c r="E29" s="53">
        <f>pop_calc!$C$24*'Disease Projections'!C29</f>
        <v>50538.86041568801</v>
      </c>
      <c r="F29" s="53">
        <f>SUM(E$11:E29)</f>
        <v>1518484.6207943868</v>
      </c>
      <c r="G29" s="206">
        <f t="shared" si="1"/>
        <v>21036.80064803013</v>
      </c>
      <c r="H29" s="206">
        <f>SUM(G$11:G29)</f>
        <v>632069.22340566362</v>
      </c>
      <c r="I29" s="206">
        <f t="shared" si="2"/>
        <v>10512.082966463106</v>
      </c>
      <c r="J29" s="206">
        <f>SUM(I$11:I29)</f>
        <v>315844.80112523254</v>
      </c>
      <c r="K29" s="206">
        <f t="shared" si="3"/>
        <v>6317.3575519610013</v>
      </c>
      <c r="L29" s="206">
        <f>SUM(K$11:K29)</f>
        <v>189810.57759929835</v>
      </c>
      <c r="M29" s="206">
        <f t="shared" ca="1" si="0"/>
        <v>56.55840441811803</v>
      </c>
      <c r="N29" s="206">
        <f ca="1">SUM(M$11:M29)</f>
        <v>1699.3471277188155</v>
      </c>
      <c r="P29" t="s">
        <v>507</v>
      </c>
      <c r="R29" s="208"/>
      <c r="V29" t="s">
        <v>505</v>
      </c>
    </row>
    <row r="30" spans="1:24">
      <c r="A30">
        <v>20</v>
      </c>
      <c r="B30">
        <v>2039</v>
      </c>
      <c r="C30" s="183">
        <f>IF($D$7&lt;=$D$6,0,($D$4+($D$5-$D$4)/(1+$D$8^((($D$6-2020)+($D$7-2020)/2-(B30-2020))/($D$7-2020))))/(Dashboard!$AA$7/100))</f>
        <v>9.8380925735775948E-3</v>
      </c>
      <c r="D30">
        <v>2039</v>
      </c>
      <c r="E30" s="53">
        <f>pop_calc!$C$24*'Disease Projections'!C30</f>
        <v>46817.328015382162</v>
      </c>
      <c r="F30" s="53">
        <f>SUM(E$11:E30)</f>
        <v>1565301.948809769</v>
      </c>
      <c r="G30" s="206">
        <f t="shared" si="1"/>
        <v>19487.712786402823</v>
      </c>
      <c r="H30" s="206">
        <f>SUM(G$11:G30)</f>
        <v>651556.93619206641</v>
      </c>
      <c r="I30" s="206">
        <f t="shared" si="2"/>
        <v>9738.0042271994898</v>
      </c>
      <c r="J30" s="206">
        <f>SUM(I$11:I30)</f>
        <v>325582.80535243201</v>
      </c>
      <c r="K30" s="206">
        <f t="shared" si="3"/>
        <v>5852.1660019227702</v>
      </c>
      <c r="L30" s="206">
        <f>SUM(K$11:K30)</f>
        <v>195662.74360122113</v>
      </c>
      <c r="M30" s="206">
        <f t="shared" ca="1" si="0"/>
        <v>52.393610577885532</v>
      </c>
      <c r="N30" s="206">
        <f ca="1">SUM(M$11:M30)</f>
        <v>1751.740738296701</v>
      </c>
      <c r="P30" t="s">
        <v>506</v>
      </c>
      <c r="R30" s="208">
        <v>0.20799999999999999</v>
      </c>
      <c r="V30" t="s">
        <v>510</v>
      </c>
    </row>
    <row r="31" spans="1:24">
      <c r="A31">
        <v>21</v>
      </c>
      <c r="B31">
        <v>2040</v>
      </c>
      <c r="C31" s="183">
        <f>IF($D$7&lt;=$D$6,0,($D$4+($D$5-$D$4)/(1+$D$8^((($D$6-2020)+($D$7-2020)/2-(B31-2020))/($D$7-2020))))/(Dashboard!$AA$7/100))</f>
        <v>9.0734572949761321E-3</v>
      </c>
      <c r="D31">
        <v>2040</v>
      </c>
      <c r="E31" s="53">
        <f>pop_calc!$C$24*'Disease Projections'!C31</f>
        <v>43178.596179643813</v>
      </c>
      <c r="F31" s="53">
        <f>SUM(E$11:E31)</f>
        <v>1608480.5449894129</v>
      </c>
      <c r="G31" s="206">
        <f t="shared" si="1"/>
        <v>17973.090659776735</v>
      </c>
      <c r="H31" s="206">
        <f>SUM(G$11:G31)</f>
        <v>669530.02685184311</v>
      </c>
      <c r="I31" s="206">
        <f t="shared" si="2"/>
        <v>8981.1480053659125</v>
      </c>
      <c r="J31" s="206">
        <f>SUM(I$11:I31)</f>
        <v>334563.95335779793</v>
      </c>
      <c r="K31" s="206">
        <f t="shared" si="3"/>
        <v>5397.3245224554767</v>
      </c>
      <c r="L31" s="206">
        <f>SUM(K$11:K31)</f>
        <v>201060.06812367661</v>
      </c>
      <c r="M31" s="206">
        <f t="shared" ca="1" si="0"/>
        <v>48.321479448650827</v>
      </c>
      <c r="N31" s="206">
        <f ca="1">SUM(M$11:M31)</f>
        <v>1800.0622177453517</v>
      </c>
      <c r="P31" t="s">
        <v>508</v>
      </c>
      <c r="R31" s="208">
        <v>0.125</v>
      </c>
      <c r="V31" t="s">
        <v>512</v>
      </c>
    </row>
    <row r="32" spans="1:24">
      <c r="A32">
        <v>22</v>
      </c>
      <c r="B32">
        <v>2041</v>
      </c>
      <c r="C32" s="183">
        <f>IF($D$7&lt;=$D$6,0,($D$4+($D$5-$D$4)/(1+$D$8^((($D$6-2020)+($D$7-2020)/2-(B32-2020))/($D$7-2020))))/(Dashboard!$AA$7/100))</f>
        <v>8.3323264695271335E-3</v>
      </c>
      <c r="D32">
        <v>2041</v>
      </c>
      <c r="E32" s="53">
        <f>pop_calc!$C$24*'Disease Projections'!C32</f>
        <v>39651.716888982803</v>
      </c>
      <c r="F32" s="53">
        <f>SUM(E$11:E32)</f>
        <v>1648132.2618783957</v>
      </c>
      <c r="G32" s="206">
        <f t="shared" si="1"/>
        <v>16505.02715503909</v>
      </c>
      <c r="H32" s="206">
        <f>SUM(G$11:G32)</f>
        <v>686035.05400688224</v>
      </c>
      <c r="I32" s="206">
        <f t="shared" si="2"/>
        <v>8247.5571129084219</v>
      </c>
      <c r="J32" s="206">
        <f>SUM(I$11:I32)</f>
        <v>342811.51047070633</v>
      </c>
      <c r="K32" s="206">
        <f t="shared" si="3"/>
        <v>4956.4646111228503</v>
      </c>
      <c r="L32" s="206">
        <f>SUM(K$11:K32)</f>
        <v>206016.53273479946</v>
      </c>
      <c r="M32" s="206">
        <f t="shared" ca="1" si="0"/>
        <v>44.374523312038562</v>
      </c>
      <c r="N32" s="206">
        <f ca="1">SUM(M$11:M32)</f>
        <v>1844.4367410573902</v>
      </c>
      <c r="P32" s="1" t="s">
        <v>511</v>
      </c>
      <c r="Q32" s="1"/>
      <c r="R32" s="209">
        <v>0.75</v>
      </c>
      <c r="V32" t="s">
        <v>528</v>
      </c>
    </row>
    <row r="33" spans="1:22">
      <c r="A33">
        <v>23</v>
      </c>
      <c r="B33">
        <v>2042</v>
      </c>
      <c r="C33" s="183">
        <f>IF($D$7&lt;=$D$6,0,($D$4+($D$5-$D$4)/(1+$D$8^((($D$6-2020)+($D$7-2020)/2-(B33-2020))/($D$7-2020))))/(Dashboard!$AA$7/100))</f>
        <v>7.620025291107323E-3</v>
      </c>
      <c r="D33">
        <v>2042</v>
      </c>
      <c r="E33" s="53">
        <f>pop_calc!$C$24*'Disease Projections'!C33</f>
        <v>36262.031574840999</v>
      </c>
      <c r="F33" s="53">
        <f>SUM(E$11:E33)</f>
        <v>1684394.2934532366</v>
      </c>
      <c r="G33" s="206">
        <f t="shared" si="1"/>
        <v>15094.070643027564</v>
      </c>
      <c r="H33" s="206">
        <f>SUM(G$11:G33)</f>
        <v>701129.12464990979</v>
      </c>
      <c r="I33" s="206">
        <f t="shared" si="2"/>
        <v>7542.5025675669276</v>
      </c>
      <c r="J33" s="206">
        <f>SUM(I$11:I33)</f>
        <v>350354.01303827326</v>
      </c>
      <c r="K33" s="206">
        <f t="shared" si="3"/>
        <v>4532.7539468551249</v>
      </c>
      <c r="L33" s="206">
        <f>SUM(K$11:K33)</f>
        <v>210549.28668165457</v>
      </c>
      <c r="M33" s="206">
        <f t="shared" ca="1" si="0"/>
        <v>40.581101947359819</v>
      </c>
      <c r="N33" s="206">
        <f ca="1">SUM(M$11:M33)</f>
        <v>1885.0178430047501</v>
      </c>
      <c r="V33" t="s">
        <v>593</v>
      </c>
    </row>
    <row r="34" spans="1:22">
      <c r="A34">
        <v>24</v>
      </c>
      <c r="B34">
        <v>2043</v>
      </c>
      <c r="C34" s="183">
        <f>IF($D$7&lt;=$D$6,0,($D$4+($D$5-$D$4)/(1+$D$8^((($D$6-2020)+($D$7-2020)/2-(B34-2020))/($D$7-2020))))/(Dashboard!$AA$7/100))</f>
        <v>6.9409734360526172E-3</v>
      </c>
      <c r="D34">
        <v>2043</v>
      </c>
      <c r="E34" s="53">
        <f>pop_calc!$C$24*'Disease Projections'!C34</f>
        <v>33030.572508991907</v>
      </c>
      <c r="F34" s="53">
        <f>SUM(E$11:E34)</f>
        <v>1717424.8659622285</v>
      </c>
      <c r="G34" s="206">
        <f t="shared" si="1"/>
        <v>13748.975806867878</v>
      </c>
      <c r="H34" s="206">
        <f>SUM(G$11:G34)</f>
        <v>714878.10045677773</v>
      </c>
      <c r="I34" s="206">
        <f t="shared" si="2"/>
        <v>6870.359081870316</v>
      </c>
      <c r="J34" s="206">
        <f>SUM(I$11:I34)</f>
        <v>357224.37212014355</v>
      </c>
      <c r="K34" s="206">
        <f t="shared" si="3"/>
        <v>4128.8215636239884</v>
      </c>
      <c r="L34" s="206">
        <f>SUM(K$11:K34)</f>
        <v>214678.10824527856</v>
      </c>
      <c r="M34" s="206">
        <f t="shared" ca="1" si="0"/>
        <v>36.964752722157392</v>
      </c>
      <c r="N34" s="206">
        <f ca="1">SUM(M$11:M34)</f>
        <v>1921.9825957269074</v>
      </c>
      <c r="P34" t="s">
        <v>524</v>
      </c>
      <c r="V34" t="s">
        <v>594</v>
      </c>
    </row>
    <row r="35" spans="1:22">
      <c r="A35">
        <v>25</v>
      </c>
      <c r="B35">
        <v>2044</v>
      </c>
      <c r="C35" s="183">
        <f>IF($D$7&lt;=$D$6,0,($D$4+($D$5-$D$4)/(1+$D$8^((($D$6-2020)+($D$7-2020)/2-(B35-2020))/($D$7-2020))))/(Dashboard!$AA$7/100))</f>
        <v>6.2986158981939901E-3</v>
      </c>
      <c r="D35">
        <v>2044</v>
      </c>
      <c r="E35" s="53">
        <f>pop_calc!$C$24*'Disease Projections'!C35</f>
        <v>29973.733662623494</v>
      </c>
      <c r="F35" s="53">
        <f>SUM(E$11:E35)</f>
        <v>1747398.599624852</v>
      </c>
      <c r="G35" s="206">
        <f t="shared" si="1"/>
        <v>12476.566637067028</v>
      </c>
      <c r="H35" s="206">
        <f>SUM(G$11:G35)</f>
        <v>727354.66709384474</v>
      </c>
      <c r="I35" s="206">
        <f t="shared" si="2"/>
        <v>6234.5366018256864</v>
      </c>
      <c r="J35" s="206">
        <f>SUM(I$11:I35)</f>
        <v>363458.90872196923</v>
      </c>
      <c r="K35" s="206">
        <f t="shared" si="3"/>
        <v>3746.7167078279367</v>
      </c>
      <c r="L35" s="206">
        <f>SUM(K$11:K35)</f>
        <v>218424.82495310649</v>
      </c>
      <c r="M35" s="206">
        <f t="shared" ca="1" si="0"/>
        <v>33.543822248223506</v>
      </c>
      <c r="N35" s="206">
        <f ca="1">SUM(M$11:M35)</f>
        <v>1955.5264179751309</v>
      </c>
      <c r="P35" t="s">
        <v>525</v>
      </c>
      <c r="V35" t="s">
        <v>595</v>
      </c>
    </row>
    <row r="36" spans="1:22">
      <c r="A36">
        <v>26</v>
      </c>
      <c r="B36">
        <v>2045</v>
      </c>
      <c r="C36" s="183">
        <f>IF($D$7&lt;=$D$6,0,($D$4+($D$5-$D$4)/(1+$D$8^((($D$6-2020)+($D$7-2020)/2-(B36-2020))/($D$7-2020))))/(Dashboard!$AA$7/100))</f>
        <v>5.695408707604814E-3</v>
      </c>
      <c r="D36">
        <v>2045</v>
      </c>
      <c r="E36" s="53">
        <f>pop_calc!$C$24*'Disease Projections'!C36</f>
        <v>27103.202744984344</v>
      </c>
      <c r="F36" s="53">
        <f>SUM(E$11:E36)</f>
        <v>1774501.8023698363</v>
      </c>
      <c r="G36" s="206">
        <f t="shared" si="1"/>
        <v>11281.708142599731</v>
      </c>
      <c r="H36" s="206">
        <f>SUM(G$11:G36)</f>
        <v>738636.37523644441</v>
      </c>
      <c r="I36" s="206">
        <f t="shared" si="2"/>
        <v>5637.4661709567436</v>
      </c>
      <c r="J36" s="206">
        <f>SUM(I$11:I36)</f>
        <v>369096.37489292596</v>
      </c>
      <c r="K36" s="206">
        <f t="shared" si="3"/>
        <v>3387.9003431230431</v>
      </c>
      <c r="L36" s="206">
        <f>SUM(K$11:K36)</f>
        <v>221812.72529622953</v>
      </c>
      <c r="M36" s="206">
        <f t="shared" ca="1" si="0"/>
        <v>30.331390325556928</v>
      </c>
      <c r="N36" s="206">
        <f ca="1">SUM(M$11:M36)</f>
        <v>1985.8578083006878</v>
      </c>
    </row>
    <row r="37" spans="1:22">
      <c r="A37">
        <v>27</v>
      </c>
      <c r="B37">
        <v>2046</v>
      </c>
      <c r="C37" s="183">
        <f>IF($D$7&lt;=$D$6,0,($D$4+($D$5-$D$4)/(1+$D$8^((($D$6-2020)+($D$7-2020)/2-(B37-2020))/($D$7-2020))))/(Dashboard!$AA$7/100))</f>
        <v>5.1328531765122594E-3</v>
      </c>
      <c r="D37">
        <v>2046</v>
      </c>
      <c r="E37" s="53">
        <f>pop_calc!$C$24*'Disease Projections'!C37</f>
        <v>24426.124172176187</v>
      </c>
      <c r="F37" s="53">
        <f>SUM(E$11:E37)</f>
        <v>1798927.9265420125</v>
      </c>
      <c r="G37" s="206">
        <f t="shared" si="1"/>
        <v>10167.374186668338</v>
      </c>
      <c r="H37" s="206">
        <f>SUM(G$11:G37)</f>
        <v>748803.74942311272</v>
      </c>
      <c r="I37" s="206">
        <f t="shared" si="2"/>
        <v>5080.6338278126468</v>
      </c>
      <c r="J37" s="206">
        <f>SUM(I$11:I37)</f>
        <v>374177.00872073858</v>
      </c>
      <c r="K37" s="206">
        <f t="shared" si="3"/>
        <v>3053.2655215220234</v>
      </c>
      <c r="L37" s="206">
        <f>SUM(K$11:K37)</f>
        <v>224865.99081775156</v>
      </c>
      <c r="M37" s="206">
        <f t="shared" ca="1" si="0"/>
        <v>27.335452321918016</v>
      </c>
      <c r="N37" s="206">
        <f ca="1">SUM(M$11:M37)</f>
        <v>2013.1932606226057</v>
      </c>
    </row>
    <row r="38" spans="1:22">
      <c r="A38">
        <v>28</v>
      </c>
      <c r="B38">
        <v>2047</v>
      </c>
      <c r="C38" s="183">
        <f>IF($D$7&lt;=$D$6,0,($D$4+($D$5-$D$4)/(1+$D$8^((($D$6-2020)+($D$7-2020)/2-(B38-2020))/($D$7-2020))))/(Dashboard!$AA$7/100))</f>
        <v>4.6115691664684903E-3</v>
      </c>
      <c r="D38">
        <v>2047</v>
      </c>
      <c r="E38" s="53">
        <f>pop_calc!$C$24*'Disease Projections'!C38</f>
        <v>21945.447729576088</v>
      </c>
      <c r="F38" s="53">
        <f>SUM(E$11:E38)</f>
        <v>1820873.3742715886</v>
      </c>
      <c r="G38" s="206">
        <f t="shared" si="1"/>
        <v>9134.7926174360455</v>
      </c>
      <c r="H38" s="206">
        <f>SUM(G$11:G38)</f>
        <v>757938.54204054875</v>
      </c>
      <c r="I38" s="206">
        <f t="shared" si="2"/>
        <v>4564.6531277518261</v>
      </c>
      <c r="J38" s="206">
        <f>SUM(I$11:I38)</f>
        <v>378741.66184849042</v>
      </c>
      <c r="K38" s="206">
        <f t="shared" si="3"/>
        <v>2743.180966197011</v>
      </c>
      <c r="L38" s="206">
        <f>SUM(K$11:K38)</f>
        <v>227609.17178394858</v>
      </c>
      <c r="M38" s="206">
        <f t="shared" ca="1" si="0"/>
        <v>24.559309363468511</v>
      </c>
      <c r="N38" s="206">
        <f ca="1">SUM(M$11:M38)</f>
        <v>2037.7525699860741</v>
      </c>
    </row>
    <row r="39" spans="1:22">
      <c r="A39">
        <v>29</v>
      </c>
      <c r="B39">
        <v>2048</v>
      </c>
      <c r="C39" s="183">
        <f>IF($D$7&lt;=$D$6,0,($D$4+($D$5-$D$4)/(1+$D$8^((($D$6-2020)+($D$7-2020)/2-(B39-2020))/($D$7-2020))))/(Dashboard!$AA$7/100))</f>
        <v>4.1313963244297295E-3</v>
      </c>
      <c r="D39">
        <v>2048</v>
      </c>
      <c r="E39" s="53">
        <f>pop_calc!$C$24*'Disease Projections'!C39</f>
        <v>19660.410332166033</v>
      </c>
      <c r="F39" s="53">
        <f>SUM(E$11:E39)</f>
        <v>1840533.7846037548</v>
      </c>
      <c r="G39" s="206">
        <f t="shared" si="1"/>
        <v>8183.6458007641104</v>
      </c>
      <c r="H39" s="206">
        <f>SUM(G$11:G39)</f>
        <v>766122.18784131284</v>
      </c>
      <c r="I39" s="206">
        <f t="shared" si="2"/>
        <v>4089.3653490905349</v>
      </c>
      <c r="J39" s="206">
        <f>SUM(I$11:I39)</f>
        <v>382831.02719758096</v>
      </c>
      <c r="K39" s="206">
        <f t="shared" si="3"/>
        <v>2457.5512915207541</v>
      </c>
      <c r="L39" s="206">
        <f>SUM(K$11:K39)</f>
        <v>230066.72307546934</v>
      </c>
      <c r="M39" s="206">
        <f t="shared" ca="1" si="0"/>
        <v>22.002107476242649</v>
      </c>
      <c r="N39" s="206">
        <f ca="1">SUM(M$11:M39)</f>
        <v>2059.754677462317</v>
      </c>
    </row>
    <row r="40" spans="1:22">
      <c r="A40">
        <v>30</v>
      </c>
      <c r="B40">
        <v>2049</v>
      </c>
      <c r="C40" s="183">
        <f>IF($D$7&lt;=$D$6,0,($D$4+($D$5-$D$4)/(1+$D$8^((($D$6-2020)+($D$7-2020)/2-(B40-2020))/($D$7-2020))))/(Dashboard!$AA$7/100))</f>
        <v>3.6915121468796969E-3</v>
      </c>
      <c r="D40">
        <v>2049</v>
      </c>
      <c r="E40" s="53">
        <f>pop_calc!$C$24*'Disease Projections'!C40</f>
        <v>17567.097865840311</v>
      </c>
      <c r="F40" s="53">
        <f>SUM(E$11:E40)</f>
        <v>1858100.8824695952</v>
      </c>
      <c r="G40" s="206">
        <f t="shared" si="1"/>
        <v>7312.3044866560285</v>
      </c>
      <c r="H40" s="206">
        <f>SUM(G$11:G40)</f>
        <v>773434.49232796882</v>
      </c>
      <c r="I40" s="206">
        <f t="shared" si="2"/>
        <v>3653.9563560947845</v>
      </c>
      <c r="J40" s="206">
        <f>SUM(I$11:I40)</f>
        <v>386484.98355367576</v>
      </c>
      <c r="K40" s="206">
        <f t="shared" si="3"/>
        <v>2195.8872332300389</v>
      </c>
      <c r="L40" s="206">
        <f>SUM(K$11:K40)</f>
        <v>232262.6103086994</v>
      </c>
      <c r="M40" s="206">
        <f t="shared" ca="1" si="0"/>
        <v>19.659466346820054</v>
      </c>
      <c r="N40" s="206">
        <f ca="1">SUM(M$11:M40)</f>
        <v>2079.4141438091369</v>
      </c>
    </row>
    <row r="41" spans="1:22">
      <c r="A41">
        <v>31</v>
      </c>
      <c r="B41">
        <v>2050</v>
      </c>
      <c r="C41" s="183">
        <f>IF($D$7&lt;=$D$6,0,($D$4+($D$5-$D$4)/(1+$D$8^((($D$6-2020)+($D$7-2020)/2-(B41-2020))/($D$7-2020))))/(Dashboard!$AA$7/100))</f>
        <v>3.2905567694748424E-3</v>
      </c>
      <c r="D41">
        <v>2050</v>
      </c>
      <c r="E41" s="53">
        <f>pop_calc!$C$24*'Disease Projections'!C41</f>
        <v>15659.03903399826</v>
      </c>
      <c r="F41" s="53">
        <f>SUM(E$11:E41)</f>
        <v>1873759.9215035934</v>
      </c>
      <c r="G41" s="206">
        <f t="shared" si="1"/>
        <v>6518.0749979017755</v>
      </c>
      <c r="H41" s="206">
        <f>SUM(G$11:G41)</f>
        <v>779952.56732587062</v>
      </c>
      <c r="I41" s="206">
        <f t="shared" si="2"/>
        <v>3257.0801190716379</v>
      </c>
      <c r="J41" s="206">
        <f>SUM(I$11:I41)</f>
        <v>389742.0636727474</v>
      </c>
      <c r="K41" s="206">
        <f t="shared" si="3"/>
        <v>1957.3798792497826</v>
      </c>
      <c r="L41" s="206">
        <f>SUM(K$11:K41)</f>
        <v>234219.99018794918</v>
      </c>
      <c r="M41" s="206">
        <f t="shared" ca="1" si="0"/>
        <v>17.52414390034507</v>
      </c>
      <c r="N41" s="206">
        <f ca="1">SUM(M$11:M41)</f>
        <v>2096.9382877094822</v>
      </c>
    </row>
    <row r="42" spans="1:22">
      <c r="A42">
        <v>32</v>
      </c>
      <c r="B42">
        <v>2051</v>
      </c>
      <c r="C42" s="183">
        <f>IF($D$7&lt;=$D$6,0,($D$4+($D$5-$D$4)/(1+$D$8^((($D$6-2020)+($D$7-2020)/2-(B42-2020))/($D$7-2020))))/(Dashboard!$AA$7/100))</f>
        <v>2.9267561362038281E-3</v>
      </c>
      <c r="D42">
        <v>2051</v>
      </c>
      <c r="E42" s="53">
        <f>pop_calc!$C$24*'Disease Projections'!C42</f>
        <v>13927.791492600189</v>
      </c>
      <c r="F42" s="53">
        <f>SUM(E$11:E42)</f>
        <v>1887687.7129961937</v>
      </c>
      <c r="G42" s="206">
        <f t="shared" si="1"/>
        <v>5797.443208794828</v>
      </c>
      <c r="H42" s="206">
        <f>SUM(G$11:G42)</f>
        <v>785750.01053466543</v>
      </c>
      <c r="I42" s="206">
        <f t="shared" si="2"/>
        <v>2896.9806304608392</v>
      </c>
      <c r="J42" s="206">
        <f>SUM(I$11:I42)</f>
        <v>392639.04430320824</v>
      </c>
      <c r="K42" s="206">
        <f t="shared" si="3"/>
        <v>1740.9739365750236</v>
      </c>
      <c r="L42" s="206">
        <f>SUM(K$11:K42)</f>
        <v>235960.96412452421</v>
      </c>
      <c r="M42" s="206">
        <f t="shared" ca="1" si="0"/>
        <v>15.586692248509447</v>
      </c>
      <c r="N42" s="206">
        <f ca="1">SUM(M$11:M42)</f>
        <v>2112.5249799579915</v>
      </c>
    </row>
    <row r="43" spans="1:22">
      <c r="A43">
        <v>33</v>
      </c>
      <c r="B43">
        <v>2052</v>
      </c>
      <c r="C43" s="183">
        <f>IF($D$7&lt;=$D$6,0,($D$4+($D$5-$D$4)/(1+$D$8^((($D$6-2020)+($D$7-2020)/2-(B43-2020))/($D$7-2020))))/(Dashboard!$AA$7/100))</f>
        <v>2.5980372820052829E-3</v>
      </c>
      <c r="D43">
        <v>2052</v>
      </c>
      <c r="E43" s="53">
        <f>pop_calc!$C$24*'Disease Projections'!C43</f>
        <v>12363.490454898383</v>
      </c>
      <c r="F43" s="53">
        <f>SUM(E$11:E43)</f>
        <v>1900051.2034510921</v>
      </c>
      <c r="G43" s="206">
        <f t="shared" si="1"/>
        <v>5146.3029018514508</v>
      </c>
      <c r="H43" s="206">
        <f>SUM(G$11:G43)</f>
        <v>790896.31343651691</v>
      </c>
      <c r="I43" s="206">
        <f t="shared" si="2"/>
        <v>2571.6060146188638</v>
      </c>
      <c r="J43" s="206">
        <f>SUM(I$11:I43)</f>
        <v>395210.65031782712</v>
      </c>
      <c r="K43" s="206">
        <f t="shared" si="3"/>
        <v>1545.4363068622979</v>
      </c>
      <c r="L43" s="206">
        <f>SUM(K$11:K43)</f>
        <v>237506.40043138652</v>
      </c>
      <c r="M43" s="206">
        <f t="shared" ref="M43:M74" ca="1" si="4">E43*prob_lf_death</f>
        <v>13.836071637076811</v>
      </c>
      <c r="N43" s="206">
        <f ca="1">SUM(M$11:M43)</f>
        <v>2126.3610515950681</v>
      </c>
    </row>
    <row r="44" spans="1:22">
      <c r="A44">
        <v>34</v>
      </c>
      <c r="B44">
        <v>2053</v>
      </c>
      <c r="C44" s="183">
        <f>IF($D$7&lt;=$D$6,0,($D$4+($D$5-$D$4)/(1+$D$8^((($D$6-2020)+($D$7-2020)/2-(B44-2020))/($D$7-2020))))/(Dashboard!$AA$7/100))</f>
        <v>2.3021315450310075E-3</v>
      </c>
      <c r="D44">
        <v>2053</v>
      </c>
      <c r="E44" s="53">
        <f>pop_calc!$C$24*'Disease Projections'!C44</f>
        <v>10955.339855994203</v>
      </c>
      <c r="F44" s="53">
        <f>SUM(E$11:E44)</f>
        <v>1911006.5433070862</v>
      </c>
      <c r="G44" s="206">
        <f t="shared" si="1"/>
        <v>4560.1602150575864</v>
      </c>
      <c r="H44" s="206">
        <f>SUM(G$11:G44)</f>
        <v>795456.47365157446</v>
      </c>
      <c r="I44" s="206">
        <f t="shared" si="2"/>
        <v>2278.7106900467943</v>
      </c>
      <c r="J44" s="206">
        <f>SUM(I$11:I44)</f>
        <v>397489.3610078739</v>
      </c>
      <c r="K44" s="206">
        <f t="shared" si="3"/>
        <v>1369.4174819992754</v>
      </c>
      <c r="L44" s="206">
        <f>SUM(K$11:K44)</f>
        <v>238875.81791338578</v>
      </c>
      <c r="M44" s="206">
        <f t="shared" ca="1" si="4"/>
        <v>12.260200111692843</v>
      </c>
      <c r="N44" s="206">
        <f ca="1">SUM(M$11:M44)</f>
        <v>2138.6212517067611</v>
      </c>
    </row>
    <row r="45" spans="1:22">
      <c r="A45">
        <v>35</v>
      </c>
      <c r="B45">
        <v>2054</v>
      </c>
      <c r="C45" s="183">
        <f>IF($D$7&lt;=$D$6,0,($D$4+($D$5-$D$4)/(1+$D$8^((($D$6-2020)+($D$7-2020)/2-(B45-2020))/($D$7-2020))))/(Dashboard!$AA$7/100))</f>
        <v>2.0366633877430566E-3</v>
      </c>
      <c r="D45">
        <v>2054</v>
      </c>
      <c r="E45" s="53">
        <f>pop_calc!$C$24*'Disease Projections'!C45</f>
        <v>9692.0350329872908</v>
      </c>
      <c r="F45" s="53">
        <f>SUM(E$11:E45)</f>
        <v>1920698.5783400736</v>
      </c>
      <c r="G45" s="206">
        <f t="shared" si="1"/>
        <v>4034.3095824809593</v>
      </c>
      <c r="H45" s="206">
        <f>SUM(G$11:G45)</f>
        <v>799490.78323405539</v>
      </c>
      <c r="I45" s="206">
        <f t="shared" si="2"/>
        <v>2015.9432868613565</v>
      </c>
      <c r="J45" s="206">
        <f>SUM(I$11:I45)</f>
        <v>399505.30429473525</v>
      </c>
      <c r="K45" s="206">
        <f t="shared" si="3"/>
        <v>1211.5043791234114</v>
      </c>
      <c r="L45" s="206">
        <f>SUM(K$11:K45)</f>
        <v>240087.3222925092</v>
      </c>
      <c r="M45" s="206">
        <f t="shared" ca="1" si="4"/>
        <v>10.846426542299008</v>
      </c>
      <c r="N45" s="206">
        <f ca="1">SUM(M$11:M45)</f>
        <v>2149.4676782490601</v>
      </c>
    </row>
    <row r="46" spans="1:22">
      <c r="A46">
        <v>36</v>
      </c>
      <c r="B46">
        <v>2055</v>
      </c>
      <c r="C46" s="183">
        <f>IF($D$7&lt;=$D$6,0,($D$4+($D$5-$D$4)/(1+$D$8^((($D$6-2020)+($D$7-2020)/2-(B46-2020))/($D$7-2020))))/(Dashboard!$AA$7/100))</f>
        <v>1.7992240271456714E-3</v>
      </c>
      <c r="D46">
        <v>2055</v>
      </c>
      <c r="E46" s="53">
        <f>pop_calc!$C$24*'Disease Projections'!C46</f>
        <v>8562.1131151243062</v>
      </c>
      <c r="F46" s="53">
        <f>SUM(E$11:E46)</f>
        <v>1929260.691455198</v>
      </c>
      <c r="G46" s="206">
        <f t="shared" si="1"/>
        <v>3563.9795841704922</v>
      </c>
      <c r="H46" s="206">
        <f>SUM(G$11:G46)</f>
        <v>803054.76281822589</v>
      </c>
      <c r="I46" s="206">
        <f t="shared" si="2"/>
        <v>1780.9195279458556</v>
      </c>
      <c r="J46" s="206">
        <f>SUM(I$11:I46)</f>
        <v>401286.22382268112</v>
      </c>
      <c r="K46" s="206">
        <f t="shared" si="3"/>
        <v>1070.2641393905383</v>
      </c>
      <c r="L46" s="206">
        <f>SUM(K$11:K46)</f>
        <v>241157.58643189975</v>
      </c>
      <c r="M46" s="206">
        <f t="shared" ca="1" si="4"/>
        <v>9.5819227472836257</v>
      </c>
      <c r="N46" s="206">
        <f ca="1">SUM(M$11:M46)</f>
        <v>2159.0496009963435</v>
      </c>
    </row>
    <row r="47" spans="1:22">
      <c r="A47">
        <v>37</v>
      </c>
      <c r="B47">
        <v>2056</v>
      </c>
      <c r="C47" s="183">
        <f>IF($D$7&lt;=$D$6,0,($D$4+($D$5-$D$4)/(1+$D$8^((($D$6-2020)+($D$7-2020)/2-(B47-2020))/($D$7-2020))))/(Dashboard!$AA$7/100))</f>
        <v>1.5874302127395045E-3</v>
      </c>
      <c r="D47">
        <v>2056</v>
      </c>
      <c r="E47" s="53">
        <f>pop_calc!$C$24*'Disease Projections'!C47</f>
        <v>7554.2327352107122</v>
      </c>
      <c r="F47" s="53">
        <f>SUM(E$11:E47)</f>
        <v>1936814.9241904088</v>
      </c>
      <c r="G47" s="206">
        <f t="shared" si="1"/>
        <v>3144.449376031459</v>
      </c>
      <c r="H47" s="206">
        <f>SUM(G$11:G47)</f>
        <v>806199.2121942573</v>
      </c>
      <c r="I47" s="206">
        <f t="shared" si="2"/>
        <v>1571.280408923828</v>
      </c>
      <c r="J47" s="206">
        <f>SUM(I$11:I47)</f>
        <v>402857.50423160492</v>
      </c>
      <c r="K47" s="206">
        <f t="shared" si="3"/>
        <v>944.27909190133903</v>
      </c>
      <c r="L47" s="206">
        <f>SUM(K$11:K47)</f>
        <v>242101.8655238011</v>
      </c>
      <c r="M47" s="206">
        <f t="shared" ca="1" si="4"/>
        <v>8.4539965205469301</v>
      </c>
      <c r="N47" s="206">
        <f ca="1">SUM(M$11:M47)</f>
        <v>2167.5035975168903</v>
      </c>
    </row>
    <row r="48" spans="1:22">
      <c r="A48">
        <v>38</v>
      </c>
      <c r="B48">
        <v>2057</v>
      </c>
      <c r="C48" s="183">
        <f>IF($D$7&lt;=$D$6,0,($D$4+($D$5-$D$4)/(1+$D$8^((($D$6-2020)+($D$7-2020)/2-(B48-2020))/($D$7-2020))))/(Dashboard!$AA$7/100))</f>
        <v>1.3989692630899224E-3</v>
      </c>
      <c r="D48">
        <v>2057</v>
      </c>
      <c r="E48" s="53">
        <f>pop_calc!$C$24*'Disease Projections'!C48</f>
        <v>6657.3883487763242</v>
      </c>
      <c r="F48" s="53">
        <f>SUM(E$11:E48)</f>
        <v>1943472.3125391852</v>
      </c>
      <c r="G48" s="206">
        <f t="shared" si="1"/>
        <v>2771.1379001781443</v>
      </c>
      <c r="H48" s="206">
        <f>SUM(G$11:G48)</f>
        <v>808970.35009443539</v>
      </c>
      <c r="I48" s="206">
        <f t="shared" si="2"/>
        <v>1384.7367765454753</v>
      </c>
      <c r="J48" s="206">
        <f>SUM(I$11:I48)</f>
        <v>404242.24100815039</v>
      </c>
      <c r="K48" s="206">
        <f t="shared" si="3"/>
        <v>832.17354359704052</v>
      </c>
      <c r="L48" s="206">
        <f>SUM(K$11:K48)</f>
        <v>242934.03906739815</v>
      </c>
      <c r="M48" s="206">
        <f t="shared" ca="1" si="4"/>
        <v>7.4503314776301819</v>
      </c>
      <c r="N48" s="206">
        <f ca="1">SUM(M$11:M48)</f>
        <v>2174.9539289945205</v>
      </c>
    </row>
    <row r="49" spans="1:14">
      <c r="A49">
        <v>39</v>
      </c>
      <c r="B49">
        <v>2058</v>
      </c>
      <c r="C49" s="183">
        <f>IF($D$7&lt;=$D$6,0,($D$4+($D$5-$D$4)/(1+$D$8^((($D$6-2020)+($D$7-2020)/2-(B49-2020))/($D$7-2020))))/(Dashboard!$AA$7/100))</f>
        <v>1.2316319292440933E-3</v>
      </c>
      <c r="D49">
        <v>2058</v>
      </c>
      <c r="E49" s="53">
        <f>pop_calc!$C$24*'Disease Projections'!C49</f>
        <v>5861.0666238801359</v>
      </c>
      <c r="F49" s="53">
        <f>SUM(E$11:E49)</f>
        <v>1949333.3791630652</v>
      </c>
      <c r="G49" s="206">
        <f t="shared" si="1"/>
        <v>2439.6689821901064</v>
      </c>
      <c r="H49" s="206">
        <f>SUM(G$11:G49)</f>
        <v>811410.01907662547</v>
      </c>
      <c r="I49" s="206">
        <f t="shared" si="2"/>
        <v>1219.1018577670682</v>
      </c>
      <c r="J49" s="206">
        <f>SUM(I$11:I49)</f>
        <v>405461.34286591748</v>
      </c>
      <c r="K49" s="206">
        <f t="shared" si="3"/>
        <v>732.63332798501699</v>
      </c>
      <c r="L49" s="206">
        <f>SUM(K$11:K49)</f>
        <v>243666.67239538315</v>
      </c>
      <c r="M49" s="206">
        <f t="shared" ca="1" si="4"/>
        <v>6.5591620726779629</v>
      </c>
      <c r="N49" s="206">
        <f ca="1">SUM(M$11:M49)</f>
        <v>2181.5130910671983</v>
      </c>
    </row>
    <row r="50" spans="1:14">
      <c r="A50">
        <v>40</v>
      </c>
      <c r="B50">
        <v>2059</v>
      </c>
      <c r="C50" s="183">
        <f>IF($D$7&lt;=$D$6,0,($D$4+($D$5-$D$4)/(1+$D$8^((($D$6-2020)+($D$7-2020)/2-(B50-2020))/($D$7-2020))))/(Dashboard!$AA$7/100))</f>
        <v>1.0833348614758735E-3</v>
      </c>
      <c r="D50">
        <v>2059</v>
      </c>
      <c r="E50" s="53">
        <f>pop_calc!$C$24*'Disease Projections'!C50</f>
        <v>5155.3533554290188</v>
      </c>
      <c r="F50" s="53">
        <f>SUM(E$11:E50)</f>
        <v>1954488.7325184941</v>
      </c>
      <c r="G50" s="206">
        <f t="shared" si="1"/>
        <v>2145.9158341973289</v>
      </c>
      <c r="H50" s="206">
        <f>SUM(G$11:G50)</f>
        <v>813555.93491082278</v>
      </c>
      <c r="I50" s="206">
        <f t="shared" si="2"/>
        <v>1072.3134979292358</v>
      </c>
      <c r="J50" s="206">
        <f>SUM(I$11:I50)</f>
        <v>406533.65636384673</v>
      </c>
      <c r="K50" s="206">
        <f t="shared" si="3"/>
        <v>644.41916942862736</v>
      </c>
      <c r="L50" s="206">
        <f>SUM(K$11:K50)</f>
        <v>244311.09156481177</v>
      </c>
      <c r="M50" s="206">
        <f t="shared" ca="1" si="4"/>
        <v>5.769393247025925</v>
      </c>
      <c r="N50" s="206">
        <f ca="1">SUM(M$11:M50)</f>
        <v>2187.2824843142243</v>
      </c>
    </row>
    <row r="51" spans="1:14">
      <c r="A51">
        <v>41</v>
      </c>
      <c r="B51">
        <v>2060</v>
      </c>
      <c r="C51" s="183">
        <f>IF($D$7&lt;=$D$6,0,($D$4+($D$5-$D$4)/(1+$D$8^((($D$6-2020)+($D$7-2020)/2-(B51-2020))/($D$7-2020))))/(Dashboard!$AA$7/100))</f>
        <v>9.5213448205685655E-4</v>
      </c>
      <c r="D51">
        <v>2060</v>
      </c>
      <c r="E51" s="53">
        <f>pop_calc!$C$24*'Disease Projections'!C51</f>
        <v>4530.99948265701</v>
      </c>
      <c r="F51" s="53">
        <f>SUM(E$11:E51)</f>
        <v>1959019.7320011512</v>
      </c>
      <c r="G51" s="206">
        <f t="shared" si="1"/>
        <v>1886.0285346559804</v>
      </c>
      <c r="H51" s="206">
        <f>SUM(G$11:G51)</f>
        <v>815441.9634454787</v>
      </c>
      <c r="I51" s="206">
        <f t="shared" si="2"/>
        <v>942.44789239265799</v>
      </c>
      <c r="J51" s="206">
        <f>SUM(I$11:I51)</f>
        <v>407476.10425623937</v>
      </c>
      <c r="K51" s="206">
        <f t="shared" si="3"/>
        <v>566.37493533212626</v>
      </c>
      <c r="L51" s="206">
        <f>SUM(K$11:K51)</f>
        <v>244877.4665001439</v>
      </c>
      <c r="M51" s="206">
        <f t="shared" ca="1" si="4"/>
        <v>5.0706743098396014</v>
      </c>
      <c r="N51" s="206">
        <f ca="1">SUM(M$11:M51)</f>
        <v>2192.3531586240638</v>
      </c>
    </row>
    <row r="52" spans="1:14">
      <c r="A52">
        <v>42</v>
      </c>
      <c r="B52">
        <v>2061</v>
      </c>
      <c r="C52" s="183">
        <f>IF($D$7&lt;=$D$6,0,($D$4+($D$5-$D$4)/(1+$D$8^((($D$6-2020)+($D$7-2020)/2-(B52-2020))/($D$7-2020))))/(Dashboard!$AA$7/100))</f>
        <v>8.3623397100692409E-4</v>
      </c>
      <c r="D52">
        <v>2061</v>
      </c>
      <c r="E52" s="53">
        <f>pop_calc!$C$24*'Disease Projections'!C52</f>
        <v>3979.4543327823012</v>
      </c>
      <c r="F52" s="53">
        <f>SUM(E$11:E52)</f>
        <v>1962999.1863339334</v>
      </c>
      <c r="G52" s="206">
        <f t="shared" si="1"/>
        <v>1656.4478660206328</v>
      </c>
      <c r="H52" s="206">
        <f>SUM(G$11:G52)</f>
        <v>817098.41131149931</v>
      </c>
      <c r="I52" s="206">
        <f t="shared" si="2"/>
        <v>827.72650121871857</v>
      </c>
      <c r="J52" s="206">
        <f>SUM(I$11:I52)</f>
        <v>408303.83075745811</v>
      </c>
      <c r="K52" s="206">
        <f t="shared" si="3"/>
        <v>497.43179159778765</v>
      </c>
      <c r="L52" s="206">
        <f>SUM(K$11:K52)</f>
        <v>245374.89829174167</v>
      </c>
      <c r="M52" s="206">
        <f t="shared" ca="1" si="4"/>
        <v>4.4534361413315109</v>
      </c>
      <c r="N52" s="206">
        <f ca="1">SUM(M$11:M52)</f>
        <v>2196.8065947653954</v>
      </c>
    </row>
    <row r="53" spans="1:14">
      <c r="A53">
        <v>43</v>
      </c>
      <c r="B53">
        <v>2062</v>
      </c>
      <c r="C53" s="183">
        <f>IF($D$7&lt;=$D$6,0,($D$4+($D$5-$D$4)/(1+$D$8^((($D$6-2020)+($D$7-2020)/2-(B53-2020))/($D$7-2020))))/(Dashboard!$AA$7/100))</f>
        <v>7.3398490322223878E-4</v>
      </c>
      <c r="D53">
        <v>2062</v>
      </c>
      <c r="E53" s="53">
        <f>pop_calc!$C$24*'Disease Projections'!C53</f>
        <v>3492.8734117408285</v>
      </c>
      <c r="F53" s="53">
        <f>SUM(E$11:E53)</f>
        <v>1966492.0597456743</v>
      </c>
      <c r="G53" s="206">
        <f t="shared" si="1"/>
        <v>1453.9085576371199</v>
      </c>
      <c r="H53" s="206">
        <f>SUM(G$11:G53)</f>
        <v>818552.31986913644</v>
      </c>
      <c r="I53" s="206">
        <f t="shared" si="2"/>
        <v>726.5176696420923</v>
      </c>
      <c r="J53" s="206">
        <f>SUM(I$11:I53)</f>
        <v>409030.34842710022</v>
      </c>
      <c r="K53" s="206">
        <f t="shared" si="3"/>
        <v>436.60917646760356</v>
      </c>
      <c r="L53" s="206">
        <f>SUM(K$11:K53)</f>
        <v>245811.50746820928</v>
      </c>
      <c r="M53" s="206">
        <f t="shared" ca="1" si="4"/>
        <v>3.9088999114274965</v>
      </c>
      <c r="N53" s="206">
        <f ca="1">SUM(M$11:M53)</f>
        <v>2200.7154946768228</v>
      </c>
    </row>
    <row r="54" spans="1:14">
      <c r="A54">
        <v>44</v>
      </c>
      <c r="B54">
        <v>2063</v>
      </c>
      <c r="C54" s="183">
        <f>IF($D$7&lt;=$D$6,0,($D$4+($D$5-$D$4)/(1+$D$8^((($D$6-2020)+($D$7-2020)/2-(B54-2020))/($D$7-2020))))/(Dashboard!$AA$7/100))</f>
        <v>6.4388487135853725E-4</v>
      </c>
      <c r="D54">
        <v>2063</v>
      </c>
      <c r="E54" s="53">
        <f>pop_calc!$C$24*'Disease Projections'!C54</f>
        <v>3064.1070920084512</v>
      </c>
      <c r="F54" s="53">
        <f>SUM(E$11:E54)</f>
        <v>1969556.1668376827</v>
      </c>
      <c r="G54" s="206">
        <f t="shared" si="1"/>
        <v>1275.4345770485177</v>
      </c>
      <c r="H54" s="206">
        <f>SUM(G$11:G54)</f>
        <v>819827.75444618496</v>
      </c>
      <c r="I54" s="206">
        <f t="shared" si="2"/>
        <v>637.3342751377578</v>
      </c>
      <c r="J54" s="206">
        <f>SUM(I$11:I54)</f>
        <v>409667.68270223797</v>
      </c>
      <c r="K54" s="206">
        <f t="shared" si="3"/>
        <v>383.0133865010564</v>
      </c>
      <c r="L54" s="206">
        <f>SUM(K$11:K54)</f>
        <v>246194.52085471034</v>
      </c>
      <c r="M54" s="206">
        <f t="shared" ca="1" si="4"/>
        <v>3.4290644202266654</v>
      </c>
      <c r="N54" s="206">
        <f ca="1">SUM(M$11:M54)</f>
        <v>2204.1445590970493</v>
      </c>
    </row>
    <row r="55" spans="1:14">
      <c r="A55">
        <v>45</v>
      </c>
      <c r="B55">
        <v>2064</v>
      </c>
      <c r="C55" s="183">
        <f>IF($D$7&lt;=$D$6,0,($D$4+($D$5-$D$4)/(1+$D$8^((($D$6-2020)+($D$7-2020)/2-(B55-2020))/($D$7-2020))))/(Dashboard!$AA$7/100))</f>
        <v>5.6457221579473565E-4</v>
      </c>
      <c r="D55">
        <v>2064</v>
      </c>
      <c r="E55" s="53">
        <f>pop_calc!$C$24*'Disease Projections'!C55</f>
        <v>2686.6755336518881</v>
      </c>
      <c r="F55" s="53">
        <f>SUM(E$11:E55)</f>
        <v>1972242.8423713346</v>
      </c>
      <c r="G55" s="206">
        <f t="shared" si="1"/>
        <v>1118.3286908825983</v>
      </c>
      <c r="H55" s="206">
        <f>SUM(G$11:G55)</f>
        <v>820946.08313706762</v>
      </c>
      <c r="I55" s="206">
        <f t="shared" si="2"/>
        <v>558.82851099959271</v>
      </c>
      <c r="J55" s="206">
        <f>SUM(I$11:I55)</f>
        <v>410226.51121323759</v>
      </c>
      <c r="K55" s="206">
        <f t="shared" si="3"/>
        <v>335.83444170648602</v>
      </c>
      <c r="L55" s="206">
        <f>SUM(K$11:K55)</f>
        <v>246530.35529641682</v>
      </c>
      <c r="M55" s="206">
        <f t="shared" ca="1" si="4"/>
        <v>3.0066780319680055</v>
      </c>
      <c r="N55" s="206">
        <f ca="1">SUM(M$11:M55)</f>
        <v>2207.1512371290173</v>
      </c>
    </row>
    <row r="56" spans="1:14">
      <c r="A56">
        <v>46</v>
      </c>
      <c r="B56">
        <v>2065</v>
      </c>
      <c r="C56" s="183">
        <f>IF($D$7&lt;=$D$6,0,($D$4+($D$5-$D$4)/(1+$D$8^((($D$6-2020)+($D$7-2020)/2-(B56-2020))/($D$7-2020))))/(Dashboard!$AA$7/100))</f>
        <v>4.9481877820975039E-4</v>
      </c>
      <c r="D56">
        <v>2065</v>
      </c>
      <c r="E56" s="53">
        <f>pop_calc!$C$24*'Disease Projections'!C56</f>
        <v>2354.7342001877741</v>
      </c>
      <c r="F56" s="53">
        <f>SUM(E$11:E56)</f>
        <v>1974597.5765715223</v>
      </c>
      <c r="G56" s="206">
        <f t="shared" si="1"/>
        <v>980.15811082816083</v>
      </c>
      <c r="H56" s="206">
        <f>SUM(G$11:G56)</f>
        <v>821926.24124789576</v>
      </c>
      <c r="I56" s="206">
        <f t="shared" si="2"/>
        <v>489.78471363905697</v>
      </c>
      <c r="J56" s="206">
        <f>SUM(I$11:I56)</f>
        <v>410716.29592687666</v>
      </c>
      <c r="K56" s="206">
        <f t="shared" si="3"/>
        <v>294.34177502347177</v>
      </c>
      <c r="L56" s="206">
        <f>SUM(K$11:K56)</f>
        <v>246824.69707144029</v>
      </c>
      <c r="M56" s="206">
        <f t="shared" ca="1" si="4"/>
        <v>2.6352000835787108</v>
      </c>
      <c r="N56" s="206">
        <f ca="1">SUM(M$11:M56)</f>
        <v>2209.786437212596</v>
      </c>
    </row>
    <row r="57" spans="1:14">
      <c r="A57">
        <v>47</v>
      </c>
      <c r="B57">
        <v>2066</v>
      </c>
      <c r="C57" s="183">
        <f>IF($D$7&lt;=$D$6,0,($D$4+($D$5-$D$4)/(1+$D$8^((($D$6-2020)+($D$7-2020)/2-(B57-2020))/($D$7-2020))))/(Dashboard!$AA$7/100))</f>
        <v>4.3352140896225027E-4</v>
      </c>
      <c r="D57">
        <v>2066</v>
      </c>
      <c r="E57" s="53">
        <f>pop_calc!$C$24*'Disease Projections'!C57</f>
        <v>2063.0334440627862</v>
      </c>
      <c r="F57" s="53">
        <f>SUM(E$11:E57)</f>
        <v>1976660.6100155851</v>
      </c>
      <c r="G57" s="206">
        <f t="shared" si="1"/>
        <v>858.73767109113476</v>
      </c>
      <c r="H57" s="206">
        <f>SUM(G$11:G57)</f>
        <v>822784.97891898686</v>
      </c>
      <c r="I57" s="206">
        <f t="shared" si="2"/>
        <v>429.11095636505951</v>
      </c>
      <c r="J57" s="206">
        <f>SUM(I$11:I57)</f>
        <v>411145.40688324173</v>
      </c>
      <c r="K57" s="206">
        <f t="shared" si="3"/>
        <v>257.87918050784828</v>
      </c>
      <c r="L57" s="206">
        <f>SUM(K$11:K57)</f>
        <v>247082.57625194814</v>
      </c>
      <c r="M57" s="206">
        <f t="shared" ca="1" si="4"/>
        <v>2.3087556564925267</v>
      </c>
      <c r="N57" s="206">
        <f ca="1">SUM(M$11:M57)</f>
        <v>2212.0951928690884</v>
      </c>
    </row>
    <row r="58" spans="1:14">
      <c r="A58">
        <v>48</v>
      </c>
      <c r="B58">
        <v>2067</v>
      </c>
      <c r="C58" s="183">
        <f>IF($D$7&lt;=$D$6,0,($D$4+($D$5-$D$4)/(1+$D$8^((($D$6-2020)+($D$7-2020)/2-(B58-2020))/($D$7-2020))))/(Dashboard!$AA$7/100))</f>
        <v>3.7969279557356552E-4</v>
      </c>
      <c r="D58">
        <v>2067</v>
      </c>
      <c r="E58" s="53">
        <f>pop_calc!$C$24*'Disease Projections'!C58</f>
        <v>1806.8748614123676</v>
      </c>
      <c r="F58" s="53">
        <f>SUM(E$11:E58)</f>
        <v>1978467.4848769975</v>
      </c>
      <c r="G58" s="206">
        <f t="shared" si="1"/>
        <v>752.11166106289795</v>
      </c>
      <c r="H58" s="206">
        <f>SUM(G$11:G58)</f>
        <v>823537.09058004979</v>
      </c>
      <c r="I58" s="206">
        <f t="shared" si="2"/>
        <v>375.82997117377244</v>
      </c>
      <c r="J58" s="206">
        <f>SUM(I$11:I58)</f>
        <v>411521.2368544155</v>
      </c>
      <c r="K58" s="206">
        <f t="shared" si="3"/>
        <v>225.85935767654595</v>
      </c>
      <c r="L58" s="206">
        <f>SUM(K$11:K58)</f>
        <v>247308.43560962469</v>
      </c>
      <c r="M58" s="206">
        <f t="shared" ca="1" si="4"/>
        <v>2.0220867329444006</v>
      </c>
      <c r="N58" s="206">
        <f ca="1">SUM(M$11:M58)</f>
        <v>2214.1172796020328</v>
      </c>
    </row>
    <row r="59" spans="1:14">
      <c r="A59">
        <v>49</v>
      </c>
      <c r="B59">
        <v>2068</v>
      </c>
      <c r="C59" s="183">
        <f>IF($D$7&lt;=$D$6,0,($D$4+($D$5-$D$4)/(1+$D$8^((($D$6-2020)+($D$7-2020)/2-(B59-2020))/($D$7-2020))))/(Dashboard!$AA$7/100))</f>
        <v>3.3245204163795329E-4</v>
      </c>
      <c r="D59">
        <v>2068</v>
      </c>
      <c r="E59" s="53">
        <f>pop_calc!$C$24*'Disease Projections'!C59</f>
        <v>1582.0664591579009</v>
      </c>
      <c r="F59" s="53">
        <f>SUM(E$11:E59)</f>
        <v>1980049.5513361555</v>
      </c>
      <c r="G59" s="206">
        <f t="shared" si="1"/>
        <v>658.53516362447624</v>
      </c>
      <c r="H59" s="206">
        <f>SUM(G$11:G59)</f>
        <v>824195.62574367423</v>
      </c>
      <c r="I59" s="206">
        <f t="shared" si="2"/>
        <v>329.06982350484338</v>
      </c>
      <c r="J59" s="206">
        <f>SUM(I$11:I59)</f>
        <v>411850.30667792034</v>
      </c>
      <c r="K59" s="206">
        <f t="shared" si="3"/>
        <v>197.75830739473761</v>
      </c>
      <c r="L59" s="206">
        <f>SUM(K$11:K59)</f>
        <v>247506.19391701944</v>
      </c>
      <c r="M59" s="206">
        <f t="shared" ca="1" si="4"/>
        <v>1.7705020231444895</v>
      </c>
      <c r="N59" s="206">
        <f ca="1">SUM(M$11:M59)</f>
        <v>2215.8877816251775</v>
      </c>
    </row>
    <row r="60" spans="1:14">
      <c r="A60">
        <v>50</v>
      </c>
      <c r="B60">
        <v>2069</v>
      </c>
      <c r="C60" s="183">
        <f>IF($D$7&lt;=$D$6,0,($D$4+($D$5-$D$4)/(1+$D$8^((($D$6-2020)+($D$7-2020)/2-(B60-2020))/($D$7-2020))))/(Dashboard!$AA$7/100))</f>
        <v>2.9101531162450191E-4</v>
      </c>
      <c r="D60">
        <v>2069</v>
      </c>
      <c r="E60" s="53">
        <f>pop_calc!$C$24*'Disease Projections'!C60</f>
        <v>1384.8781356677589</v>
      </c>
      <c r="F60" s="53">
        <f>SUM(E$11:E60)</f>
        <v>1981434.4294718232</v>
      </c>
      <c r="G60" s="206">
        <f t="shared" si="1"/>
        <v>576.45552397170457</v>
      </c>
      <c r="H60" s="206">
        <f>SUM(G$11:G60)</f>
        <v>824772.08126764593</v>
      </c>
      <c r="I60" s="206">
        <f t="shared" si="2"/>
        <v>288.05465221889386</v>
      </c>
      <c r="J60" s="206">
        <f>SUM(I$11:I60)</f>
        <v>412138.36133013922</v>
      </c>
      <c r="K60" s="206">
        <f t="shared" si="3"/>
        <v>173.10976695846986</v>
      </c>
      <c r="L60" s="206">
        <f>SUM(K$11:K60)</f>
        <v>247679.30368397789</v>
      </c>
      <c r="M60" s="206">
        <f t="shared" ca="1" si="4"/>
        <v>1.5498271433637774</v>
      </c>
      <c r="N60" s="206">
        <f ca="1">SUM(M$11:M60)</f>
        <v>2217.4376087685414</v>
      </c>
    </row>
    <row r="61" spans="1:14">
      <c r="A61">
        <v>51</v>
      </c>
      <c r="B61">
        <v>2070</v>
      </c>
      <c r="C61" s="183">
        <f>IF($D$7&lt;=$D$6,0,($D$4+($D$5-$D$4)/(1+$D$8^((($D$6-2020)+($D$7-2020)/2-(B61-2020))/($D$7-2020))))/(Dashboard!$AA$7/100))</f>
        <v>2.5468676519609746E-4</v>
      </c>
      <c r="D61">
        <v>2070</v>
      </c>
      <c r="E61" s="53">
        <f>pop_calc!$C$24*'Disease Projections'!C61</f>
        <v>1211.9985391666498</v>
      </c>
      <c r="F61" s="53">
        <f>SUM(E$11:E61)</f>
        <v>1982646.4280109899</v>
      </c>
      <c r="G61" s="206">
        <f t="shared" si="1"/>
        <v>504.49439192811792</v>
      </c>
      <c r="H61" s="206">
        <f>SUM(G$11:G61)</f>
        <v>825276.57565957401</v>
      </c>
      <c r="I61" s="206">
        <f t="shared" si="2"/>
        <v>252.09569614666316</v>
      </c>
      <c r="J61" s="206">
        <f>SUM(I$11:I61)</f>
        <v>412390.45702628588</v>
      </c>
      <c r="K61" s="206">
        <f t="shared" si="3"/>
        <v>151.49981739583123</v>
      </c>
      <c r="L61" s="206">
        <f>SUM(K$11:K61)</f>
        <v>247830.80350137374</v>
      </c>
      <c r="M61" s="206">
        <f t="shared" ca="1" si="4"/>
        <v>1.3563563358677775</v>
      </c>
      <c r="N61" s="206">
        <f ca="1">SUM(M$11:M61)</f>
        <v>2218.7939651044094</v>
      </c>
    </row>
    <row r="62" spans="1:14">
      <c r="A62">
        <v>52</v>
      </c>
      <c r="B62">
        <v>2071</v>
      </c>
      <c r="C62" s="183">
        <f>IF($D$7&lt;=$D$6,0,($D$4+($D$5-$D$4)/(1+$D$8^((($D$6-2020)+($D$7-2020)/2-(B62-2020))/($D$7-2020))))/(Dashboard!$AA$7/100))</f>
        <v>2.2284993213059846E-4</v>
      </c>
      <c r="D62">
        <v>2071</v>
      </c>
      <c r="E62" s="53">
        <f>pop_calc!$C$24*'Disease Projections'!C62</f>
        <v>1060.4940228743815</v>
      </c>
      <c r="F62" s="53">
        <f>SUM(E$11:E62)</f>
        <v>1983706.9220338643</v>
      </c>
      <c r="G62" s="206">
        <f t="shared" si="1"/>
        <v>441.43063702146122</v>
      </c>
      <c r="H62" s="206">
        <f>SUM(G$11:G62)</f>
        <v>825718.00629659544</v>
      </c>
      <c r="I62" s="206">
        <f t="shared" si="2"/>
        <v>220.58275675787132</v>
      </c>
      <c r="J62" s="206">
        <f>SUM(I$11:I62)</f>
        <v>412611.03978304373</v>
      </c>
      <c r="K62" s="206">
        <f t="shared" si="3"/>
        <v>132.56175285929768</v>
      </c>
      <c r="L62" s="206">
        <f>SUM(K$11:K62)</f>
        <v>247963.36525423304</v>
      </c>
      <c r="M62" s="206">
        <f t="shared" ca="1" si="4"/>
        <v>1.1868065353152988</v>
      </c>
      <c r="N62" s="206">
        <f ca="1">SUM(M$11:M62)</f>
        <v>2219.9807716397245</v>
      </c>
    </row>
    <row r="63" spans="1:14">
      <c r="A63">
        <v>53</v>
      </c>
      <c r="B63">
        <v>2072</v>
      </c>
      <c r="C63" s="183">
        <f>IF($D$7&lt;=$D$6,0,($D$4+($D$5-$D$4)/(1+$D$8^((($D$6-2020)+($D$7-2020)/2-(B63-2020))/($D$7-2020))))/(Dashboard!$AA$7/100))</f>
        <v>1.9495962278542669E-4</v>
      </c>
      <c r="D63">
        <v>2072</v>
      </c>
      <c r="E63" s="53">
        <f>pop_calc!$C$24*'Disease Projections'!C63</f>
        <v>927.7701486784556</v>
      </c>
      <c r="F63" s="53">
        <f>SUM(E$11:E63)</f>
        <v>1984634.6921825428</v>
      </c>
      <c r="G63" s="206">
        <f t="shared" si="1"/>
        <v>386.18432438740712</v>
      </c>
      <c r="H63" s="206">
        <f>SUM(G$11:G63)</f>
        <v>826104.1906209829</v>
      </c>
      <c r="I63" s="206">
        <f t="shared" si="2"/>
        <v>192.97619092511874</v>
      </c>
      <c r="J63" s="206">
        <f>SUM(I$11:I63)</f>
        <v>412804.01597396884</v>
      </c>
      <c r="K63" s="206">
        <f t="shared" si="3"/>
        <v>115.97126858480695</v>
      </c>
      <c r="L63" s="206">
        <f>SUM(K$11:K63)</f>
        <v>248079.33652281784</v>
      </c>
      <c r="M63" s="206">
        <f t="shared" ca="1" si="4"/>
        <v>1.0382742872398667</v>
      </c>
      <c r="N63" s="206">
        <f ca="1">SUM(M$11:M63)</f>
        <v>2221.0190459269643</v>
      </c>
    </row>
    <row r="64" spans="1:14">
      <c r="A64">
        <v>54</v>
      </c>
      <c r="B64">
        <v>2073</v>
      </c>
      <c r="C64" s="183">
        <f>IF($D$7&lt;=$D$6,0,($D$4+($D$5-$D$4)/(1+$D$8^((($D$6-2020)+($D$7-2020)/2-(B64-2020))/($D$7-2020))))/(Dashboard!$AA$7/100))</f>
        <v>1.7053442648892639E-4</v>
      </c>
      <c r="D64">
        <v>2073</v>
      </c>
      <c r="E64" s="53">
        <f>pop_calc!$C$24*'Disease Projections'!C64</f>
        <v>811.53598862139961</v>
      </c>
      <c r="F64" s="53">
        <f>SUM(E$11:E64)</f>
        <v>1985446.2281711642</v>
      </c>
      <c r="G64" s="206">
        <f t="shared" si="1"/>
        <v>337.80185526365756</v>
      </c>
      <c r="H64" s="206">
        <f>SUM(G$11:G64)</f>
        <v>826441.99247624655</v>
      </c>
      <c r="I64" s="206">
        <f t="shared" si="2"/>
        <v>168.79948563325112</v>
      </c>
      <c r="J64" s="206">
        <f>SUM(I$11:I64)</f>
        <v>412972.8154596021</v>
      </c>
      <c r="K64" s="206">
        <f t="shared" si="3"/>
        <v>101.44199857767495</v>
      </c>
      <c r="L64" s="206">
        <f>SUM(K$11:K64)</f>
        <v>248180.77852139552</v>
      </c>
      <c r="M64" s="206">
        <f t="shared" ca="1" si="4"/>
        <v>0.90819579758586266</v>
      </c>
      <c r="N64" s="206">
        <f ca="1">SUM(M$11:M64)</f>
        <v>2221.9272417245502</v>
      </c>
    </row>
    <row r="65" spans="1:14">
      <c r="A65">
        <v>55</v>
      </c>
      <c r="B65">
        <v>2074</v>
      </c>
      <c r="C65" s="183">
        <f>IF($D$7&lt;=$D$6,0,($D$4+($D$5-$D$4)/(1+$D$8^((($D$6-2020)+($D$7-2020)/2-(B65-2020))/($D$7-2020))))/(Dashboard!$AA$7/100))</f>
        <v>1.491498187093266E-4</v>
      </c>
      <c r="D65">
        <v>2074</v>
      </c>
      <c r="E65" s="53">
        <f>pop_calc!$C$24*'Disease Projections'!C65</f>
        <v>709.77132342738798</v>
      </c>
      <c r="F65" s="53">
        <f>SUM(E$11:E65)</f>
        <v>1986155.9994945915</v>
      </c>
      <c r="G65" s="206">
        <f t="shared" si="1"/>
        <v>295.44231337665019</v>
      </c>
      <c r="H65" s="206">
        <f>SUM(G$11:G65)</f>
        <v>826737.43478962325</v>
      </c>
      <c r="I65" s="206">
        <f t="shared" si="2"/>
        <v>147.63243527289669</v>
      </c>
      <c r="J65" s="206">
        <f>SUM(I$11:I65)</f>
        <v>413120.44789487502</v>
      </c>
      <c r="K65" s="206">
        <f t="shared" si="3"/>
        <v>88.721415428423498</v>
      </c>
      <c r="L65" s="206">
        <f>SUM(K$11:K65)</f>
        <v>248269.49993682394</v>
      </c>
      <c r="M65" s="206">
        <f t="shared" ca="1" si="4"/>
        <v>0.79431022434229481</v>
      </c>
      <c r="N65" s="206">
        <f ca="1">SUM(M$11:M65)</f>
        <v>2222.7215519488923</v>
      </c>
    </row>
    <row r="66" spans="1:14">
      <c r="A66">
        <v>56</v>
      </c>
      <c r="B66">
        <v>2075</v>
      </c>
      <c r="C66" s="183">
        <f>IF($D$7&lt;=$D$6,0,($D$4+($D$5-$D$4)/(1+$D$8^((($D$6-2020)+($D$7-2020)/2-(B66-2020))/($D$7-2020))))/(Dashboard!$AA$7/100))</f>
        <v>1.304318751021731E-4</v>
      </c>
      <c r="D66">
        <v>2075</v>
      </c>
      <c r="E66" s="53">
        <f>pop_calc!$C$24*'Disease Projections'!C66</f>
        <v>620.69672903059438</v>
      </c>
      <c r="F66" s="53">
        <f>SUM(E$11:E66)</f>
        <v>1986776.6962236222</v>
      </c>
      <c r="G66" s="206">
        <f t="shared" si="1"/>
        <v>258.36501345898489</v>
      </c>
      <c r="H66" s="206">
        <f>SUM(G$11:G66)</f>
        <v>826995.79980308225</v>
      </c>
      <c r="I66" s="206">
        <f t="shared" si="2"/>
        <v>129.10491963836364</v>
      </c>
      <c r="J66" s="206">
        <f>SUM(I$11:I66)</f>
        <v>413249.55281451339</v>
      </c>
      <c r="K66" s="206">
        <f t="shared" si="3"/>
        <v>77.587091128824298</v>
      </c>
      <c r="L66" s="206">
        <f>SUM(K$11:K66)</f>
        <v>248347.08702795277</v>
      </c>
      <c r="M66" s="206">
        <f t="shared" ca="1" si="4"/>
        <v>0.69462620116020812</v>
      </c>
      <c r="N66" s="206">
        <f ca="1">SUM(M$11:M66)</f>
        <v>2223.4161781500525</v>
      </c>
    </row>
    <row r="67" spans="1:14">
      <c r="A67">
        <v>57</v>
      </c>
      <c r="B67">
        <v>2076</v>
      </c>
      <c r="C67" s="183">
        <f>IF($D$7&lt;=$D$6,0,($D$4+($D$5-$D$4)/(1+$D$8^((($D$6-2020)+($D$7-2020)/2-(B67-2020))/($D$7-2020))))/(Dashboard!$AA$7/100))</f>
        <v>1.1405157466523837E-4</v>
      </c>
      <c r="D67">
        <v>2076</v>
      </c>
      <c r="E67" s="53">
        <f>pop_calc!$C$24*'Disease Projections'!C67</f>
        <v>542.74646653701768</v>
      </c>
      <c r="F67" s="53">
        <f>SUM(E$11:E67)</f>
        <v>1987319.4426901592</v>
      </c>
      <c r="G67" s="206">
        <f t="shared" si="1"/>
        <v>225.9182166960336</v>
      </c>
      <c r="H67" s="206">
        <f>SUM(G$11:G67)</f>
        <v>827221.71801977826</v>
      </c>
      <c r="I67" s="206">
        <f t="shared" si="2"/>
        <v>112.89126503969968</v>
      </c>
      <c r="J67" s="206">
        <f>SUM(I$11:I67)</f>
        <v>413362.44407955307</v>
      </c>
      <c r="K67" s="206">
        <f t="shared" si="3"/>
        <v>67.84330831712721</v>
      </c>
      <c r="L67" s="206">
        <f>SUM(K$11:K67)</f>
        <v>248414.9303362699</v>
      </c>
      <c r="M67" s="206">
        <f t="shared" ca="1" si="4"/>
        <v>0.6073914983127805</v>
      </c>
      <c r="N67" s="206">
        <f ca="1">SUM(M$11:M67)</f>
        <v>2224.0235696483651</v>
      </c>
    </row>
    <row r="68" spans="1:14">
      <c r="A68">
        <v>58</v>
      </c>
      <c r="B68">
        <v>2077</v>
      </c>
      <c r="C68" s="183">
        <f>IF($D$7&lt;=$D$6,0,($D$4+($D$5-$D$4)/(1+$D$8^((($D$6-2020)+($D$7-2020)/2-(B68-2020))/($D$7-2020))))/(Dashboard!$AA$7/100))</f>
        <v>9.9719663656596514E-5</v>
      </c>
      <c r="D68">
        <v>2077</v>
      </c>
      <c r="E68" s="53">
        <f>pop_calc!$C$24*'Disease Projections'!C68</f>
        <v>474.54404073540201</v>
      </c>
      <c r="F68" s="53">
        <f>SUM(E$11:E68)</f>
        <v>1987793.9867308945</v>
      </c>
      <c r="G68" s="206">
        <f t="shared" si="1"/>
        <v>197.52895695611105</v>
      </c>
      <c r="H68" s="206">
        <f>SUM(G$11:G68)</f>
        <v>827419.24697673437</v>
      </c>
      <c r="I68" s="206">
        <f t="shared" si="2"/>
        <v>98.705160472963613</v>
      </c>
      <c r="J68" s="206">
        <f>SUM(I$11:I68)</f>
        <v>413461.14924002602</v>
      </c>
      <c r="K68" s="206">
        <f t="shared" si="3"/>
        <v>59.318005091925251</v>
      </c>
      <c r="L68" s="206">
        <f>SUM(K$11:K68)</f>
        <v>248474.24834136182</v>
      </c>
      <c r="M68" s="206">
        <f t="shared" ca="1" si="4"/>
        <v>0.53106567004802074</v>
      </c>
      <c r="N68" s="206">
        <f ca="1">SUM(M$11:M68)</f>
        <v>2224.5546353184131</v>
      </c>
    </row>
    <row r="69" spans="1:14">
      <c r="A69">
        <v>59</v>
      </c>
      <c r="B69">
        <v>2078</v>
      </c>
      <c r="C69" s="183">
        <f>IF($D$7&lt;=$D$6,0,($D$4+($D$5-$D$4)/(1+$D$8^((($D$6-2020)+($D$7-2020)/2-(B69-2020))/($D$7-2020))))/(Dashboard!$AA$7/100))</f>
        <v>8.718204537157685E-5</v>
      </c>
      <c r="D69">
        <v>2078</v>
      </c>
      <c r="E69" s="53">
        <f>pop_calc!$C$24*'Disease Projections'!C69</f>
        <v>414.88026105539785</v>
      </c>
      <c r="F69" s="53">
        <f>SUM(E$11:E69)</f>
        <v>1988208.86699195</v>
      </c>
      <c r="G69" s="206">
        <f t="shared" si="1"/>
        <v>172.69390866430933</v>
      </c>
      <c r="H69" s="206">
        <f>SUM(G$11:G69)</f>
        <v>827591.94088539865</v>
      </c>
      <c r="I69" s="206">
        <f t="shared" si="2"/>
        <v>86.295094299522745</v>
      </c>
      <c r="J69" s="206">
        <f>SUM(I$11:I69)</f>
        <v>413547.44433432556</v>
      </c>
      <c r="K69" s="206">
        <f t="shared" si="3"/>
        <v>51.860032631924732</v>
      </c>
      <c r="L69" s="206">
        <f>SUM(K$11:K69)</f>
        <v>248526.10837399375</v>
      </c>
      <c r="M69" s="206">
        <f t="shared" ca="1" si="4"/>
        <v>0.46429550244828444</v>
      </c>
      <c r="N69" s="206">
        <f ca="1">SUM(M$11:M69)</f>
        <v>2225.0189308208614</v>
      </c>
    </row>
    <row r="70" spans="1:14">
      <c r="A70">
        <v>60</v>
      </c>
      <c r="B70">
        <v>2079</v>
      </c>
      <c r="C70" s="183">
        <f>IF($D$7&lt;=$D$6,0,($D$4+($D$5-$D$4)/(1+$D$8^((($D$6-2020)+($D$7-2020)/2-(B70-2020))/($D$7-2020))))/(Dashboard!$AA$7/100))</f>
        <v>7.6215657300246487E-5</v>
      </c>
      <c r="D70">
        <v>2079</v>
      </c>
      <c r="E70" s="53">
        <f>pop_calc!$C$24*'Disease Projections'!C70</f>
        <v>362.69362186292426</v>
      </c>
      <c r="F70" s="53">
        <f>SUM(E$11:E70)</f>
        <v>1988571.5606138129</v>
      </c>
      <c r="G70" s="206">
        <f t="shared" si="1"/>
        <v>150.9712201004422</v>
      </c>
      <c r="H70" s="206">
        <f>SUM(G$11:G70)</f>
        <v>827742.91210549907</v>
      </c>
      <c r="I70" s="206">
        <f t="shared" si="2"/>
        <v>75.440273347488244</v>
      </c>
      <c r="J70" s="206">
        <f>SUM(I$11:I70)</f>
        <v>413622.88460767304</v>
      </c>
      <c r="K70" s="206">
        <f t="shared" si="3"/>
        <v>45.336702732865533</v>
      </c>
      <c r="L70" s="206">
        <f>SUM(K$11:K70)</f>
        <v>248571.44507672661</v>
      </c>
      <c r="M70" s="206">
        <f t="shared" ca="1" si="4"/>
        <v>0.40589305687683436</v>
      </c>
      <c r="N70" s="206">
        <f ca="1">SUM(M$11:M70)</f>
        <v>2225.4248238777382</v>
      </c>
    </row>
    <row r="71" spans="1:14">
      <c r="A71">
        <v>61</v>
      </c>
      <c r="B71">
        <v>2080</v>
      </c>
      <c r="C71" s="183">
        <f>IF($D$7&lt;=$D$6,0,($D$4+($D$5-$D$4)/(1+$D$8^((($D$6-2020)+($D$7-2020)/2-(B71-2020))/($D$7-2020))))/(Dashboard!$AA$7/100))</f>
        <v>6.6624795787647859E-5</v>
      </c>
      <c r="D71">
        <v>2080</v>
      </c>
      <c r="E71" s="53">
        <f>pop_calc!$C$24*'Disease Projections'!C71</f>
        <v>317.05281232313865</v>
      </c>
      <c r="F71" s="53">
        <f>SUM(E$11:E71)</f>
        <v>1988888.6134261361</v>
      </c>
      <c r="G71" s="206">
        <f t="shared" si="1"/>
        <v>131.97323312950647</v>
      </c>
      <c r="H71" s="206">
        <f>SUM(G$11:G71)</f>
        <v>827874.88533862855</v>
      </c>
      <c r="I71" s="206">
        <f t="shared" si="2"/>
        <v>65.946984963212842</v>
      </c>
      <c r="J71" s="206">
        <f>SUM(I$11:I71)</f>
        <v>413688.83159263624</v>
      </c>
      <c r="K71" s="206">
        <f t="shared" si="3"/>
        <v>39.631601540392332</v>
      </c>
      <c r="L71" s="206">
        <f>SUM(K$11:K71)</f>
        <v>248611.07667826701</v>
      </c>
      <c r="M71" s="206">
        <f t="shared" ca="1" si="4"/>
        <v>0.35481609663892211</v>
      </c>
      <c r="N71" s="206">
        <f ca="1">SUM(M$11:M71)</f>
        <v>2225.779639974377</v>
      </c>
    </row>
    <row r="72" spans="1:14">
      <c r="A72">
        <v>62</v>
      </c>
      <c r="B72">
        <v>2081</v>
      </c>
      <c r="C72" s="183">
        <f>IF($D$7&lt;=$D$6,0,($D$4+($D$5-$D$4)/(1+$D$8^((($D$6-2020)+($D$7-2020)/2-(B72-2020))/($D$7-2020))))/(Dashboard!$AA$7/100))</f>
        <v>5.8237848465922437E-5</v>
      </c>
      <c r="D72">
        <v>2081</v>
      </c>
      <c r="E72" s="53">
        <f>pop_calc!$C$24*'Disease Projections'!C72</f>
        <v>277.14116676051083</v>
      </c>
      <c r="F72" s="53">
        <f>SUM(E$11:E72)</f>
        <v>1989165.7545928967</v>
      </c>
      <c r="G72" s="206">
        <f t="shared" si="1"/>
        <v>115.36001066406263</v>
      </c>
      <c r="H72" s="206">
        <f>SUM(G$11:G72)</f>
        <v>827990.24534929264</v>
      </c>
      <c r="I72" s="206">
        <f t="shared" si="2"/>
        <v>57.645362686186246</v>
      </c>
      <c r="J72" s="206">
        <f>SUM(I$11:I72)</f>
        <v>413746.47695532243</v>
      </c>
      <c r="K72" s="206">
        <f t="shared" si="3"/>
        <v>34.642645845063853</v>
      </c>
      <c r="L72" s="206">
        <f>SUM(K$11:K72)</f>
        <v>248645.71932411208</v>
      </c>
      <c r="M72" s="206">
        <f t="shared" ca="1" si="4"/>
        <v>0.31015068526722095</v>
      </c>
      <c r="N72" s="206">
        <f ca="1">SUM(M$11:M72)</f>
        <v>2226.0897906596442</v>
      </c>
    </row>
    <row r="73" spans="1:14">
      <c r="A73">
        <v>63</v>
      </c>
      <c r="B73">
        <v>2082</v>
      </c>
      <c r="C73" s="183">
        <f>IF($D$7&lt;=$D$6,0,($D$4+($D$5-$D$4)/(1+$D$8^((($D$6-2020)+($D$7-2020)/2-(B73-2020))/($D$7-2020))))/(Dashboard!$AA$7/100))</f>
        <v>5.0904395935826903E-5</v>
      </c>
      <c r="D73">
        <v>2082</v>
      </c>
      <c r="E73" s="53">
        <f>pop_calc!$C$24*'Disease Projections'!C73</f>
        <v>242.24287219589027</v>
      </c>
      <c r="F73" s="53">
        <f>SUM(E$11:E73)</f>
        <v>1989407.9974650925</v>
      </c>
      <c r="G73" s="206">
        <f t="shared" si="1"/>
        <v>100.83359555153932</v>
      </c>
      <c r="H73" s="206">
        <f>SUM(G$11:G73)</f>
        <v>828091.07894484419</v>
      </c>
      <c r="I73" s="206">
        <f t="shared" si="2"/>
        <v>50.386517416745171</v>
      </c>
      <c r="J73" s="206">
        <f>SUM(I$11:I73)</f>
        <v>413796.86347273918</v>
      </c>
      <c r="K73" s="206">
        <f t="shared" si="3"/>
        <v>30.280359024486284</v>
      </c>
      <c r="L73" s="206">
        <f>SUM(K$11:K73)</f>
        <v>248675.99968313656</v>
      </c>
      <c r="M73" s="206">
        <f t="shared" ca="1" si="4"/>
        <v>0.27109575127674801</v>
      </c>
      <c r="N73" s="206">
        <f ca="1">SUM(M$11:M73)</f>
        <v>2226.360886410921</v>
      </c>
    </row>
    <row r="74" spans="1:14">
      <c r="A74">
        <v>64</v>
      </c>
      <c r="B74">
        <v>2083</v>
      </c>
      <c r="C74" s="183">
        <f>IF($D$7&lt;=$D$6,0,($D$4+($D$5-$D$4)/(1+$D$8^((($D$6-2020)+($D$7-2020)/2-(B74-2020))/($D$7-2020))))/(Dashboard!$AA$7/100))</f>
        <v>4.4492646081118157E-5</v>
      </c>
      <c r="D74">
        <v>2083</v>
      </c>
      <c r="E74" s="53">
        <f>pop_calc!$C$24*'Disease Projections'!C74</f>
        <v>211.73075881054956</v>
      </c>
      <c r="F74" s="53">
        <f>SUM(E$11:E74)</f>
        <v>1989619.7282239031</v>
      </c>
      <c r="G74" s="206">
        <f t="shared" si="1"/>
        <v>88.132928354891234</v>
      </c>
      <c r="H74" s="206">
        <f>SUM(G$11:G74)</f>
        <v>828179.21187319909</v>
      </c>
      <c r="I74" s="206">
        <f t="shared" si="2"/>
        <v>44.03999783259431</v>
      </c>
      <c r="J74" s="206">
        <f>SUM(I$11:I74)</f>
        <v>413840.90347057179</v>
      </c>
      <c r="K74" s="206">
        <f t="shared" si="3"/>
        <v>26.466344851318695</v>
      </c>
      <c r="L74" s="206">
        <f>SUM(K$11:K74)</f>
        <v>248702.46602798789</v>
      </c>
      <c r="M74" s="206">
        <f t="shared" ca="1" si="4"/>
        <v>0.23694942438482061</v>
      </c>
      <c r="N74" s="206">
        <f ca="1">SUM(M$11:M74)</f>
        <v>2226.5978358353059</v>
      </c>
    </row>
    <row r="75" spans="1:14">
      <c r="A75">
        <v>65</v>
      </c>
      <c r="B75">
        <v>2084</v>
      </c>
      <c r="C75" s="183">
        <f>IF($D$7&lt;=$D$6,0,($D$4+($D$5-$D$4)/(1+$D$8^((($D$6-2020)+($D$7-2020)/2-(B75-2020))/($D$7-2020))))/(Dashboard!$AA$7/100))</f>
        <v>3.8887166729428951E-5</v>
      </c>
      <c r="D75">
        <v>2084</v>
      </c>
      <c r="E75" s="53">
        <f>pop_calc!$C$24*'Disease Projections'!C75</f>
        <v>185.05551017583863</v>
      </c>
      <c r="F75" s="53">
        <f>SUM(E$11:E75)</f>
        <v>1989804.783734079</v>
      </c>
      <c r="G75" s="206">
        <f t="shared" si="1"/>
        <v>77.029356110692817</v>
      </c>
      <c r="H75" s="206">
        <f>SUM(G$11:G75)</f>
        <v>828256.24122930982</v>
      </c>
      <c r="I75" s="206">
        <f t="shared" si="2"/>
        <v>38.491546116574433</v>
      </c>
      <c r="J75" s="206">
        <f>SUM(I$11:I75)</f>
        <v>413879.39501668839</v>
      </c>
      <c r="K75" s="206">
        <f t="shared" si="3"/>
        <v>23.131938771979829</v>
      </c>
      <c r="L75" s="206">
        <f>SUM(K$11:K75)</f>
        <v>248725.59796675987</v>
      </c>
      <c r="M75" s="206">
        <f t="shared" ref="M75:M91" ca="1" si="5">E75*prob_lf_death</f>
        <v>0.2070969606009814</v>
      </c>
      <c r="N75" s="206">
        <f ca="1">SUM(M$11:M75)</f>
        <v>2226.804932795907</v>
      </c>
    </row>
    <row r="76" spans="1:14">
      <c r="A76">
        <v>66</v>
      </c>
      <c r="B76">
        <v>2085</v>
      </c>
      <c r="C76" s="183">
        <f>IF($D$7&lt;=$D$6,0,($D$4+($D$5-$D$4)/(1+$D$8^((($D$6-2020)+($D$7-2020)/2-(B76-2020))/($D$7-2020))))/(Dashboard!$AA$7/100))</f>
        <v>3.3986884928181869E-5</v>
      </c>
      <c r="D76">
        <v>2085</v>
      </c>
      <c r="E76" s="53">
        <f>pop_calc!$C$24*'Disease Projections'!C76</f>
        <v>161.73614224541825</v>
      </c>
      <c r="F76" s="53">
        <f>SUM(E$11:E76)</f>
        <v>1989966.5198763243</v>
      </c>
      <c r="G76" s="206">
        <f t="shared" ref="G76:G91" si="6">E76*(1-$R$28)*1.25</f>
        <v>67.322669209655345</v>
      </c>
      <c r="H76" s="206">
        <f>SUM(G$11:G76)</f>
        <v>828323.5638985195</v>
      </c>
      <c r="I76" s="206">
        <f t="shared" ref="I76:I91" si="7">$R$30*E76</f>
        <v>33.641117587046992</v>
      </c>
      <c r="J76" s="206">
        <f>SUM(I$11:I76)</f>
        <v>413913.03613427543</v>
      </c>
      <c r="K76" s="206">
        <f t="shared" ref="K76:K91" si="8">$R$31*E76</f>
        <v>20.217017780677281</v>
      </c>
      <c r="L76" s="206">
        <f>SUM(K$11:K76)</f>
        <v>248745.81498454054</v>
      </c>
      <c r="M76" s="206">
        <f t="shared" ca="1" si="5"/>
        <v>0.18100008719830768</v>
      </c>
      <c r="N76" s="206">
        <f ca="1">SUM(M$11:M76)</f>
        <v>2226.9859328831053</v>
      </c>
    </row>
    <row r="77" spans="1:14">
      <c r="A77">
        <v>67</v>
      </c>
      <c r="B77">
        <v>2086</v>
      </c>
      <c r="C77" s="183">
        <f>IF($D$7&lt;=$D$6,0,($D$4+($D$5-$D$4)/(1+$D$8^((($D$6-2020)+($D$7-2020)/2-(B77-2020))/($D$7-2020))))/(Dashboard!$AA$7/100))</f>
        <v>2.9703323740330384E-5</v>
      </c>
      <c r="D77">
        <v>2086</v>
      </c>
      <c r="E77" s="53">
        <f>pop_calc!$C$24*'Disease Projections'!C77</f>
        <v>141.35161265233316</v>
      </c>
      <c r="F77" s="53">
        <f>SUM(E$11:E77)</f>
        <v>1990107.8714889768</v>
      </c>
      <c r="G77" s="206">
        <f t="shared" si="6"/>
        <v>58.837608766533677</v>
      </c>
      <c r="H77" s="206">
        <f>SUM(G$11:G77)</f>
        <v>828382.40150728601</v>
      </c>
      <c r="I77" s="206">
        <f t="shared" si="7"/>
        <v>29.401135431685297</v>
      </c>
      <c r="J77" s="206">
        <f>SUM(I$11:I77)</f>
        <v>413942.43726970709</v>
      </c>
      <c r="K77" s="206">
        <f t="shared" si="8"/>
        <v>17.668951581541645</v>
      </c>
      <c r="L77" s="206">
        <f>SUM(K$11:K77)</f>
        <v>248763.48393612209</v>
      </c>
      <c r="M77" s="206">
        <f t="shared" ca="1" si="5"/>
        <v>0.15818761261704625</v>
      </c>
      <c r="N77" s="206">
        <f ca="1">SUM(M$11:M77)</f>
        <v>2227.1441204957223</v>
      </c>
    </row>
    <row r="78" spans="1:14">
      <c r="A78">
        <v>68</v>
      </c>
      <c r="B78">
        <v>2087</v>
      </c>
      <c r="C78" s="183">
        <f>IF($D$7&lt;=$D$6,0,($D$4+($D$5-$D$4)/(1+$D$8^((($D$6-2020)+($D$7-2020)/2-(B78-2020))/($D$7-2020))))/(Dashboard!$AA$7/100))</f>
        <v>2.5959050081337528E-5</v>
      </c>
      <c r="D78">
        <v>2087</v>
      </c>
      <c r="E78" s="53">
        <f>pop_calc!$C$24*'Disease Projections'!C78</f>
        <v>123.53343430511748</v>
      </c>
      <c r="F78" s="53">
        <f>SUM(E$11:E78)</f>
        <v>1990231.4049232819</v>
      </c>
      <c r="G78" s="206">
        <f t="shared" si="6"/>
        <v>51.420792029505151</v>
      </c>
      <c r="H78" s="206">
        <f>SUM(G$11:G78)</f>
        <v>828433.82229931548</v>
      </c>
      <c r="I78" s="206">
        <f t="shared" si="7"/>
        <v>25.694954335464434</v>
      </c>
      <c r="J78" s="206">
        <f>SUM(I$11:I78)</f>
        <v>413968.13222404255</v>
      </c>
      <c r="K78" s="206">
        <f t="shared" si="8"/>
        <v>15.441679288139685</v>
      </c>
      <c r="L78" s="206">
        <f>SUM(K$11:K78)</f>
        <v>248778.92561541023</v>
      </c>
      <c r="M78" s="206">
        <f t="shared" ca="1" si="5"/>
        <v>0.13824716028656292</v>
      </c>
      <c r="N78" s="206">
        <f ca="1">SUM(M$11:M78)</f>
        <v>2227.2823676560088</v>
      </c>
    </row>
    <row r="79" spans="1:14">
      <c r="A79">
        <v>69</v>
      </c>
      <c r="B79">
        <v>2088</v>
      </c>
      <c r="C79" s="183">
        <f>IF($D$7&lt;=$D$6,0,($D$4+($D$5-$D$4)/(1+$D$8^((($D$6-2020)+($D$7-2020)/2-(B79-2020))/($D$7-2020))))/(Dashboard!$AA$7/100))</f>
        <v>2.2686309647889895E-5</v>
      </c>
      <c r="D79">
        <v>2088</v>
      </c>
      <c r="E79" s="53">
        <f>pop_calc!$C$24*'Disease Projections'!C79</f>
        <v>107.95917931249512</v>
      </c>
      <c r="F79" s="53">
        <f>SUM(E$11:E79)</f>
        <v>1990339.3641025943</v>
      </c>
      <c r="G79" s="206">
        <f t="shared" si="6"/>
        <v>44.938008388826091</v>
      </c>
      <c r="H79" s="206">
        <f>SUM(G$11:G79)</f>
        <v>828478.76030770433</v>
      </c>
      <c r="I79" s="206">
        <f t="shared" si="7"/>
        <v>22.455509296998986</v>
      </c>
      <c r="J79" s="206">
        <f>SUM(I$11:I79)</f>
        <v>413990.58773333958</v>
      </c>
      <c r="K79" s="206">
        <f t="shared" si="8"/>
        <v>13.49489741406189</v>
      </c>
      <c r="L79" s="206">
        <f>SUM(K$11:K79)</f>
        <v>248792.42051282429</v>
      </c>
      <c r="M79" s="206">
        <f t="shared" ca="1" si="5"/>
        <v>0.12081789882046547</v>
      </c>
      <c r="N79" s="206">
        <f ca="1">SUM(M$11:M79)</f>
        <v>2227.4031855548292</v>
      </c>
    </row>
    <row r="80" spans="1:14">
      <c r="A80">
        <v>70</v>
      </c>
      <c r="B80">
        <v>2089</v>
      </c>
      <c r="C80" s="183">
        <f>IF($D$7&lt;=$D$6,0,($D$4+($D$5-$D$4)/(1+$D$8^((($D$6-2020)+($D$7-2020)/2-(B80-2020))/($D$7-2020))))/(Dashboard!$AA$7/100))</f>
        <v>1.9825827386175321E-5</v>
      </c>
      <c r="D80">
        <v>2089</v>
      </c>
      <c r="E80" s="53">
        <f>pop_calc!$C$24*'Disease Projections'!C80</f>
        <v>94.346770674610781</v>
      </c>
      <c r="F80" s="53">
        <f>SUM(E$11:E80)</f>
        <v>1990433.710873269</v>
      </c>
      <c r="G80" s="206">
        <f t="shared" si="6"/>
        <v>39.271843293306731</v>
      </c>
      <c r="H80" s="206">
        <f>SUM(G$11:G80)</f>
        <v>828518.03215099766</v>
      </c>
      <c r="I80" s="206">
        <f t="shared" si="7"/>
        <v>19.624128300319043</v>
      </c>
      <c r="J80" s="206">
        <f>SUM(I$11:I80)</f>
        <v>414010.21186163992</v>
      </c>
      <c r="K80" s="206">
        <f t="shared" si="8"/>
        <v>11.793346334326348</v>
      </c>
      <c r="L80" s="206">
        <f>SUM(K$11:K80)</f>
        <v>248804.21385915863</v>
      </c>
      <c r="M80" s="206">
        <f t="shared" ca="1" si="5"/>
        <v>0.10558415380695188</v>
      </c>
      <c r="N80" s="206">
        <f ca="1">SUM(M$11:M80)</f>
        <v>2227.508769708636</v>
      </c>
    </row>
    <row r="81" spans="1:14">
      <c r="A81">
        <v>71</v>
      </c>
      <c r="B81">
        <v>2090</v>
      </c>
      <c r="C81" s="183">
        <f>IF($D$7&lt;=$D$6,0,($D$4+($D$5-$D$4)/(1+$D$8^((($D$6-2020)+($D$7-2020)/2-(B81-2020))/($D$7-2020))))/(Dashboard!$AA$7/100))</f>
        <v>1.7325754186998627E-5</v>
      </c>
      <c r="D81">
        <v>2090</v>
      </c>
      <c r="E81" s="53">
        <f>pop_calc!$C$24*'Disease Projections'!C81</f>
        <v>82.449469835759515</v>
      </c>
      <c r="F81" s="53">
        <f>SUM(E$11:E81)</f>
        <v>1990516.1603431047</v>
      </c>
      <c r="G81" s="206">
        <f t="shared" si="6"/>
        <v>34.319591819134899</v>
      </c>
      <c r="H81" s="206">
        <f>SUM(G$11:G81)</f>
        <v>828552.35174281686</v>
      </c>
      <c r="I81" s="206">
        <f t="shared" si="7"/>
        <v>17.149489725837977</v>
      </c>
      <c r="J81" s="206">
        <f>SUM(I$11:I81)</f>
        <v>414027.36135136575</v>
      </c>
      <c r="K81" s="206">
        <f t="shared" si="8"/>
        <v>10.306183729469939</v>
      </c>
      <c r="L81" s="206">
        <f>SUM(K$11:K81)</f>
        <v>248814.52004288809</v>
      </c>
      <c r="M81" s="206">
        <f t="shared" ca="1" si="5"/>
        <v>9.2269798342797235E-2</v>
      </c>
      <c r="N81" s="206">
        <f ca="1">SUM(M$11:M81)</f>
        <v>2227.6010395069789</v>
      </c>
    </row>
    <row r="82" spans="1:14">
      <c r="A82">
        <v>72</v>
      </c>
      <c r="B82">
        <v>2091</v>
      </c>
      <c r="C82" s="183">
        <f>IF($D$7&lt;=$D$6,0,($D$4+($D$5-$D$4)/(1+$D$8^((($D$6-2020)+($D$7-2020)/2-(B82-2020))/($D$7-2020))))/(Dashboard!$AA$7/100))</f>
        <v>1.5140742563392984E-5</v>
      </c>
      <c r="D82">
        <v>2091</v>
      </c>
      <c r="E82" s="53">
        <f>pop_calc!$C$24*'Disease Projections'!C82</f>
        <v>72.051478036565825</v>
      </c>
      <c r="F82" s="53">
        <f>SUM(E$11:E82)</f>
        <v>1990588.2118211414</v>
      </c>
      <c r="G82" s="206">
        <f t="shared" si="6"/>
        <v>29.991427732720521</v>
      </c>
      <c r="H82" s="206">
        <f>SUM(G$11:G82)</f>
        <v>828582.3431705496</v>
      </c>
      <c r="I82" s="206">
        <f t="shared" si="7"/>
        <v>14.986707431605691</v>
      </c>
      <c r="J82" s="206">
        <f>SUM(I$11:I82)</f>
        <v>414042.34805879736</v>
      </c>
      <c r="K82" s="206">
        <f t="shared" si="8"/>
        <v>9.0064347545707282</v>
      </c>
      <c r="L82" s="206">
        <f>SUM(K$11:K82)</f>
        <v>248823.52647764268</v>
      </c>
      <c r="M82" s="206">
        <f t="shared" ca="1" si="5"/>
        <v>8.0633330474746176E-2</v>
      </c>
      <c r="N82" s="206">
        <f ca="1">SUM(M$11:M82)</f>
        <v>2227.6816728374538</v>
      </c>
    </row>
    <row r="83" spans="1:14">
      <c r="A83">
        <v>73</v>
      </c>
      <c r="B83">
        <v>2092</v>
      </c>
      <c r="C83" s="183">
        <f>IF($D$7&lt;=$D$6,0,($D$4+($D$5-$D$4)/(1+$D$8^((($D$6-2020)+($D$7-2020)/2-(B83-2020))/($D$7-2020))))/(Dashboard!$AA$7/100))</f>
        <v>1.323113595954691E-5</v>
      </c>
      <c r="D83">
        <v>2092</v>
      </c>
      <c r="E83" s="53">
        <f>pop_calc!$C$24*'Disease Projections'!C83</f>
        <v>62.964078412708609</v>
      </c>
      <c r="F83" s="53">
        <f>SUM(E$11:E83)</f>
        <v>1990651.175899554</v>
      </c>
      <c r="G83" s="206">
        <f t="shared" si="6"/>
        <v>26.208797639289955</v>
      </c>
      <c r="H83" s="206">
        <f>SUM(G$11:G83)</f>
        <v>828608.55196818884</v>
      </c>
      <c r="I83" s="206">
        <f t="shared" si="7"/>
        <v>13.096528309843389</v>
      </c>
      <c r="J83" s="206">
        <f>SUM(I$11:I83)</f>
        <v>414055.44458710722</v>
      </c>
      <c r="K83" s="206">
        <f t="shared" si="8"/>
        <v>7.8705098015885762</v>
      </c>
      <c r="L83" s="206">
        <f>SUM(K$11:K83)</f>
        <v>248831.39698744426</v>
      </c>
      <c r="M83" s="206">
        <f t="shared" ca="1" si="5"/>
        <v>7.0463555794278182E-2</v>
      </c>
      <c r="N83" s="206">
        <f ca="1">SUM(M$11:M83)</f>
        <v>2227.7521363932483</v>
      </c>
    </row>
    <row r="84" spans="1:14">
      <c r="A84">
        <v>74</v>
      </c>
      <c r="B84">
        <v>2093</v>
      </c>
      <c r="C84" s="183">
        <f>IF($D$7&lt;=$D$6,0,($D$4+($D$5-$D$4)/(1+$D$8^((($D$6-2020)+($D$7-2020)/2-(B84-2020))/($D$7-2020))))/(Dashboard!$AA$7/100))</f>
        <v>1.156225806007884E-5</v>
      </c>
      <c r="D84">
        <v>2093</v>
      </c>
      <c r="E84" s="53">
        <f>pop_calc!$C$24*'Disease Projections'!C84</f>
        <v>55.022253973400041</v>
      </c>
      <c r="F84" s="53">
        <f>SUM(E$11:E84)</f>
        <v>1990706.1981535275</v>
      </c>
      <c r="G84" s="206">
        <f t="shared" si="6"/>
        <v>22.903013216427762</v>
      </c>
      <c r="H84" s="206">
        <f>SUM(G$11:G84)</f>
        <v>828631.45498140529</v>
      </c>
      <c r="I84" s="206">
        <f t="shared" si="7"/>
        <v>11.444628826467207</v>
      </c>
      <c r="J84" s="206">
        <f>SUM(I$11:I84)</f>
        <v>414066.88921593368</v>
      </c>
      <c r="K84" s="206">
        <f t="shared" si="8"/>
        <v>6.8777817466750051</v>
      </c>
      <c r="L84" s="206">
        <f>SUM(K$11:K84)</f>
        <v>248838.27476919093</v>
      </c>
      <c r="M84" s="206">
        <f t="shared" ca="1" si="5"/>
        <v>6.1575802592849116E-2</v>
      </c>
      <c r="N84" s="206">
        <f ca="1">SUM(M$11:M84)</f>
        <v>2227.8137121958412</v>
      </c>
    </row>
    <row r="85" spans="1:14">
      <c r="A85">
        <v>75</v>
      </c>
      <c r="B85">
        <v>2094</v>
      </c>
      <c r="C85" s="183">
        <f>IF($D$7&lt;=$D$6,0,($D$4+($D$5-$D$4)/(1+$D$8^((($D$6-2020)+($D$7-2020)/2-(B85-2020))/($D$7-2020))))/(Dashboard!$AA$7/100))</f>
        <v>1.0103790022514423E-5</v>
      </c>
      <c r="D85">
        <v>2094</v>
      </c>
      <c r="E85" s="53">
        <f>pop_calc!$C$24*'Disease Projections'!C85</f>
        <v>48.081723987131205</v>
      </c>
      <c r="F85" s="53">
        <f>SUM(E$11:E85)</f>
        <v>1990754.2798775146</v>
      </c>
      <c r="G85" s="206">
        <f t="shared" si="6"/>
        <v>20.014017609643364</v>
      </c>
      <c r="H85" s="206">
        <f>SUM(G$11:G85)</f>
        <v>828651.46899901493</v>
      </c>
      <c r="I85" s="206">
        <f t="shared" si="7"/>
        <v>10.00099858932329</v>
      </c>
      <c r="J85" s="206">
        <f>SUM(I$11:I85)</f>
        <v>414076.89021452301</v>
      </c>
      <c r="K85" s="206">
        <f t="shared" si="8"/>
        <v>6.0102154983914007</v>
      </c>
      <c r="L85" s="206">
        <f>SUM(K$11:K85)</f>
        <v>248844.28498468932</v>
      </c>
      <c r="M85" s="206">
        <f t="shared" ca="1" si="5"/>
        <v>5.3808605259732835E-2</v>
      </c>
      <c r="N85" s="206">
        <f ca="1">SUM(M$11:M85)</f>
        <v>2227.8675208011009</v>
      </c>
    </row>
    <row r="86" spans="1:14">
      <c r="A86">
        <v>76</v>
      </c>
      <c r="B86">
        <v>2095</v>
      </c>
      <c r="C86" s="183">
        <f>IF($D$7&lt;=$D$6,0,($D$4+($D$5-$D$4)/(1+$D$8^((($D$6-2020)+($D$7-2020)/2-(B86-2020))/($D$7-2020))))/(Dashboard!$AA$7/100))</f>
        <v>8.829224952525445E-6</v>
      </c>
      <c r="D86">
        <v>2095</v>
      </c>
      <c r="E86" s="53">
        <f>pop_calc!$C$24*'Disease Projections'!C86</f>
        <v>42.01634794880399</v>
      </c>
      <c r="F86" s="53">
        <f>SUM(E$11:E86)</f>
        <v>1990796.2962254633</v>
      </c>
      <c r="G86" s="206">
        <f t="shared" si="6"/>
        <v>17.489304833689658</v>
      </c>
      <c r="H86" s="206">
        <f>SUM(G$11:G86)</f>
        <v>828668.95830384863</v>
      </c>
      <c r="I86" s="206">
        <f t="shared" si="7"/>
        <v>8.7394003733512289</v>
      </c>
      <c r="J86" s="206">
        <f>SUM(I$11:I86)</f>
        <v>414085.62961489637</v>
      </c>
      <c r="K86" s="206">
        <f t="shared" si="8"/>
        <v>5.2520434936004987</v>
      </c>
      <c r="L86" s="206">
        <f>SUM(K$11:K86)</f>
        <v>248849.53702818291</v>
      </c>
      <c r="M86" s="206">
        <f t="shared" ca="1" si="5"/>
        <v>4.7020799042852127E-2</v>
      </c>
      <c r="N86" s="206">
        <f ca="1">SUM(M$11:M86)</f>
        <v>2227.9145416001438</v>
      </c>
    </row>
    <row r="87" spans="1:14">
      <c r="A87">
        <v>77</v>
      </c>
      <c r="B87">
        <v>2096</v>
      </c>
      <c r="C87" s="183">
        <f>IF($D$7&lt;=$D$6,0,($D$4+($D$5-$D$4)/(1+$D$8^((($D$6-2020)+($D$7-2020)/2-(B87-2020))/($D$7-2020))))/(Dashboard!$AA$7/100))</f>
        <v>7.7153901917003645E-6</v>
      </c>
      <c r="D87">
        <v>2096</v>
      </c>
      <c r="E87" s="53">
        <f>pop_calc!$C$24*'Disease Projections'!C87</f>
        <v>36.715852251850052</v>
      </c>
      <c r="F87" s="53">
        <f>SUM(E$11:E87)</f>
        <v>1990833.012077715</v>
      </c>
      <c r="G87" s="206">
        <f t="shared" si="6"/>
        <v>15.282973499832583</v>
      </c>
      <c r="H87" s="206">
        <f>SUM(G$11:G87)</f>
        <v>828684.24127734848</v>
      </c>
      <c r="I87" s="206">
        <f t="shared" si="7"/>
        <v>7.6368972683848106</v>
      </c>
      <c r="J87" s="206">
        <f>SUM(I$11:I87)</f>
        <v>414093.26651216473</v>
      </c>
      <c r="K87" s="206">
        <f t="shared" si="8"/>
        <v>4.5894815314812565</v>
      </c>
      <c r="L87" s="206">
        <f>SUM(K$11:K87)</f>
        <v>248854.12650971438</v>
      </c>
      <c r="M87" s="206">
        <f t="shared" ca="1" si="5"/>
        <v>4.1088975951096049E-2</v>
      </c>
      <c r="N87" s="206">
        <f ca="1">SUM(M$11:M87)</f>
        <v>2227.9556305760948</v>
      </c>
    </row>
    <row r="88" spans="1:14">
      <c r="A88">
        <v>78</v>
      </c>
      <c r="B88">
        <v>2097</v>
      </c>
      <c r="C88" s="183">
        <f>IF($D$7&lt;=$D$6,0,($D$4+($D$5-$D$4)/(1+$D$8^((($D$6-2020)+($D$7-2020)/2-(B88-2020))/($D$7-2020))))/(Dashboard!$AA$7/100))</f>
        <v>6.7420291030190771E-6</v>
      </c>
      <c r="D88">
        <v>2097</v>
      </c>
      <c r="E88" s="53">
        <f>pop_calc!$C$24*'Disease Projections'!C88</f>
        <v>32.083839996894227</v>
      </c>
      <c r="F88" s="53">
        <f>SUM(E$11:E88)</f>
        <v>1990865.095917712</v>
      </c>
      <c r="G88" s="206">
        <f t="shared" si="6"/>
        <v>13.354898398707221</v>
      </c>
      <c r="H88" s="206">
        <f>SUM(G$11:G88)</f>
        <v>828697.59617574723</v>
      </c>
      <c r="I88" s="206">
        <f t="shared" si="7"/>
        <v>6.6734387193539986</v>
      </c>
      <c r="J88" s="206">
        <f>SUM(I$11:I88)</f>
        <v>414099.93995088409</v>
      </c>
      <c r="K88" s="206">
        <f t="shared" si="8"/>
        <v>4.0104799996117784</v>
      </c>
      <c r="L88" s="206">
        <f>SUM(K$11:K88)</f>
        <v>248858.136989714</v>
      </c>
      <c r="M88" s="206">
        <f t="shared" ca="1" si="5"/>
        <v>3.5905257516793007E-2</v>
      </c>
      <c r="N88" s="206">
        <f ca="1">SUM(M$11:M88)</f>
        <v>2227.9915358336116</v>
      </c>
    </row>
    <row r="89" spans="1:14">
      <c r="A89">
        <v>79</v>
      </c>
      <c r="B89">
        <v>2098</v>
      </c>
      <c r="C89" s="183">
        <f>IF($D$7&lt;=$D$6,0,($D$4+($D$5-$D$4)/(1+$D$8^((($D$6-2020)+($D$7-2020)/2-(B89-2020))/($D$7-2020))))/(Dashboard!$AA$7/100))</f>
        <v>5.8914350312805692E-6</v>
      </c>
      <c r="D89">
        <v>2098</v>
      </c>
      <c r="E89" s="53">
        <f>pop_calc!$C$24*'Disease Projections'!C89</f>
        <v>28.036049089592378</v>
      </c>
      <c r="F89" s="53">
        <f>SUM(E$11:E89)</f>
        <v>1990893.1319668016</v>
      </c>
      <c r="G89" s="206">
        <f t="shared" si="6"/>
        <v>11.670005433542826</v>
      </c>
      <c r="H89" s="206">
        <f>SUM(G$11:G89)</f>
        <v>828709.26618118072</v>
      </c>
      <c r="I89" s="206">
        <f t="shared" si="7"/>
        <v>5.831498210635214</v>
      </c>
      <c r="J89" s="206">
        <f>SUM(I$11:I89)</f>
        <v>414105.7714490947</v>
      </c>
      <c r="K89" s="206">
        <f t="shared" si="8"/>
        <v>3.5045061361990473</v>
      </c>
      <c r="L89" s="206">
        <f>SUM(K$11:K89)</f>
        <v>248861.6414958502</v>
      </c>
      <c r="M89" s="206">
        <f t="shared" ca="1" si="5"/>
        <v>3.1375345420395724E-2</v>
      </c>
      <c r="N89" s="206">
        <f ca="1">SUM(M$11:M89)</f>
        <v>2228.0229111790318</v>
      </c>
    </row>
    <row r="90" spans="1:14">
      <c r="A90">
        <v>80</v>
      </c>
      <c r="B90">
        <v>2099</v>
      </c>
      <c r="C90" s="183">
        <f>IF($D$7&lt;=$D$6,0,($D$4+($D$5-$D$4)/(1+$D$8^((($D$6-2020)+($D$7-2020)/2-(B90-2020))/($D$7-2020))))/(Dashboard!$AA$7/100))</f>
        <v>5.1481309962313451E-6</v>
      </c>
      <c r="D90">
        <v>2099</v>
      </c>
      <c r="E90" s="53">
        <f>pop_calc!$C$24*'Disease Projections'!C90</f>
        <v>24.498827970376798</v>
      </c>
      <c r="F90" s="53">
        <f>SUM(E$11:E90)</f>
        <v>1990917.6307947719</v>
      </c>
      <c r="G90" s="206">
        <f t="shared" si="6"/>
        <v>10.19763714266934</v>
      </c>
      <c r="H90" s="206">
        <f>SUM(G$11:G90)</f>
        <v>828719.46381832333</v>
      </c>
      <c r="I90" s="206">
        <f t="shared" si="7"/>
        <v>5.0957562178383737</v>
      </c>
      <c r="J90" s="206">
        <f>SUM(I$11:I90)</f>
        <v>414110.86720531253</v>
      </c>
      <c r="K90" s="206">
        <f t="shared" si="8"/>
        <v>3.0623534962970997</v>
      </c>
      <c r="L90" s="206">
        <f>SUM(K$11:K90)</f>
        <v>248864.70384934649</v>
      </c>
      <c r="M90" s="206">
        <f t="shared" ca="1" si="5"/>
        <v>2.7416815668608891E-2</v>
      </c>
      <c r="N90" s="206">
        <f ca="1">SUM(M$11:M90)</f>
        <v>2228.0503279947002</v>
      </c>
    </row>
    <row r="91" spans="1:14">
      <c r="A91">
        <v>81</v>
      </c>
      <c r="B91">
        <v>2100</v>
      </c>
      <c r="C91" s="183">
        <f>IF($D$7&lt;=$D$6,0,($D$4+($D$5-$D$4)/(1+$D$8^((($D$6-2020)+($D$7-2020)/2-(B91-2020))/($D$7-2020))))/(Dashboard!$AA$7/100))</f>
        <v>4.498589455530517E-6</v>
      </c>
      <c r="D91">
        <v>2100</v>
      </c>
      <c r="E91" s="53">
        <f>pop_calc!$C$24*'Disease Projections'!C91</f>
        <v>21.40780202777897</v>
      </c>
      <c r="F91" s="53">
        <f>SUM(E$11:E91)</f>
        <v>1990939.0385967998</v>
      </c>
      <c r="G91" s="206">
        <f t="shared" si="6"/>
        <v>8.9109975940629962</v>
      </c>
      <c r="H91" s="206">
        <f>SUM(G$11:G91)</f>
        <v>828728.37481591734</v>
      </c>
      <c r="I91" s="206">
        <f t="shared" si="7"/>
        <v>4.4528228217780255</v>
      </c>
      <c r="J91" s="206">
        <f>SUM(I$11:I91)</f>
        <v>414115.32002813433</v>
      </c>
      <c r="K91" s="206">
        <f t="shared" si="8"/>
        <v>2.6759752534723713</v>
      </c>
      <c r="L91" s="206">
        <f>SUM(K$11:K91)</f>
        <v>248867.37982459998</v>
      </c>
      <c r="M91" s="206">
        <f t="shared" ca="1" si="5"/>
        <v>2.3957626167888085E-2</v>
      </c>
      <c r="N91" s="206">
        <f ca="1">SUM(M$11:M91)</f>
        <v>2228.0742856208681</v>
      </c>
    </row>
    <row r="92" spans="1:14">
      <c r="E92" s="53">
        <f>SUM(E11:E91)</f>
        <v>1990939.0385967998</v>
      </c>
      <c r="F92" s="53"/>
      <c r="G92" s="38">
        <f>SUM(G11:G91)</f>
        <v>828728.37481591734</v>
      </c>
      <c r="H92" s="38"/>
      <c r="I92" s="38">
        <f>SUM(I11:I91)</f>
        <v>414115.32002813433</v>
      </c>
      <c r="J92" s="38"/>
      <c r="K92" s="38">
        <f>SUM(K11:K91)</f>
        <v>248867.37982459998</v>
      </c>
      <c r="L92" s="38"/>
      <c r="M92" s="38">
        <f ca="1">SUM(M11:M91)</f>
        <v>2228.0742856208681</v>
      </c>
      <c r="N92" s="38"/>
    </row>
    <row r="104" spans="23:23">
      <c r="W104" s="274"/>
    </row>
    <row r="105" spans="23:23">
      <c r="W105" s="274"/>
    </row>
    <row r="106" spans="23:23">
      <c r="W106" s="274"/>
    </row>
    <row r="107" spans="23:23">
      <c r="W107" s="274"/>
    </row>
  </sheetData>
  <pageMargins left="0.7" right="0.7" top="0.75" bottom="0.75" header="0.3" footer="0.3"/>
  <ignoredErrors>
    <ignoredError sqref="K11:K92 I11:I92 G11:G92 M11:M92" 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476FB-5D60-854C-AE19-8A59664BBE8F}">
  <sheetPr codeName="Sheet4">
    <tabColor theme="4"/>
  </sheetPr>
  <dimension ref="A2:R34"/>
  <sheetViews>
    <sheetView showGridLines="0" workbookViewId="0">
      <selection activeCell="C17" sqref="C17"/>
    </sheetView>
  </sheetViews>
  <sheetFormatPr baseColWidth="10" defaultRowHeight="14"/>
  <cols>
    <col min="2" max="2" width="41" customWidth="1"/>
    <col min="3" max="3" width="23.1640625" customWidth="1"/>
    <col min="4" max="4" width="17.83203125" customWidth="1"/>
    <col min="8" max="8" width="16.33203125" customWidth="1"/>
  </cols>
  <sheetData>
    <row r="2" spans="1:18" ht="18">
      <c r="A2" s="168"/>
      <c r="B2" s="168" t="s">
        <v>591</v>
      </c>
      <c r="C2" s="173">
        <f>SUM(C5:C17)</f>
        <v>33358529181.640682</v>
      </c>
      <c r="D2" s="175">
        <f>SUM(D5:D17)</f>
        <v>3335852.9181640688</v>
      </c>
      <c r="E2" s="176">
        <f>SUM(E5:E17)</f>
        <v>1</v>
      </c>
    </row>
    <row r="3" spans="1:18" ht="18">
      <c r="A3" s="168"/>
      <c r="B3" s="168"/>
      <c r="C3" s="168"/>
      <c r="D3" s="168"/>
      <c r="E3" s="168"/>
    </row>
    <row r="4" spans="1:18" ht="18">
      <c r="A4" s="168"/>
      <c r="B4" s="169" t="s">
        <v>31</v>
      </c>
      <c r="C4" s="170" t="s">
        <v>448</v>
      </c>
      <c r="D4" s="170" t="s">
        <v>449</v>
      </c>
      <c r="E4" s="171" t="s">
        <v>453</v>
      </c>
      <c r="H4" s="182" t="s">
        <v>455</v>
      </c>
      <c r="J4" t="s">
        <v>477</v>
      </c>
    </row>
    <row r="5" spans="1:18" ht="18">
      <c r="A5" s="168"/>
      <c r="B5" s="222" t="s">
        <v>859</v>
      </c>
      <c r="C5" s="174">
        <f>'Country details'!C40</f>
        <v>407000000</v>
      </c>
      <c r="D5" s="179">
        <f>C5*Assumptions!$G$57</f>
        <v>40700</v>
      </c>
      <c r="E5" s="180">
        <f>D5/$D$2</f>
        <v>1.2200777731651246E-2</v>
      </c>
      <c r="G5" s="212">
        <v>2001</v>
      </c>
      <c r="H5" s="213">
        <v>10.1176756475655</v>
      </c>
      <c r="J5" s="200" t="s">
        <v>45</v>
      </c>
      <c r="K5" s="89" t="s">
        <v>478</v>
      </c>
      <c r="L5" s="89" t="s">
        <v>479</v>
      </c>
      <c r="M5" s="89" t="s">
        <v>501</v>
      </c>
      <c r="N5" s="202" t="s">
        <v>502</v>
      </c>
      <c r="O5" s="201" t="s">
        <v>503</v>
      </c>
    </row>
    <row r="6" spans="1:18" ht="18">
      <c r="A6" s="168"/>
      <c r="B6" s="222" t="s">
        <v>852</v>
      </c>
      <c r="C6" s="174">
        <f>'Country details'!C41</f>
        <v>1523000000</v>
      </c>
      <c r="D6" s="179">
        <f>C6*Assumptions!$G$57</f>
        <v>152300</v>
      </c>
      <c r="E6" s="180">
        <f t="shared" ref="E6:E17" si="0">D6/$D$2</f>
        <v>4.5655490135884151E-2</v>
      </c>
      <c r="G6" s="214">
        <v>2002</v>
      </c>
      <c r="H6" s="215">
        <v>10.011767600000001</v>
      </c>
      <c r="J6" s="191" t="s">
        <v>481</v>
      </c>
      <c r="K6" s="196">
        <f>'Country details'!C15</f>
        <v>580904</v>
      </c>
      <c r="L6" s="196">
        <f>'Country details'!D15</f>
        <v>577747</v>
      </c>
      <c r="M6" s="198">
        <f>K6+L6</f>
        <v>1158651</v>
      </c>
      <c r="N6" s="203">
        <f>M6/$C$20</f>
        <v>0.14524923890417243</v>
      </c>
      <c r="O6" s="192">
        <v>0</v>
      </c>
      <c r="P6" cm="1">
        <f t="array" ref="P6:P26">IF(start_ageset&lt;start_age,0+tot_population, start_age+tot_population)</f>
        <v>1158651</v>
      </c>
    </row>
    <row r="7" spans="1:18" ht="18">
      <c r="A7" s="168"/>
      <c r="B7" s="222" t="s">
        <v>860</v>
      </c>
      <c r="C7" s="174">
        <f>'Country details'!C42</f>
        <v>25126363680.000004</v>
      </c>
      <c r="D7" s="179">
        <f>C7*Assumptions!$G$57</f>
        <v>2512636.3680000007</v>
      </c>
      <c r="E7" s="180">
        <f t="shared" si="0"/>
        <v>0.75322156870839008</v>
      </c>
      <c r="G7" s="214">
        <f t="shared" ref="G7:G24" si="1">G6+1</f>
        <v>2003</v>
      </c>
      <c r="H7" s="215">
        <v>9.9058595524344994</v>
      </c>
      <c r="J7" s="193" t="s">
        <v>480</v>
      </c>
      <c r="K7" s="196">
        <f>'Country details'!C16</f>
        <v>534486</v>
      </c>
      <c r="L7" s="196">
        <f>'Country details'!D16</f>
        <v>532748</v>
      </c>
      <c r="M7" s="198">
        <f t="shared" ref="M7:M26" si="2">K7+L7</f>
        <v>1067234</v>
      </c>
      <c r="N7" s="203">
        <f t="shared" ref="N7:N26" si="3">M7/$C$20</f>
        <v>0.13378914464550204</v>
      </c>
      <c r="O7" s="192">
        <v>5</v>
      </c>
      <c r="P7">
        <v>1067234</v>
      </c>
    </row>
    <row r="8" spans="1:18" ht="18">
      <c r="A8" s="168"/>
      <c r="B8" s="222" t="s">
        <v>855</v>
      </c>
      <c r="C8" s="174">
        <f>'Country details'!C43</f>
        <v>0</v>
      </c>
      <c r="D8" s="179">
        <f>C8*Assumptions!$G$57</f>
        <v>0</v>
      </c>
      <c r="E8" s="180">
        <f t="shared" si="0"/>
        <v>0</v>
      </c>
      <c r="G8" s="214">
        <f t="shared" si="1"/>
        <v>2004</v>
      </c>
      <c r="H8" s="215">
        <v>9.799951504869</v>
      </c>
      <c r="J8" s="193" t="s">
        <v>482</v>
      </c>
      <c r="K8" s="196">
        <f>'Country details'!C17</f>
        <v>496964</v>
      </c>
      <c r="L8" s="196">
        <f>'Country details'!D17</f>
        <v>495355</v>
      </c>
      <c r="M8" s="198">
        <f t="shared" si="2"/>
        <v>992319</v>
      </c>
      <c r="N8" s="203">
        <f t="shared" si="3"/>
        <v>0.1243977517821583</v>
      </c>
      <c r="O8" s="192">
        <v>10</v>
      </c>
      <c r="P8">
        <v>992319</v>
      </c>
    </row>
    <row r="9" spans="1:18" ht="18">
      <c r="A9" s="168"/>
      <c r="B9" s="222" t="s">
        <v>947</v>
      </c>
      <c r="C9" s="174">
        <f>'Country details'!C44</f>
        <v>0</v>
      </c>
      <c r="D9" s="179">
        <f>C9*Assumptions!$G$57</f>
        <v>0</v>
      </c>
      <c r="E9" s="180">
        <f t="shared" si="0"/>
        <v>0</v>
      </c>
      <c r="G9" s="214">
        <f t="shared" si="1"/>
        <v>2005</v>
      </c>
      <c r="H9" s="215">
        <v>9.6940434573035006</v>
      </c>
      <c r="J9" s="191" t="s">
        <v>483</v>
      </c>
      <c r="K9" s="196">
        <f>'Country details'!C18</f>
        <v>438908</v>
      </c>
      <c r="L9" s="196">
        <f>'Country details'!D18</f>
        <v>435969</v>
      </c>
      <c r="M9" s="198">
        <f t="shared" si="2"/>
        <v>874877</v>
      </c>
      <c r="N9" s="203">
        <f t="shared" si="3"/>
        <v>0.10967514668762697</v>
      </c>
      <c r="O9" s="192">
        <v>15</v>
      </c>
      <c r="P9">
        <v>874892</v>
      </c>
      <c r="R9">
        <f>start_age</f>
        <v>15</v>
      </c>
    </row>
    <row r="10" spans="1:18" ht="18">
      <c r="A10" s="168"/>
      <c r="B10" s="222" t="s">
        <v>28</v>
      </c>
      <c r="C10" s="174">
        <f>'Country details'!C45</f>
        <v>31507548.250847463</v>
      </c>
      <c r="D10" s="179">
        <f>C10*Assumptions!$G$57</f>
        <v>3150.7548250847462</v>
      </c>
      <c r="E10" s="180">
        <f t="shared" si="0"/>
        <v>9.4451251370483269E-4</v>
      </c>
      <c r="G10" s="214">
        <f t="shared" si="1"/>
        <v>2006</v>
      </c>
      <c r="H10" s="215">
        <v>9.5881354097379994</v>
      </c>
      <c r="J10" s="191" t="s">
        <v>484</v>
      </c>
      <c r="K10" s="196">
        <f>'Country details'!C19</f>
        <v>378242</v>
      </c>
      <c r="L10" s="196">
        <f>'Country details'!D19</f>
        <v>375779</v>
      </c>
      <c r="M10" s="198">
        <f t="shared" si="2"/>
        <v>754021</v>
      </c>
      <c r="N10" s="203">
        <f t="shared" si="3"/>
        <v>9.4524560344541209E-2</v>
      </c>
      <c r="O10" s="192">
        <v>20</v>
      </c>
      <c r="P10">
        <v>754036</v>
      </c>
    </row>
    <row r="11" spans="1:18" ht="18">
      <c r="A11" s="168"/>
      <c r="B11" s="222" t="s">
        <v>856</v>
      </c>
      <c r="C11" s="174">
        <f>'Country details'!C46</f>
        <v>244080000</v>
      </c>
      <c r="D11" s="179">
        <f>C11*Assumptions!$G$57</f>
        <v>24408</v>
      </c>
      <c r="E11" s="180">
        <f t="shared" si="0"/>
        <v>7.3168693580870671E-3</v>
      </c>
      <c r="G11" s="214">
        <f t="shared" si="1"/>
        <v>2007</v>
      </c>
      <c r="H11" s="215">
        <v>9.4822273621725</v>
      </c>
      <c r="J11" s="191" t="s">
        <v>485</v>
      </c>
      <c r="K11" s="196">
        <f>'Country details'!C20</f>
        <v>328581</v>
      </c>
      <c r="L11" s="196">
        <f>'Country details'!D20</f>
        <v>322912</v>
      </c>
      <c r="M11" s="198">
        <f t="shared" si="2"/>
        <v>651493</v>
      </c>
      <c r="N11" s="203">
        <f t="shared" si="3"/>
        <v>8.1671583938041747E-2</v>
      </c>
      <c r="O11" s="192">
        <v>25</v>
      </c>
      <c r="P11">
        <v>651508</v>
      </c>
    </row>
    <row r="12" spans="1:18" ht="18">
      <c r="A12" s="168"/>
      <c r="B12" s="222" t="s">
        <v>450</v>
      </c>
      <c r="C12" s="174">
        <f>'Country details'!C47</f>
        <v>211000000</v>
      </c>
      <c r="D12" s="179">
        <f>C12*Assumptions!$G$57</f>
        <v>21100</v>
      </c>
      <c r="E12" s="180">
        <f t="shared" si="0"/>
        <v>6.3252189223056829E-3</v>
      </c>
      <c r="G12" s="214">
        <f t="shared" si="1"/>
        <v>2008</v>
      </c>
      <c r="H12" s="215">
        <v>9.3763193146070005</v>
      </c>
      <c r="J12" s="191" t="s">
        <v>486</v>
      </c>
      <c r="K12" s="196">
        <f>'Country details'!C21</f>
        <v>281481</v>
      </c>
      <c r="L12" s="196">
        <f>'Country details'!D21</f>
        <v>272412</v>
      </c>
      <c r="M12" s="198">
        <f t="shared" si="2"/>
        <v>553893</v>
      </c>
      <c r="N12" s="203">
        <f t="shared" si="3"/>
        <v>6.9436384799520121E-2</v>
      </c>
      <c r="O12" s="192">
        <v>30</v>
      </c>
      <c r="P12">
        <v>553908</v>
      </c>
    </row>
    <row r="13" spans="1:18" ht="18">
      <c r="A13" s="168"/>
      <c r="B13" s="222" t="s">
        <v>946</v>
      </c>
      <c r="C13" s="174">
        <f>'Country details'!C48</f>
        <v>1300000000</v>
      </c>
      <c r="D13" s="179">
        <f>C13*Assumptions!$G$57</f>
        <v>130000</v>
      </c>
      <c r="E13" s="180">
        <f t="shared" si="0"/>
        <v>3.8970543123210369E-2</v>
      </c>
      <c r="G13" s="214">
        <f t="shared" si="1"/>
        <v>2009</v>
      </c>
      <c r="H13" s="215">
        <v>9.2704112670414993</v>
      </c>
      <c r="J13" s="191" t="s">
        <v>487</v>
      </c>
      <c r="K13" s="196">
        <f>'Country details'!C22</f>
        <v>236247</v>
      </c>
      <c r="L13" s="196">
        <f>'Country details'!D22</f>
        <v>226910</v>
      </c>
      <c r="M13" s="198">
        <f t="shared" si="2"/>
        <v>463157</v>
      </c>
      <c r="N13" s="203">
        <f t="shared" si="3"/>
        <v>5.8061661141396152E-2</v>
      </c>
      <c r="O13" s="192">
        <v>35</v>
      </c>
      <c r="P13">
        <v>463172</v>
      </c>
      <c r="R13" cm="1">
        <f t="array" ref="R13">SUM(M6:M26,--(M6:M26&gt;P6:P26))</f>
        <v>7976985</v>
      </c>
    </row>
    <row r="14" spans="1:18" ht="18">
      <c r="A14" s="168"/>
      <c r="B14" s="222" t="s">
        <v>451</v>
      </c>
      <c r="C14" s="174">
        <f>'Country details'!C49</f>
        <v>60000000</v>
      </c>
      <c r="D14" s="179">
        <f>C14*Assumptions!$G$57</f>
        <v>6000</v>
      </c>
      <c r="E14" s="180">
        <f t="shared" si="0"/>
        <v>1.7986404518404787E-3</v>
      </c>
      <c r="G14" s="214">
        <f t="shared" si="1"/>
        <v>2010</v>
      </c>
      <c r="H14" s="215">
        <v>9.1645032194760105</v>
      </c>
      <c r="J14" s="191" t="s">
        <v>488</v>
      </c>
      <c r="K14" s="196">
        <f>'Country details'!C23</f>
        <v>189857</v>
      </c>
      <c r="L14" s="196">
        <f>'Country details'!D23</f>
        <v>183262</v>
      </c>
      <c r="M14" s="198">
        <f t="shared" si="2"/>
        <v>373119</v>
      </c>
      <c r="N14" s="203">
        <f t="shared" si="3"/>
        <v>4.6774439214816124E-2</v>
      </c>
      <c r="O14" s="192">
        <v>40</v>
      </c>
      <c r="P14">
        <v>373134</v>
      </c>
    </row>
    <row r="15" spans="1:18" ht="18">
      <c r="A15" s="168"/>
      <c r="B15" s="222" t="s">
        <v>858</v>
      </c>
      <c r="C15" s="174">
        <f>'Country details'!C50</f>
        <v>623130000</v>
      </c>
      <c r="D15" s="179">
        <f>C15*Assumptions!$G$57</f>
        <v>62313</v>
      </c>
      <c r="E15" s="180">
        <f t="shared" si="0"/>
        <v>1.8679780412589293E-2</v>
      </c>
      <c r="G15" s="214">
        <f t="shared" si="1"/>
        <v>2011</v>
      </c>
      <c r="H15" s="215">
        <v>9.0585951719105093</v>
      </c>
      <c r="J15" s="191" t="s">
        <v>489</v>
      </c>
      <c r="K15" s="196">
        <f>'Country details'!C24</f>
        <v>150419</v>
      </c>
      <c r="L15" s="196">
        <f>'Country details'!D24</f>
        <v>149356</v>
      </c>
      <c r="M15" s="198">
        <f t="shared" si="2"/>
        <v>299775</v>
      </c>
      <c r="N15" s="203">
        <f t="shared" si="3"/>
        <v>3.7579987927769704E-2</v>
      </c>
      <c r="O15" s="192">
        <v>45</v>
      </c>
      <c r="P15">
        <v>299790</v>
      </c>
    </row>
    <row r="16" spans="1:18" ht="18">
      <c r="A16" s="168"/>
      <c r="B16" s="222" t="s">
        <v>857</v>
      </c>
      <c r="C16" s="174">
        <f>'Country details'!C51</f>
        <v>0</v>
      </c>
      <c r="D16" s="179">
        <f>C16*Assumptions!$G$57</f>
        <v>0</v>
      </c>
      <c r="E16" s="180">
        <f t="shared" si="0"/>
        <v>0</v>
      </c>
      <c r="G16" s="214">
        <f t="shared" si="1"/>
        <v>2012</v>
      </c>
      <c r="H16" s="215">
        <v>8.9526871243450099</v>
      </c>
      <c r="J16" s="191" t="s">
        <v>490</v>
      </c>
      <c r="K16" s="196">
        <f>'Country details'!C25</f>
        <v>116214</v>
      </c>
      <c r="L16" s="196">
        <f>'Country details'!D25</f>
        <v>120179</v>
      </c>
      <c r="M16" s="198">
        <f t="shared" si="2"/>
        <v>236393</v>
      </c>
      <c r="N16" s="203">
        <f t="shared" si="3"/>
        <v>2.9634379405251484E-2</v>
      </c>
      <c r="O16" s="192">
        <v>50</v>
      </c>
      <c r="P16">
        <v>236408</v>
      </c>
    </row>
    <row r="17" spans="1:18" ht="18">
      <c r="A17" s="168"/>
      <c r="B17" s="222" t="s">
        <v>949</v>
      </c>
      <c r="C17" s="174">
        <f>'Country details'!C52</f>
        <v>3832447953.3898306</v>
      </c>
      <c r="D17" s="178">
        <f>C17*Assumptions!$G$57</f>
        <v>383244.79533898307</v>
      </c>
      <c r="E17" s="181">
        <f t="shared" si="0"/>
        <v>0.1148865986423367</v>
      </c>
      <c r="G17" s="214">
        <f t="shared" si="1"/>
        <v>2013</v>
      </c>
      <c r="H17" s="215">
        <v>8.8467790767795105</v>
      </c>
      <c r="J17" s="191" t="s">
        <v>491</v>
      </c>
      <c r="K17" s="196">
        <f>'Country details'!C26</f>
        <v>87252</v>
      </c>
      <c r="L17" s="196">
        <f>'Country details'!D26</f>
        <v>95488</v>
      </c>
      <c r="M17" s="198">
        <f t="shared" si="2"/>
        <v>182740</v>
      </c>
      <c r="N17" s="203">
        <f t="shared" si="3"/>
        <v>2.2908404616531184E-2</v>
      </c>
      <c r="O17" s="192">
        <v>55</v>
      </c>
      <c r="P17">
        <v>182755</v>
      </c>
    </row>
    <row r="18" spans="1:18" ht="18">
      <c r="A18" s="168"/>
      <c r="B18" s="168"/>
      <c r="C18" s="168"/>
      <c r="D18" s="168"/>
      <c r="E18" s="168"/>
      <c r="G18" s="214">
        <f t="shared" si="1"/>
        <v>2014</v>
      </c>
      <c r="H18" s="215">
        <v>8.7408710292140093</v>
      </c>
      <c r="J18" s="191" t="s">
        <v>492</v>
      </c>
      <c r="K18" s="196">
        <f>'Country details'!C27</f>
        <v>62380</v>
      </c>
      <c r="L18" s="196">
        <f>'Country details'!D27</f>
        <v>73419</v>
      </c>
      <c r="M18" s="198">
        <f t="shared" si="2"/>
        <v>135799</v>
      </c>
      <c r="N18" s="203">
        <f t="shared" si="3"/>
        <v>1.7023850489878069E-2</v>
      </c>
      <c r="O18" s="192">
        <v>60</v>
      </c>
      <c r="P18">
        <v>135814</v>
      </c>
    </row>
    <row r="19" spans="1:18" ht="18">
      <c r="A19" s="168"/>
      <c r="B19" s="168"/>
      <c r="C19" s="168"/>
      <c r="D19" s="168"/>
      <c r="E19" s="168"/>
      <c r="G19" s="214">
        <f t="shared" si="1"/>
        <v>2015</v>
      </c>
      <c r="H19" s="215">
        <v>8.6349629816485098</v>
      </c>
      <c r="J19" s="191" t="s">
        <v>493</v>
      </c>
      <c r="K19" s="196">
        <f>'Country details'!C28</f>
        <v>43161</v>
      </c>
      <c r="L19" s="196">
        <f>'Country details'!D28</f>
        <v>55065</v>
      </c>
      <c r="M19" s="198">
        <f t="shared" si="2"/>
        <v>98226</v>
      </c>
      <c r="N19" s="203">
        <f t="shared" si="3"/>
        <v>1.2313674903487972E-2</v>
      </c>
      <c r="O19" s="192">
        <v>65</v>
      </c>
      <c r="P19">
        <v>98241</v>
      </c>
      <c r="R19" cm="1">
        <f t="array" ref="R19">SUMPRODUCT((M6:M26&lt;&gt;P6:P26)*(M6:M26))</f>
        <v>4758781</v>
      </c>
    </row>
    <row r="20" spans="1:18" ht="18">
      <c r="A20" s="168"/>
      <c r="B20" s="172" t="s">
        <v>454</v>
      </c>
      <c r="C20" s="177">
        <f>SUM(M6:M26)</f>
        <v>7976985</v>
      </c>
      <c r="D20" s="168"/>
      <c r="E20" s="168"/>
      <c r="G20" s="214">
        <f t="shared" si="1"/>
        <v>2016</v>
      </c>
      <c r="H20" s="215">
        <v>8.5290549340830104</v>
      </c>
      <c r="J20" s="191" t="s">
        <v>494</v>
      </c>
      <c r="K20" s="196">
        <f>'Country details'!C29</f>
        <v>29315</v>
      </c>
      <c r="L20" s="196">
        <f>'Country details'!D29</f>
        <v>39024</v>
      </c>
      <c r="M20" s="198">
        <f t="shared" si="2"/>
        <v>68339</v>
      </c>
      <c r="N20" s="203">
        <f t="shared" si="3"/>
        <v>8.5670212492564551E-3</v>
      </c>
      <c r="O20" s="192">
        <v>70</v>
      </c>
      <c r="P20">
        <v>68354</v>
      </c>
    </row>
    <row r="21" spans="1:18" ht="18">
      <c r="A21" s="168"/>
      <c r="B21" s="168"/>
      <c r="C21" s="168"/>
      <c r="D21" s="168"/>
      <c r="E21" s="168"/>
      <c r="G21" s="214">
        <f t="shared" si="1"/>
        <v>2017</v>
      </c>
      <c r="H21" s="215">
        <v>8.4231468865175092</v>
      </c>
      <c r="J21" s="191" t="s">
        <v>495</v>
      </c>
      <c r="K21" s="196">
        <f>'Country details'!C30</f>
        <v>16678</v>
      </c>
      <c r="L21" s="196">
        <f>'Country details'!D30</f>
        <v>23792</v>
      </c>
      <c r="M21" s="198">
        <f t="shared" si="2"/>
        <v>40470</v>
      </c>
      <c r="N21" s="203">
        <f t="shared" si="3"/>
        <v>5.0733453804915011E-3</v>
      </c>
      <c r="O21" s="192">
        <v>75</v>
      </c>
      <c r="P21">
        <v>40485</v>
      </c>
    </row>
    <row r="22" spans="1:18" ht="18">
      <c r="A22" s="168"/>
      <c r="B22" s="172" t="s">
        <v>452</v>
      </c>
      <c r="C22" s="178">
        <f>D2/C20</f>
        <v>0.41818467982126944</v>
      </c>
      <c r="D22" s="168"/>
      <c r="E22" s="168"/>
      <c r="G22" s="214">
        <f t="shared" si="1"/>
        <v>2018</v>
      </c>
      <c r="H22" s="215">
        <v>8.3172388389520098</v>
      </c>
      <c r="J22" s="191" t="s">
        <v>496</v>
      </c>
      <c r="K22" s="196">
        <f>'Country details'!C31</f>
        <v>7283</v>
      </c>
      <c r="L22" s="196">
        <f>'Country details'!D31</f>
        <v>11291</v>
      </c>
      <c r="M22" s="198">
        <f t="shared" si="2"/>
        <v>18574</v>
      </c>
      <c r="N22" s="203">
        <f t="shared" si="3"/>
        <v>2.3284486557264431E-3</v>
      </c>
      <c r="O22" s="192">
        <v>80</v>
      </c>
      <c r="P22">
        <v>18589</v>
      </c>
    </row>
    <row r="23" spans="1:18">
      <c r="G23" s="214">
        <f t="shared" si="1"/>
        <v>2019</v>
      </c>
      <c r="H23" s="215">
        <v>8.2113307913865103</v>
      </c>
      <c r="J23" s="191" t="s">
        <v>497</v>
      </c>
      <c r="K23" s="196">
        <f>'Country details'!C32</f>
        <v>2312</v>
      </c>
      <c r="L23" s="196">
        <f>'Country details'!D32</f>
        <v>3952</v>
      </c>
      <c r="M23" s="198">
        <f t="shared" si="2"/>
        <v>6264</v>
      </c>
      <c r="N23" s="203">
        <f t="shared" si="3"/>
        <v>7.8525909225101961E-4</v>
      </c>
      <c r="O23" s="192">
        <v>85</v>
      </c>
      <c r="P23">
        <v>6279</v>
      </c>
    </row>
    <row r="24" spans="1:18" ht="18">
      <c r="B24" s="172" t="s">
        <v>504</v>
      </c>
      <c r="C24" s="205" cm="1">
        <f t="array" ref="C24">SUMPRODUCT((M6:M26&lt;&gt;P6:P26)*(M6:M26))</f>
        <v>4758781</v>
      </c>
      <c r="G24" s="216">
        <f t="shared" si="1"/>
        <v>2020</v>
      </c>
      <c r="H24" s="217">
        <v>8.1054227438210091</v>
      </c>
      <c r="J24" s="191" t="s">
        <v>498</v>
      </c>
      <c r="K24" s="196">
        <f>'Country details'!C33</f>
        <v>488</v>
      </c>
      <c r="L24" s="196">
        <f>'Country details'!D33</f>
        <v>938</v>
      </c>
      <c r="M24" s="198">
        <f t="shared" si="2"/>
        <v>1426</v>
      </c>
      <c r="N24" s="203">
        <f t="shared" si="3"/>
        <v>1.7876428249520338E-4</v>
      </c>
      <c r="O24" s="192">
        <v>90</v>
      </c>
      <c r="P24">
        <v>1441</v>
      </c>
    </row>
    <row r="25" spans="1:18">
      <c r="J25" s="191" t="s">
        <v>499</v>
      </c>
      <c r="K25" s="196">
        <f>'Country details'!C34</f>
        <v>62</v>
      </c>
      <c r="L25" s="196">
        <f>'Country details'!D34</f>
        <v>136</v>
      </c>
      <c r="M25" s="198">
        <f t="shared" si="2"/>
        <v>198</v>
      </c>
      <c r="N25" s="203">
        <f t="shared" si="3"/>
        <v>2.48214080883943E-5</v>
      </c>
      <c r="O25" s="192">
        <v>95</v>
      </c>
      <c r="P25">
        <v>213</v>
      </c>
    </row>
    <row r="26" spans="1:18" ht="18">
      <c r="B26" s="172" t="s">
        <v>539</v>
      </c>
      <c r="C26" s="205">
        <f>SUM(M19:M26)</f>
        <v>233514</v>
      </c>
      <c r="J26" s="194" t="s">
        <v>500</v>
      </c>
      <c r="K26" s="197">
        <f>'Country details'!C35</f>
        <v>5</v>
      </c>
      <c r="L26" s="197">
        <f>'Country details'!D35</f>
        <v>12</v>
      </c>
      <c r="M26" s="199">
        <f t="shared" si="2"/>
        <v>17</v>
      </c>
      <c r="N26" s="239">
        <f t="shared" si="3"/>
        <v>2.1311309974883995E-6</v>
      </c>
      <c r="O26" s="195">
        <v>100</v>
      </c>
      <c r="P26">
        <v>32</v>
      </c>
    </row>
    <row r="27" spans="1:18">
      <c r="K27">
        <f>SUM(K6:K26)</f>
        <v>3981239</v>
      </c>
      <c r="L27">
        <f>SUM(L6:L26)</f>
        <v>3995746</v>
      </c>
    </row>
    <row r="28" spans="1:18" ht="18">
      <c r="B28" s="172" t="s">
        <v>540</v>
      </c>
      <c r="C28" s="210">
        <f>(C24-C26)/C24</f>
        <v>0.95092987048573996</v>
      </c>
    </row>
    <row r="30" spans="1:18" ht="18">
      <c r="B30" s="459" t="s">
        <v>939</v>
      </c>
      <c r="C30" s="460">
        <v>0.6</v>
      </c>
    </row>
    <row r="32" spans="1:18" ht="18">
      <c r="B32" s="459" t="s">
        <v>940</v>
      </c>
      <c r="C32" s="461">
        <f>C24*C30</f>
        <v>2855268.6</v>
      </c>
      <c r="F32" s="208"/>
    </row>
    <row r="34" spans="2:5" ht="18">
      <c r="B34" s="459" t="s">
        <v>941</v>
      </c>
      <c r="C34" s="460">
        <v>5.9</v>
      </c>
      <c r="E34" t="s">
        <v>942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4"/>
  </sheetPr>
  <dimension ref="A1:V99"/>
  <sheetViews>
    <sheetView showGridLines="0" workbookViewId="0">
      <pane ySplit="3" topLeftCell="A12" activePane="bottomLeft" state="frozen"/>
      <selection pane="bottomLeft" activeCell="P42" sqref="P42"/>
    </sheetView>
  </sheetViews>
  <sheetFormatPr baseColWidth="10" defaultColWidth="8.83203125" defaultRowHeight="14"/>
  <cols>
    <col min="2" max="2" width="10.5" customWidth="1"/>
    <col min="3" max="3" width="11.5" customWidth="1"/>
    <col min="4" max="6" width="12.33203125" customWidth="1"/>
    <col min="7" max="7" width="12.5" customWidth="1"/>
    <col min="8" max="8" width="10.5" bestFit="1" customWidth="1"/>
    <col min="9" max="13" width="14.5" customWidth="1"/>
    <col min="15" max="15" width="16.33203125" customWidth="1"/>
  </cols>
  <sheetData>
    <row r="1" spans="1:22">
      <c r="A1" t="s">
        <v>50</v>
      </c>
    </row>
    <row r="3" spans="1:22">
      <c r="A3" s="19" t="s">
        <v>51</v>
      </c>
      <c r="B3" s="18" t="s">
        <v>52</v>
      </c>
      <c r="C3" s="18" t="s">
        <v>53</v>
      </c>
      <c r="D3" s="42" t="s">
        <v>54</v>
      </c>
      <c r="E3" s="42" t="s">
        <v>272</v>
      </c>
      <c r="F3" s="42" t="s">
        <v>273</v>
      </c>
      <c r="G3" s="42" t="s">
        <v>62</v>
      </c>
      <c r="H3" s="42" t="s">
        <v>55</v>
      </c>
      <c r="I3" s="43" t="s">
        <v>64</v>
      </c>
      <c r="J3" s="46" t="s">
        <v>276</v>
      </c>
      <c r="K3" s="46" t="s">
        <v>277</v>
      </c>
      <c r="L3" s="46" t="s">
        <v>278</v>
      </c>
      <c r="M3" s="46" t="s">
        <v>279</v>
      </c>
      <c r="O3" s="46" t="s">
        <v>46</v>
      </c>
    </row>
    <row r="4" spans="1:22">
      <c r="A4" s="6">
        <v>0</v>
      </c>
      <c r="B4" s="86">
        <v>4.8399999999999999E-2</v>
      </c>
      <c r="C4" s="7">
        <v>0</v>
      </c>
      <c r="D4" s="74">
        <v>100000</v>
      </c>
      <c r="E4" s="75">
        <f>+B4*D4</f>
        <v>4840</v>
      </c>
      <c r="F4" s="75">
        <f>+(B4-C4)*D4</f>
        <v>4840</v>
      </c>
      <c r="G4" s="36">
        <v>100000</v>
      </c>
      <c r="H4" s="36">
        <f>+(D4+D5)/2</f>
        <v>97580</v>
      </c>
      <c r="I4" s="44">
        <f>+(G4+G5)/2</f>
        <v>97580</v>
      </c>
      <c r="J4" s="37" t="e">
        <f>+J5+H4</f>
        <v>#REF!</v>
      </c>
      <c r="K4" s="37" t="e">
        <f>+K5+I4</f>
        <v>#REF!</v>
      </c>
      <c r="L4" s="37" t="e">
        <f>IF(H4=0,0,J4/H4)</f>
        <v>#REF!</v>
      </c>
      <c r="M4" s="37" t="e">
        <f>IF(I4=0,0,K4/I4)</f>
        <v>#REF!</v>
      </c>
      <c r="O4" s="20" t="s">
        <v>52</v>
      </c>
      <c r="P4" s="498" t="s">
        <v>268</v>
      </c>
      <c r="Q4" s="498"/>
      <c r="R4" s="498"/>
      <c r="S4" s="498"/>
      <c r="T4" s="498"/>
      <c r="U4" s="498"/>
      <c r="V4" s="499"/>
    </row>
    <row r="5" spans="1:22">
      <c r="A5" s="10">
        <v>1</v>
      </c>
      <c r="B5" s="86">
        <v>7.7399999999999997E-2</v>
      </c>
      <c r="C5">
        <v>0</v>
      </c>
      <c r="D5" s="37">
        <f>+D4-(D4*B4)</f>
        <v>95160</v>
      </c>
      <c r="E5" s="76">
        <f t="shared" ref="E5:E68" si="0">+B5*D5</f>
        <v>7365.384</v>
      </c>
      <c r="F5" s="76">
        <f t="shared" ref="F5:F68" si="1">+(B5-C5)*D5</f>
        <v>7365.384</v>
      </c>
      <c r="G5" s="37">
        <f>G4-(B4-C4)*G4</f>
        <v>95160</v>
      </c>
      <c r="H5" s="37">
        <f t="shared" ref="H5:H68" si="2">+(D5+D6)/2</f>
        <v>91477.30799999999</v>
      </c>
      <c r="I5" s="45">
        <f t="shared" ref="I5:I68" si="3">+(G5+G6)/2</f>
        <v>91477.30799999999</v>
      </c>
      <c r="J5" s="37" t="e">
        <f t="shared" ref="J5:J68" si="4">+J6+H5</f>
        <v>#REF!</v>
      </c>
      <c r="K5" s="37" t="e">
        <f t="shared" ref="K5:K68" si="5">+K6+I5</f>
        <v>#REF!</v>
      </c>
      <c r="L5" s="37" t="e">
        <f t="shared" ref="L5:L68" si="6">IF(H5=0,0,J5/H5)</f>
        <v>#REF!</v>
      </c>
      <c r="M5" s="37" t="e">
        <f t="shared" ref="M5:M68" si="7">IF(I5=0,0,K5/I5)</f>
        <v>#REF!</v>
      </c>
      <c r="O5" s="8" t="s">
        <v>53</v>
      </c>
      <c r="P5" s="500" t="s">
        <v>60</v>
      </c>
      <c r="Q5" s="500"/>
      <c r="R5" s="500"/>
      <c r="S5" s="500"/>
      <c r="T5" s="500"/>
      <c r="U5" s="500"/>
      <c r="V5" s="501"/>
    </row>
    <row r="6" spans="1:22">
      <c r="A6" s="10">
        <v>2</v>
      </c>
      <c r="B6" s="86">
        <v>7.7399999999999997E-2</v>
      </c>
      <c r="C6">
        <v>0</v>
      </c>
      <c r="D6" s="37">
        <f t="shared" ref="D6:D69" si="8">+D5-(D5*B5)</f>
        <v>87794.615999999995</v>
      </c>
      <c r="E6" s="76">
        <f t="shared" si="0"/>
        <v>6795.3032783999997</v>
      </c>
      <c r="F6" s="76">
        <f t="shared" si="1"/>
        <v>6795.3032783999997</v>
      </c>
      <c r="G6" s="37">
        <f t="shared" ref="G6:G69" si="9">G5-(B5-C5)*G5</f>
        <v>87794.615999999995</v>
      </c>
      <c r="H6" s="37">
        <f t="shared" si="2"/>
        <v>84396.96436079999</v>
      </c>
      <c r="I6" s="45">
        <f t="shared" si="3"/>
        <v>84396.96436079999</v>
      </c>
      <c r="J6" s="37" t="e">
        <f t="shared" si="4"/>
        <v>#REF!</v>
      </c>
      <c r="K6" s="37" t="e">
        <f t="shared" si="5"/>
        <v>#REF!</v>
      </c>
      <c r="L6" s="37" t="e">
        <f t="shared" si="6"/>
        <v>#REF!</v>
      </c>
      <c r="M6" s="37" t="e">
        <f t="shared" si="7"/>
        <v>#REF!</v>
      </c>
      <c r="O6" s="8" t="s">
        <v>61</v>
      </c>
      <c r="P6" s="500" t="s">
        <v>269</v>
      </c>
      <c r="Q6" s="500"/>
      <c r="R6" s="500"/>
      <c r="S6" s="500"/>
      <c r="T6" s="500"/>
      <c r="U6" s="500"/>
      <c r="V6" s="501"/>
    </row>
    <row r="7" spans="1:22">
      <c r="A7" s="10">
        <v>3</v>
      </c>
      <c r="B7" s="86">
        <v>7.7399999999999997E-2</v>
      </c>
      <c r="C7">
        <v>0</v>
      </c>
      <c r="D7" s="37">
        <f t="shared" si="8"/>
        <v>80999.312721599999</v>
      </c>
      <c r="E7" s="76">
        <f t="shared" si="0"/>
        <v>6269.3468046518401</v>
      </c>
      <c r="F7" s="76">
        <f t="shared" si="1"/>
        <v>6269.3468046518401</v>
      </c>
      <c r="G7" s="37">
        <f t="shared" si="9"/>
        <v>80999.312721599999</v>
      </c>
      <c r="H7" s="37">
        <f t="shared" si="2"/>
        <v>77864.63931927408</v>
      </c>
      <c r="I7" s="45">
        <f t="shared" si="3"/>
        <v>77864.63931927408</v>
      </c>
      <c r="J7" s="37" t="e">
        <f t="shared" si="4"/>
        <v>#REF!</v>
      </c>
      <c r="K7" s="37" t="e">
        <f t="shared" si="5"/>
        <v>#REF!</v>
      </c>
      <c r="L7" s="37" t="e">
        <f t="shared" si="6"/>
        <v>#REF!</v>
      </c>
      <c r="M7" s="37" t="e">
        <f t="shared" si="7"/>
        <v>#REF!</v>
      </c>
      <c r="O7" s="8" t="s">
        <v>62</v>
      </c>
      <c r="P7" s="500" t="s">
        <v>63</v>
      </c>
      <c r="Q7" s="500"/>
      <c r="R7" s="500"/>
      <c r="S7" s="500"/>
      <c r="T7" s="500"/>
      <c r="U7" s="500"/>
      <c r="V7" s="501"/>
    </row>
    <row r="8" spans="1:22">
      <c r="A8" s="10">
        <v>4</v>
      </c>
      <c r="B8" s="86">
        <v>7.7399999999999997E-2</v>
      </c>
      <c r="C8">
        <v>0</v>
      </c>
      <c r="D8" s="37">
        <f t="shared" si="8"/>
        <v>74729.96591694816</v>
      </c>
      <c r="E8" s="76">
        <f t="shared" si="0"/>
        <v>5784.0993619717874</v>
      </c>
      <c r="F8" s="76">
        <f t="shared" si="1"/>
        <v>5784.0993619717874</v>
      </c>
      <c r="G8" s="37">
        <f t="shared" si="9"/>
        <v>74729.96591694816</v>
      </c>
      <c r="H8" s="37">
        <f t="shared" si="2"/>
        <v>71837.916235962271</v>
      </c>
      <c r="I8" s="45">
        <f t="shared" si="3"/>
        <v>71837.916235962271</v>
      </c>
      <c r="J8" s="37" t="e">
        <f t="shared" si="4"/>
        <v>#REF!</v>
      </c>
      <c r="K8" s="37" t="e">
        <f t="shared" si="5"/>
        <v>#REF!</v>
      </c>
      <c r="L8" s="37" t="e">
        <f t="shared" si="6"/>
        <v>#REF!</v>
      </c>
      <c r="M8" s="37" t="e">
        <f t="shared" si="7"/>
        <v>#REF!</v>
      </c>
      <c r="O8" s="8" t="s">
        <v>272</v>
      </c>
      <c r="P8" s="500" t="s">
        <v>274</v>
      </c>
      <c r="Q8" s="500"/>
      <c r="R8" s="500"/>
      <c r="S8" s="500"/>
      <c r="T8" s="500"/>
      <c r="U8" s="500"/>
      <c r="V8" s="501"/>
    </row>
    <row r="9" spans="1:22">
      <c r="A9" s="10">
        <v>5</v>
      </c>
      <c r="B9" s="86">
        <v>2.3599999999999999E-2</v>
      </c>
      <c r="C9">
        <v>0</v>
      </c>
      <c r="D9" s="37">
        <f t="shared" si="8"/>
        <v>68945.866554976368</v>
      </c>
      <c r="E9" s="76">
        <f t="shared" si="0"/>
        <v>1627.1224506974422</v>
      </c>
      <c r="F9" s="76">
        <f t="shared" si="1"/>
        <v>1627.1224506974422</v>
      </c>
      <c r="G9" s="37">
        <f t="shared" si="9"/>
        <v>68945.866554976368</v>
      </c>
      <c r="H9" s="37">
        <f t="shared" si="2"/>
        <v>68132.305329627648</v>
      </c>
      <c r="I9" s="45">
        <f t="shared" si="3"/>
        <v>68132.305329627648</v>
      </c>
      <c r="J9" s="37" t="e">
        <f t="shared" si="4"/>
        <v>#REF!</v>
      </c>
      <c r="K9" s="37" t="e">
        <f t="shared" si="5"/>
        <v>#REF!</v>
      </c>
      <c r="L9" s="37" t="e">
        <f t="shared" si="6"/>
        <v>#REF!</v>
      </c>
      <c r="M9" s="37" t="e">
        <f t="shared" si="7"/>
        <v>#REF!</v>
      </c>
      <c r="O9" s="8" t="s">
        <v>273</v>
      </c>
      <c r="P9" s="56" t="s">
        <v>275</v>
      </c>
      <c r="Q9" s="56"/>
      <c r="R9" s="56"/>
      <c r="S9" s="56"/>
      <c r="T9" s="56"/>
      <c r="U9" s="56"/>
      <c r="V9" s="57"/>
    </row>
    <row r="10" spans="1:22">
      <c r="A10" s="10">
        <v>6</v>
      </c>
      <c r="B10" s="86">
        <v>2.3599999999999999E-2</v>
      </c>
      <c r="C10">
        <v>0</v>
      </c>
      <c r="D10" s="37">
        <f t="shared" si="8"/>
        <v>67318.744104278929</v>
      </c>
      <c r="E10" s="76">
        <f t="shared" si="0"/>
        <v>1588.7223608609827</v>
      </c>
      <c r="F10" s="76">
        <f t="shared" si="1"/>
        <v>1588.7223608609827</v>
      </c>
      <c r="G10" s="37">
        <f t="shared" si="9"/>
        <v>67318.744104278929</v>
      </c>
      <c r="H10" s="37">
        <f t="shared" si="2"/>
        <v>66524.382923848432</v>
      </c>
      <c r="I10" s="45">
        <f t="shared" si="3"/>
        <v>66524.382923848432</v>
      </c>
      <c r="J10" s="37" t="e">
        <f t="shared" si="4"/>
        <v>#REF!</v>
      </c>
      <c r="K10" s="37" t="e">
        <f t="shared" si="5"/>
        <v>#REF!</v>
      </c>
      <c r="L10" s="37" t="e">
        <f t="shared" si="6"/>
        <v>#REF!</v>
      </c>
      <c r="M10" s="37" t="e">
        <f t="shared" si="7"/>
        <v>#REF!</v>
      </c>
      <c r="O10" s="8" t="s">
        <v>55</v>
      </c>
      <c r="P10" s="500" t="s">
        <v>270</v>
      </c>
      <c r="Q10" s="500"/>
      <c r="R10" s="500"/>
      <c r="S10" s="500"/>
      <c r="T10" s="500"/>
      <c r="U10" s="500"/>
      <c r="V10" s="501"/>
    </row>
    <row r="11" spans="1:22">
      <c r="A11" s="10">
        <v>7</v>
      </c>
      <c r="B11" s="86">
        <v>2.3599999999999999E-2</v>
      </c>
      <c r="C11">
        <v>0</v>
      </c>
      <c r="D11" s="37">
        <f t="shared" si="8"/>
        <v>65730.02174341795</v>
      </c>
      <c r="E11" s="76">
        <f t="shared" si="0"/>
        <v>1551.2285131446636</v>
      </c>
      <c r="F11" s="76">
        <f t="shared" si="1"/>
        <v>1551.2285131446636</v>
      </c>
      <c r="G11" s="37">
        <f t="shared" si="9"/>
        <v>65730.02174341795</v>
      </c>
      <c r="H11" s="37">
        <f t="shared" si="2"/>
        <v>64954.407486845623</v>
      </c>
      <c r="I11" s="45">
        <f t="shared" si="3"/>
        <v>64954.407486845623</v>
      </c>
      <c r="J11" s="37" t="e">
        <f t="shared" si="4"/>
        <v>#REF!</v>
      </c>
      <c r="K11" s="37" t="e">
        <f t="shared" si="5"/>
        <v>#REF!</v>
      </c>
      <c r="L11" s="37" t="e">
        <f t="shared" si="6"/>
        <v>#REF!</v>
      </c>
      <c r="M11" s="37" t="e">
        <f t="shared" si="7"/>
        <v>#REF!</v>
      </c>
      <c r="O11" s="35" t="s">
        <v>64</v>
      </c>
      <c r="P11" s="502" t="s">
        <v>271</v>
      </c>
      <c r="Q11" s="502"/>
      <c r="R11" s="502"/>
      <c r="S11" s="502"/>
      <c r="T11" s="502"/>
      <c r="U11" s="502"/>
      <c r="V11" s="503"/>
    </row>
    <row r="12" spans="1:22">
      <c r="A12" s="10">
        <v>8</v>
      </c>
      <c r="B12" s="86">
        <v>2.3599999999999999E-2</v>
      </c>
      <c r="C12">
        <v>0</v>
      </c>
      <c r="D12" s="37">
        <f t="shared" si="8"/>
        <v>64178.793230273288</v>
      </c>
      <c r="E12" s="76">
        <f t="shared" si="0"/>
        <v>1514.6195202344495</v>
      </c>
      <c r="F12" s="76">
        <f t="shared" si="1"/>
        <v>1514.6195202344495</v>
      </c>
      <c r="G12" s="37">
        <f t="shared" si="9"/>
        <v>64178.793230273288</v>
      </c>
      <c r="H12" s="37">
        <f t="shared" si="2"/>
        <v>63421.483470156061</v>
      </c>
      <c r="I12" s="45">
        <f t="shared" si="3"/>
        <v>63421.483470156061</v>
      </c>
      <c r="J12" s="37" t="e">
        <f t="shared" si="4"/>
        <v>#REF!</v>
      </c>
      <c r="K12" s="37" t="e">
        <f t="shared" si="5"/>
        <v>#REF!</v>
      </c>
      <c r="L12" s="37" t="e">
        <f t="shared" si="6"/>
        <v>#REF!</v>
      </c>
      <c r="M12" s="37" t="e">
        <f t="shared" si="7"/>
        <v>#REF!</v>
      </c>
    </row>
    <row r="13" spans="1:22">
      <c r="A13" s="10">
        <v>9</v>
      </c>
      <c r="B13" s="86">
        <v>2.3599999999999999E-2</v>
      </c>
      <c r="C13">
        <v>0</v>
      </c>
      <c r="D13" s="37">
        <f t="shared" si="8"/>
        <v>62664.173710038842</v>
      </c>
      <c r="E13" s="76">
        <f t="shared" si="0"/>
        <v>1478.8744995569166</v>
      </c>
      <c r="F13" s="76">
        <f t="shared" si="1"/>
        <v>1478.8744995569166</v>
      </c>
      <c r="G13" s="37">
        <f t="shared" si="9"/>
        <v>62664.173710038842</v>
      </c>
      <c r="H13" s="37">
        <f t="shared" si="2"/>
        <v>61924.736460260385</v>
      </c>
      <c r="I13" s="45">
        <f t="shared" si="3"/>
        <v>61924.736460260385</v>
      </c>
      <c r="J13" s="37" t="e">
        <f t="shared" si="4"/>
        <v>#REF!</v>
      </c>
      <c r="K13" s="37" t="e">
        <f t="shared" si="5"/>
        <v>#REF!</v>
      </c>
      <c r="L13" s="37" t="e">
        <f t="shared" si="6"/>
        <v>#REF!</v>
      </c>
      <c r="M13" s="37" t="e">
        <f t="shared" si="7"/>
        <v>#REF!</v>
      </c>
      <c r="O13" s="4" t="s">
        <v>25</v>
      </c>
    </row>
    <row r="14" spans="1:22">
      <c r="A14" s="10">
        <v>10</v>
      </c>
      <c r="B14" s="86">
        <v>2.0199999999999999E-2</v>
      </c>
      <c r="C14">
        <v>0</v>
      </c>
      <c r="D14" s="37">
        <f t="shared" si="8"/>
        <v>61185.299210481928</v>
      </c>
      <c r="E14" s="76">
        <f t="shared" si="0"/>
        <v>1235.9430440517349</v>
      </c>
      <c r="F14" s="76">
        <f t="shared" si="1"/>
        <v>1235.9430440517349</v>
      </c>
      <c r="G14" s="37">
        <f t="shared" si="9"/>
        <v>61185.299210481928</v>
      </c>
      <c r="H14" s="37">
        <f t="shared" si="2"/>
        <v>60567.327688456062</v>
      </c>
      <c r="I14" s="45">
        <f t="shared" si="3"/>
        <v>60567.327688456062</v>
      </c>
      <c r="J14" s="37" t="e">
        <f t="shared" si="4"/>
        <v>#REF!</v>
      </c>
      <c r="K14" s="37" t="e">
        <f t="shared" si="5"/>
        <v>#REF!</v>
      </c>
      <c r="L14" s="37" t="e">
        <f t="shared" si="6"/>
        <v>#REF!</v>
      </c>
      <c r="M14" s="37" t="e">
        <f t="shared" si="7"/>
        <v>#REF!</v>
      </c>
      <c r="O14" s="28" t="s">
        <v>65</v>
      </c>
      <c r="P14" s="28"/>
      <c r="Q14" s="28"/>
      <c r="R14" s="28"/>
      <c r="S14" s="28"/>
    </row>
    <row r="15" spans="1:22">
      <c r="A15" s="10">
        <v>11</v>
      </c>
      <c r="B15" s="86">
        <v>2.0199999999999999E-2</v>
      </c>
      <c r="C15">
        <v>0</v>
      </c>
      <c r="D15" s="37">
        <f t="shared" si="8"/>
        <v>59949.356166430196</v>
      </c>
      <c r="E15" s="76">
        <f t="shared" si="0"/>
        <v>1210.97699456189</v>
      </c>
      <c r="F15" s="76">
        <f t="shared" si="1"/>
        <v>1210.97699456189</v>
      </c>
      <c r="G15" s="37">
        <f t="shared" si="9"/>
        <v>59949.356166430196</v>
      </c>
      <c r="H15" s="37">
        <f t="shared" si="2"/>
        <v>59343.867669149251</v>
      </c>
      <c r="I15" s="45">
        <f t="shared" si="3"/>
        <v>59343.867669149251</v>
      </c>
      <c r="J15" s="37" t="e">
        <f t="shared" si="4"/>
        <v>#REF!</v>
      </c>
      <c r="K15" s="37" t="e">
        <f t="shared" si="5"/>
        <v>#REF!</v>
      </c>
      <c r="L15" s="37" t="e">
        <f t="shared" si="6"/>
        <v>#REF!</v>
      </c>
      <c r="M15" s="37" t="e">
        <f t="shared" si="7"/>
        <v>#REF!</v>
      </c>
      <c r="O15" s="28" t="s">
        <v>66</v>
      </c>
      <c r="P15" s="28"/>
      <c r="Q15" s="28"/>
      <c r="R15" s="28"/>
      <c r="S15" s="28"/>
      <c r="T15" s="28"/>
    </row>
    <row r="16" spans="1:22">
      <c r="A16" s="10">
        <v>12</v>
      </c>
      <c r="B16" s="86">
        <v>2.0199999999999999E-2</v>
      </c>
      <c r="C16">
        <v>0</v>
      </c>
      <c r="D16" s="37">
        <f t="shared" si="8"/>
        <v>58738.379171868306</v>
      </c>
      <c r="E16" s="76">
        <f t="shared" si="0"/>
        <v>1186.5152592717398</v>
      </c>
      <c r="F16" s="76">
        <f t="shared" si="1"/>
        <v>1186.5152592717398</v>
      </c>
      <c r="G16" s="37">
        <f t="shared" si="9"/>
        <v>58738.379171868306</v>
      </c>
      <c r="H16" s="37">
        <f t="shared" si="2"/>
        <v>58145.121542232431</v>
      </c>
      <c r="I16" s="45">
        <f t="shared" si="3"/>
        <v>58145.121542232431</v>
      </c>
      <c r="J16" s="37" t="e">
        <f t="shared" si="4"/>
        <v>#REF!</v>
      </c>
      <c r="K16" s="37" t="e">
        <f t="shared" si="5"/>
        <v>#REF!</v>
      </c>
      <c r="L16" s="37" t="e">
        <f t="shared" si="6"/>
        <v>#REF!</v>
      </c>
      <c r="M16" s="37" t="e">
        <f t="shared" si="7"/>
        <v>#REF!</v>
      </c>
    </row>
    <row r="17" spans="1:13">
      <c r="A17" s="10">
        <v>13</v>
      </c>
      <c r="B17" s="86">
        <v>2.0199999999999999E-2</v>
      </c>
      <c r="C17">
        <v>0</v>
      </c>
      <c r="D17" s="37">
        <f t="shared" si="8"/>
        <v>57551.863912596564</v>
      </c>
      <c r="E17" s="76">
        <f t="shared" si="0"/>
        <v>1162.5476510344506</v>
      </c>
      <c r="F17" s="76">
        <f t="shared" si="1"/>
        <v>1162.5476510344506</v>
      </c>
      <c r="G17" s="37">
        <f t="shared" si="9"/>
        <v>57551.863912596564</v>
      </c>
      <c r="H17" s="37">
        <f t="shared" si="2"/>
        <v>56970.590087079341</v>
      </c>
      <c r="I17" s="45">
        <f t="shared" si="3"/>
        <v>56970.590087079341</v>
      </c>
      <c r="J17" s="37" t="e">
        <f t="shared" si="4"/>
        <v>#REF!</v>
      </c>
      <c r="K17" s="37" t="e">
        <f t="shared" si="5"/>
        <v>#REF!</v>
      </c>
      <c r="L17" s="37" t="e">
        <f t="shared" si="6"/>
        <v>#REF!</v>
      </c>
      <c r="M17" s="37" t="e">
        <f t="shared" si="7"/>
        <v>#REF!</v>
      </c>
    </row>
    <row r="18" spans="1:13">
      <c r="A18" s="10">
        <v>14</v>
      </c>
      <c r="B18" s="86">
        <v>2.0199999999999999E-2</v>
      </c>
      <c r="C18">
        <v>0</v>
      </c>
      <c r="D18" s="37">
        <f t="shared" si="8"/>
        <v>56389.316261562111</v>
      </c>
      <c r="E18" s="76">
        <f t="shared" si="0"/>
        <v>1139.0641884835545</v>
      </c>
      <c r="F18" s="76">
        <f t="shared" si="1"/>
        <v>1139.0641884835545</v>
      </c>
      <c r="G18" s="37">
        <f t="shared" si="9"/>
        <v>56389.316261562111</v>
      </c>
      <c r="H18" s="37">
        <f t="shared" si="2"/>
        <v>55819.784167320337</v>
      </c>
      <c r="I18" s="45">
        <f t="shared" si="3"/>
        <v>55819.784167320337</v>
      </c>
      <c r="J18" s="37" t="e">
        <f t="shared" si="4"/>
        <v>#REF!</v>
      </c>
      <c r="K18" s="37" t="e">
        <f t="shared" si="5"/>
        <v>#REF!</v>
      </c>
      <c r="L18" s="37" t="e">
        <f t="shared" si="6"/>
        <v>#REF!</v>
      </c>
      <c r="M18" s="37" t="e">
        <f t="shared" si="7"/>
        <v>#REF!</v>
      </c>
    </row>
    <row r="19" spans="1:13">
      <c r="A19" s="10">
        <v>15</v>
      </c>
      <c r="B19" s="86">
        <v>2.7799999999999998E-2</v>
      </c>
      <c r="C19">
        <v>0</v>
      </c>
      <c r="D19" s="37">
        <f t="shared" si="8"/>
        <v>55250.252073078555</v>
      </c>
      <c r="E19" s="76">
        <f t="shared" si="0"/>
        <v>1535.9570076315838</v>
      </c>
      <c r="F19" s="76">
        <f t="shared" si="1"/>
        <v>1535.9570076315838</v>
      </c>
      <c r="G19" s="37">
        <f t="shared" si="9"/>
        <v>55250.252073078555</v>
      </c>
      <c r="H19" s="37">
        <f t="shared" si="2"/>
        <v>54482.273569262761</v>
      </c>
      <c r="I19" s="45">
        <f t="shared" si="3"/>
        <v>54482.273569262761</v>
      </c>
      <c r="J19" s="37" t="e">
        <f t="shared" si="4"/>
        <v>#REF!</v>
      </c>
      <c r="K19" s="37" t="e">
        <f t="shared" si="5"/>
        <v>#REF!</v>
      </c>
      <c r="L19" s="37" t="e">
        <f t="shared" si="6"/>
        <v>#REF!</v>
      </c>
      <c r="M19" s="37" t="e">
        <f t="shared" si="7"/>
        <v>#REF!</v>
      </c>
    </row>
    <row r="20" spans="1:13">
      <c r="A20" s="10">
        <v>16</v>
      </c>
      <c r="B20" s="86">
        <v>2.7799999999999998E-2</v>
      </c>
      <c r="C20">
        <v>0</v>
      </c>
      <c r="D20" s="37">
        <f t="shared" si="8"/>
        <v>53714.295065446968</v>
      </c>
      <c r="E20" s="76">
        <f t="shared" si="0"/>
        <v>1493.2574028194256</v>
      </c>
      <c r="F20" s="76">
        <f t="shared" si="1"/>
        <v>1493.2574028194256</v>
      </c>
      <c r="G20" s="37">
        <f t="shared" si="9"/>
        <v>53714.295065446968</v>
      </c>
      <c r="H20" s="37">
        <f t="shared" si="2"/>
        <v>52967.666364037257</v>
      </c>
      <c r="I20" s="45">
        <f t="shared" si="3"/>
        <v>52967.666364037257</v>
      </c>
      <c r="J20" s="37" t="e">
        <f t="shared" si="4"/>
        <v>#REF!</v>
      </c>
      <c r="K20" s="37" t="e">
        <f t="shared" si="5"/>
        <v>#REF!</v>
      </c>
      <c r="L20" s="37" t="e">
        <f t="shared" si="6"/>
        <v>#REF!</v>
      </c>
      <c r="M20" s="37" t="e">
        <f t="shared" si="7"/>
        <v>#REF!</v>
      </c>
    </row>
    <row r="21" spans="1:13">
      <c r="A21" s="10">
        <v>17</v>
      </c>
      <c r="B21" s="86">
        <v>2.7799999999999998E-2</v>
      </c>
      <c r="C21">
        <v>0</v>
      </c>
      <c r="D21" s="37">
        <f t="shared" si="8"/>
        <v>52221.037662627539</v>
      </c>
      <c r="E21" s="76">
        <f t="shared" si="0"/>
        <v>1451.7448470210454</v>
      </c>
      <c r="F21" s="76">
        <f t="shared" si="1"/>
        <v>1451.7448470210454</v>
      </c>
      <c r="G21" s="37">
        <f t="shared" si="9"/>
        <v>52221.037662627539</v>
      </c>
      <c r="H21" s="37">
        <f t="shared" si="2"/>
        <v>51495.165239117021</v>
      </c>
      <c r="I21" s="45">
        <f t="shared" si="3"/>
        <v>51495.165239117021</v>
      </c>
      <c r="J21" s="37" t="e">
        <f t="shared" si="4"/>
        <v>#REF!</v>
      </c>
      <c r="K21" s="37" t="e">
        <f t="shared" si="5"/>
        <v>#REF!</v>
      </c>
      <c r="L21" s="37" t="e">
        <f t="shared" si="6"/>
        <v>#REF!</v>
      </c>
      <c r="M21" s="37" t="e">
        <f t="shared" si="7"/>
        <v>#REF!</v>
      </c>
    </row>
    <row r="22" spans="1:13">
      <c r="A22" s="10">
        <v>18</v>
      </c>
      <c r="B22" s="86">
        <v>2.7799999999999998E-2</v>
      </c>
      <c r="C22">
        <v>0</v>
      </c>
      <c r="D22" s="37">
        <f t="shared" si="8"/>
        <v>50769.292815606495</v>
      </c>
      <c r="E22" s="76">
        <f t="shared" si="0"/>
        <v>1411.3863402738605</v>
      </c>
      <c r="F22" s="76">
        <f t="shared" si="1"/>
        <v>1411.3863402738605</v>
      </c>
      <c r="G22" s="37">
        <f t="shared" si="9"/>
        <v>50769.292815606495</v>
      </c>
      <c r="H22" s="37">
        <f t="shared" si="2"/>
        <v>50063.599645469571</v>
      </c>
      <c r="I22" s="45">
        <f t="shared" si="3"/>
        <v>50063.599645469571</v>
      </c>
      <c r="J22" s="37" t="e">
        <f t="shared" si="4"/>
        <v>#REF!</v>
      </c>
      <c r="K22" s="37" t="e">
        <f t="shared" si="5"/>
        <v>#REF!</v>
      </c>
      <c r="L22" s="37" t="e">
        <f t="shared" si="6"/>
        <v>#REF!</v>
      </c>
      <c r="M22" s="37" t="e">
        <f t="shared" si="7"/>
        <v>#REF!</v>
      </c>
    </row>
    <row r="23" spans="1:13">
      <c r="A23" s="10">
        <v>19</v>
      </c>
      <c r="B23" s="86">
        <v>2.7799999999999998E-2</v>
      </c>
      <c r="C23">
        <v>0</v>
      </c>
      <c r="D23" s="37">
        <f t="shared" si="8"/>
        <v>49357.906475332638</v>
      </c>
      <c r="E23" s="76">
        <f t="shared" si="0"/>
        <v>1372.1498000142474</v>
      </c>
      <c r="F23" s="76">
        <f t="shared" si="1"/>
        <v>1372.1498000142474</v>
      </c>
      <c r="G23" s="37">
        <f t="shared" si="9"/>
        <v>49357.906475332638</v>
      </c>
      <c r="H23" s="37">
        <f t="shared" si="2"/>
        <v>48671.831575325516</v>
      </c>
      <c r="I23" s="45">
        <f t="shared" si="3"/>
        <v>48671.831575325516</v>
      </c>
      <c r="J23" s="37" t="e">
        <f t="shared" si="4"/>
        <v>#REF!</v>
      </c>
      <c r="K23" s="37" t="e">
        <f t="shared" si="5"/>
        <v>#REF!</v>
      </c>
      <c r="L23" s="37" t="e">
        <f t="shared" si="6"/>
        <v>#REF!</v>
      </c>
      <c r="M23" s="37" t="e">
        <f t="shared" si="7"/>
        <v>#REF!</v>
      </c>
    </row>
    <row r="24" spans="1:13">
      <c r="A24" s="10">
        <v>20</v>
      </c>
      <c r="B24" s="86">
        <v>3.6200000000000003E-2</v>
      </c>
      <c r="C24">
        <v>0</v>
      </c>
      <c r="D24" s="37">
        <f t="shared" si="8"/>
        <v>47985.756675318393</v>
      </c>
      <c r="E24" s="76">
        <f t="shared" si="0"/>
        <v>1737.084391646526</v>
      </c>
      <c r="F24" s="76">
        <f t="shared" si="1"/>
        <v>1737.084391646526</v>
      </c>
      <c r="G24" s="37">
        <f t="shared" si="9"/>
        <v>47985.756675318393</v>
      </c>
      <c r="H24" s="37">
        <f t="shared" si="2"/>
        <v>47117.214479495131</v>
      </c>
      <c r="I24" s="45">
        <f t="shared" si="3"/>
        <v>47117.214479495131</v>
      </c>
      <c r="J24" s="37" t="e">
        <f t="shared" si="4"/>
        <v>#REF!</v>
      </c>
      <c r="K24" s="37" t="e">
        <f t="shared" si="5"/>
        <v>#REF!</v>
      </c>
      <c r="L24" s="37" t="e">
        <f t="shared" si="6"/>
        <v>#REF!</v>
      </c>
      <c r="M24" s="37" t="e">
        <f t="shared" si="7"/>
        <v>#REF!</v>
      </c>
    </row>
    <row r="25" spans="1:13">
      <c r="A25" s="10">
        <v>21</v>
      </c>
      <c r="B25" s="86">
        <v>3.6200000000000003E-2</v>
      </c>
      <c r="C25">
        <v>0</v>
      </c>
      <c r="D25" s="37">
        <f t="shared" si="8"/>
        <v>46248.672283671869</v>
      </c>
      <c r="E25" s="76">
        <f t="shared" si="0"/>
        <v>1674.2019366689217</v>
      </c>
      <c r="F25" s="76">
        <f t="shared" si="1"/>
        <v>1674.2019366689217</v>
      </c>
      <c r="G25" s="37">
        <f t="shared" si="9"/>
        <v>46248.672283671869</v>
      </c>
      <c r="H25" s="37">
        <f t="shared" si="2"/>
        <v>45411.571315337409</v>
      </c>
      <c r="I25" s="45">
        <f t="shared" si="3"/>
        <v>45411.571315337409</v>
      </c>
      <c r="J25" s="37" t="e">
        <f t="shared" si="4"/>
        <v>#REF!</v>
      </c>
      <c r="K25" s="37" t="e">
        <f t="shared" si="5"/>
        <v>#REF!</v>
      </c>
      <c r="L25" s="37" t="e">
        <f t="shared" si="6"/>
        <v>#REF!</v>
      </c>
      <c r="M25" s="37" t="e">
        <f t="shared" si="7"/>
        <v>#REF!</v>
      </c>
    </row>
    <row r="26" spans="1:13">
      <c r="A26" s="10">
        <v>22</v>
      </c>
      <c r="B26" s="86">
        <v>3.6200000000000003E-2</v>
      </c>
      <c r="C26">
        <v>0</v>
      </c>
      <c r="D26" s="37">
        <f t="shared" si="8"/>
        <v>44574.470347002949</v>
      </c>
      <c r="E26" s="76">
        <f t="shared" si="0"/>
        <v>1613.5958265615068</v>
      </c>
      <c r="F26" s="76">
        <f t="shared" si="1"/>
        <v>1613.5958265615068</v>
      </c>
      <c r="G26" s="37">
        <f t="shared" si="9"/>
        <v>44574.470347002949</v>
      </c>
      <c r="H26" s="37">
        <f t="shared" si="2"/>
        <v>43767.672433722197</v>
      </c>
      <c r="I26" s="45">
        <f t="shared" si="3"/>
        <v>43767.672433722197</v>
      </c>
      <c r="J26" s="37" t="e">
        <f t="shared" si="4"/>
        <v>#REF!</v>
      </c>
      <c r="K26" s="37" t="e">
        <f t="shared" si="5"/>
        <v>#REF!</v>
      </c>
      <c r="L26" s="37" t="e">
        <f t="shared" si="6"/>
        <v>#REF!</v>
      </c>
      <c r="M26" s="37" t="e">
        <f t="shared" si="7"/>
        <v>#REF!</v>
      </c>
    </row>
    <row r="27" spans="1:13">
      <c r="A27" s="10">
        <v>23</v>
      </c>
      <c r="B27" s="86">
        <v>3.6200000000000003E-2</v>
      </c>
      <c r="C27">
        <v>0</v>
      </c>
      <c r="D27" s="37">
        <f t="shared" si="8"/>
        <v>42960.874520441444</v>
      </c>
      <c r="E27" s="76">
        <f t="shared" si="0"/>
        <v>1555.1836576399803</v>
      </c>
      <c r="F27" s="76">
        <f t="shared" si="1"/>
        <v>1555.1836576399803</v>
      </c>
      <c r="G27" s="37">
        <f t="shared" si="9"/>
        <v>42960.874520441444</v>
      </c>
      <c r="H27" s="37">
        <f t="shared" si="2"/>
        <v>42183.282691621454</v>
      </c>
      <c r="I27" s="45">
        <f t="shared" si="3"/>
        <v>42183.282691621454</v>
      </c>
      <c r="J27" s="37" t="e">
        <f t="shared" si="4"/>
        <v>#REF!</v>
      </c>
      <c r="K27" s="37" t="e">
        <f t="shared" si="5"/>
        <v>#REF!</v>
      </c>
      <c r="L27" s="37" t="e">
        <f t="shared" si="6"/>
        <v>#REF!</v>
      </c>
      <c r="M27" s="37" t="e">
        <f t="shared" si="7"/>
        <v>#REF!</v>
      </c>
    </row>
    <row r="28" spans="1:13">
      <c r="A28" s="10">
        <v>24</v>
      </c>
      <c r="B28" s="86">
        <v>3.6200000000000003E-2</v>
      </c>
      <c r="C28">
        <v>0</v>
      </c>
      <c r="D28" s="37">
        <f t="shared" si="8"/>
        <v>41405.690862801464</v>
      </c>
      <c r="E28" s="76">
        <f t="shared" si="0"/>
        <v>1498.8860092334132</v>
      </c>
      <c r="F28" s="76">
        <f t="shared" si="1"/>
        <v>1498.8860092334132</v>
      </c>
      <c r="G28" s="37">
        <f t="shared" si="9"/>
        <v>41405.690862801464</v>
      </c>
      <c r="H28" s="37">
        <f t="shared" si="2"/>
        <v>40656.247858184754</v>
      </c>
      <c r="I28" s="45">
        <f t="shared" si="3"/>
        <v>40656.247858184754</v>
      </c>
      <c r="J28" s="37" t="e">
        <f t="shared" si="4"/>
        <v>#REF!</v>
      </c>
      <c r="K28" s="37" t="e">
        <f t="shared" si="5"/>
        <v>#REF!</v>
      </c>
      <c r="L28" s="37" t="e">
        <f t="shared" si="6"/>
        <v>#REF!</v>
      </c>
      <c r="M28" s="37" t="e">
        <f t="shared" si="7"/>
        <v>#REF!</v>
      </c>
    </row>
    <row r="29" spans="1:13">
      <c r="A29" s="10">
        <v>25</v>
      </c>
      <c r="B29" s="86">
        <v>4.9799999999999997E-2</v>
      </c>
      <c r="C29">
        <v>0</v>
      </c>
      <c r="D29" s="37">
        <f t="shared" si="8"/>
        <v>39906.80485356805</v>
      </c>
      <c r="E29" s="76">
        <f t="shared" si="0"/>
        <v>1987.3588817076889</v>
      </c>
      <c r="F29" s="76">
        <f t="shared" si="1"/>
        <v>1987.3588817076889</v>
      </c>
      <c r="G29" s="37">
        <f t="shared" si="9"/>
        <v>39906.80485356805</v>
      </c>
      <c r="H29" s="37">
        <f t="shared" si="2"/>
        <v>38913.125412714202</v>
      </c>
      <c r="I29" s="45">
        <f t="shared" si="3"/>
        <v>38913.125412714202</v>
      </c>
      <c r="J29" s="37" t="e">
        <f t="shared" si="4"/>
        <v>#REF!</v>
      </c>
      <c r="K29" s="37" t="e">
        <f t="shared" si="5"/>
        <v>#REF!</v>
      </c>
      <c r="L29" s="37" t="e">
        <f t="shared" si="6"/>
        <v>#REF!</v>
      </c>
      <c r="M29" s="37" t="e">
        <f t="shared" si="7"/>
        <v>#REF!</v>
      </c>
    </row>
    <row r="30" spans="1:13">
      <c r="A30" s="10">
        <v>26</v>
      </c>
      <c r="B30" s="86">
        <v>4.9799999999999997E-2</v>
      </c>
      <c r="C30">
        <v>0</v>
      </c>
      <c r="D30" s="37">
        <f t="shared" si="8"/>
        <v>37919.445971860361</v>
      </c>
      <c r="E30" s="76">
        <f t="shared" si="0"/>
        <v>1888.3884093986458</v>
      </c>
      <c r="F30" s="76">
        <f t="shared" si="1"/>
        <v>1888.3884093986458</v>
      </c>
      <c r="G30" s="37">
        <f t="shared" si="9"/>
        <v>37919.445971860361</v>
      </c>
      <c r="H30" s="37">
        <f t="shared" si="2"/>
        <v>36975.25176716104</v>
      </c>
      <c r="I30" s="45">
        <f t="shared" si="3"/>
        <v>36975.25176716104</v>
      </c>
      <c r="J30" s="37" t="e">
        <f t="shared" si="4"/>
        <v>#REF!</v>
      </c>
      <c r="K30" s="37" t="e">
        <f t="shared" si="5"/>
        <v>#REF!</v>
      </c>
      <c r="L30" s="37" t="e">
        <f t="shared" si="6"/>
        <v>#REF!</v>
      </c>
      <c r="M30" s="37" t="e">
        <f t="shared" si="7"/>
        <v>#REF!</v>
      </c>
    </row>
    <row r="31" spans="1:13">
      <c r="A31" s="10">
        <v>27</v>
      </c>
      <c r="B31" s="86">
        <v>4.9799999999999997E-2</v>
      </c>
      <c r="C31">
        <v>0</v>
      </c>
      <c r="D31" s="37">
        <f t="shared" si="8"/>
        <v>36031.057562461712</v>
      </c>
      <c r="E31" s="76">
        <f t="shared" si="0"/>
        <v>1794.3466666105933</v>
      </c>
      <c r="F31" s="76">
        <f t="shared" si="1"/>
        <v>1794.3466666105933</v>
      </c>
      <c r="G31" s="37">
        <f t="shared" si="9"/>
        <v>36031.057562461712</v>
      </c>
      <c r="H31" s="37">
        <f t="shared" si="2"/>
        <v>35133.884229156414</v>
      </c>
      <c r="I31" s="45">
        <f t="shared" si="3"/>
        <v>35133.884229156414</v>
      </c>
      <c r="J31" s="37" t="e">
        <f t="shared" si="4"/>
        <v>#REF!</v>
      </c>
      <c r="K31" s="37" t="e">
        <f t="shared" si="5"/>
        <v>#REF!</v>
      </c>
      <c r="L31" s="37" t="e">
        <f t="shared" si="6"/>
        <v>#REF!</v>
      </c>
      <c r="M31" s="37" t="e">
        <f t="shared" si="7"/>
        <v>#REF!</v>
      </c>
    </row>
    <row r="32" spans="1:13">
      <c r="A32" s="10">
        <v>28</v>
      </c>
      <c r="B32" s="86">
        <v>4.9799999999999997E-2</v>
      </c>
      <c r="C32">
        <v>0</v>
      </c>
      <c r="D32" s="37">
        <f t="shared" si="8"/>
        <v>34236.710895851116</v>
      </c>
      <c r="E32" s="76">
        <f t="shared" si="0"/>
        <v>1704.9882026133855</v>
      </c>
      <c r="F32" s="76">
        <f t="shared" si="1"/>
        <v>1704.9882026133855</v>
      </c>
      <c r="G32" s="37">
        <f t="shared" si="9"/>
        <v>34236.710895851116</v>
      </c>
      <c r="H32" s="37">
        <f t="shared" si="2"/>
        <v>33384.216794544423</v>
      </c>
      <c r="I32" s="45">
        <f t="shared" si="3"/>
        <v>33384.216794544423</v>
      </c>
      <c r="J32" s="37" t="e">
        <f t="shared" si="4"/>
        <v>#REF!</v>
      </c>
      <c r="K32" s="37" t="e">
        <f t="shared" si="5"/>
        <v>#REF!</v>
      </c>
      <c r="L32" s="37" t="e">
        <f t="shared" si="6"/>
        <v>#REF!</v>
      </c>
      <c r="M32" s="37" t="e">
        <f t="shared" si="7"/>
        <v>#REF!</v>
      </c>
    </row>
    <row r="33" spans="1:13">
      <c r="A33" s="10">
        <v>29</v>
      </c>
      <c r="B33" s="86">
        <v>4.9799999999999997E-2</v>
      </c>
      <c r="C33">
        <v>0</v>
      </c>
      <c r="D33" s="37">
        <f t="shared" si="8"/>
        <v>32531.722693237731</v>
      </c>
      <c r="E33" s="76">
        <f t="shared" si="0"/>
        <v>1620.0797901232388</v>
      </c>
      <c r="F33" s="76">
        <f t="shared" si="1"/>
        <v>1620.0797901232388</v>
      </c>
      <c r="G33" s="37">
        <f t="shared" si="9"/>
        <v>32531.722693237731</v>
      </c>
      <c r="H33" s="37">
        <f t="shared" si="2"/>
        <v>31721.682798176109</v>
      </c>
      <c r="I33" s="45">
        <f t="shared" si="3"/>
        <v>31721.682798176109</v>
      </c>
      <c r="J33" s="37" t="e">
        <f t="shared" si="4"/>
        <v>#REF!</v>
      </c>
      <c r="K33" s="37" t="e">
        <f t="shared" si="5"/>
        <v>#REF!</v>
      </c>
      <c r="L33" s="37" t="e">
        <f t="shared" si="6"/>
        <v>#REF!</v>
      </c>
      <c r="M33" s="37" t="e">
        <f t="shared" si="7"/>
        <v>#REF!</v>
      </c>
    </row>
    <row r="34" spans="1:13">
      <c r="A34" s="10">
        <v>30</v>
      </c>
      <c r="B34" s="86">
        <v>6.2700000000000006E-2</v>
      </c>
      <c r="C34">
        <v>0</v>
      </c>
      <c r="D34" s="37">
        <f t="shared" si="8"/>
        <v>30911.642903114491</v>
      </c>
      <c r="E34" s="76">
        <f t="shared" si="0"/>
        <v>1938.1600100252788</v>
      </c>
      <c r="F34" s="76">
        <f t="shared" si="1"/>
        <v>1938.1600100252788</v>
      </c>
      <c r="G34" s="37">
        <f t="shared" si="9"/>
        <v>30911.642903114491</v>
      </c>
      <c r="H34" s="37">
        <f t="shared" si="2"/>
        <v>29942.562898101853</v>
      </c>
      <c r="I34" s="45">
        <f t="shared" si="3"/>
        <v>29942.562898101853</v>
      </c>
      <c r="J34" s="37" t="e">
        <f t="shared" si="4"/>
        <v>#REF!</v>
      </c>
      <c r="K34" s="37" t="e">
        <f t="shared" si="5"/>
        <v>#REF!</v>
      </c>
      <c r="L34" s="37" t="e">
        <f t="shared" si="6"/>
        <v>#REF!</v>
      </c>
      <c r="M34" s="37" t="e">
        <f t="shared" si="7"/>
        <v>#REF!</v>
      </c>
    </row>
    <row r="35" spans="1:13">
      <c r="A35" s="10">
        <v>31</v>
      </c>
      <c r="B35" s="86">
        <v>6.2700000000000006E-2</v>
      </c>
      <c r="C35">
        <v>0</v>
      </c>
      <c r="D35" s="37">
        <f t="shared" si="8"/>
        <v>28973.482893089211</v>
      </c>
      <c r="E35" s="76">
        <f t="shared" si="0"/>
        <v>1816.6373773966936</v>
      </c>
      <c r="F35" s="76">
        <f t="shared" si="1"/>
        <v>1816.6373773966936</v>
      </c>
      <c r="G35" s="37">
        <f t="shared" si="9"/>
        <v>28973.482893089211</v>
      </c>
      <c r="H35" s="37">
        <f t="shared" si="2"/>
        <v>28065.164204390865</v>
      </c>
      <c r="I35" s="45">
        <f t="shared" si="3"/>
        <v>28065.164204390865</v>
      </c>
      <c r="J35" s="37" t="e">
        <f t="shared" si="4"/>
        <v>#REF!</v>
      </c>
      <c r="K35" s="37" t="e">
        <f t="shared" si="5"/>
        <v>#REF!</v>
      </c>
      <c r="L35" s="37" t="e">
        <f t="shared" si="6"/>
        <v>#REF!</v>
      </c>
      <c r="M35" s="37" t="e">
        <f t="shared" si="7"/>
        <v>#REF!</v>
      </c>
    </row>
    <row r="36" spans="1:13">
      <c r="A36" s="10">
        <v>32</v>
      </c>
      <c r="B36" s="86">
        <v>6.2700000000000006E-2</v>
      </c>
      <c r="C36">
        <v>0</v>
      </c>
      <c r="D36" s="37">
        <f t="shared" si="8"/>
        <v>27156.845515692516</v>
      </c>
      <c r="E36" s="76">
        <f t="shared" si="0"/>
        <v>1702.7342138339209</v>
      </c>
      <c r="F36" s="76">
        <f t="shared" si="1"/>
        <v>1702.7342138339209</v>
      </c>
      <c r="G36" s="37">
        <f t="shared" si="9"/>
        <v>27156.845515692516</v>
      </c>
      <c r="H36" s="37">
        <f t="shared" si="2"/>
        <v>26305.478408775554</v>
      </c>
      <c r="I36" s="45">
        <f t="shared" si="3"/>
        <v>26305.478408775554</v>
      </c>
      <c r="J36" s="37" t="e">
        <f t="shared" si="4"/>
        <v>#REF!</v>
      </c>
      <c r="K36" s="37" t="e">
        <f t="shared" si="5"/>
        <v>#REF!</v>
      </c>
      <c r="L36" s="37" t="e">
        <f t="shared" si="6"/>
        <v>#REF!</v>
      </c>
      <c r="M36" s="37" t="e">
        <f t="shared" si="7"/>
        <v>#REF!</v>
      </c>
    </row>
    <row r="37" spans="1:13">
      <c r="A37" s="10">
        <v>33</v>
      </c>
      <c r="B37" s="86">
        <v>6.2700000000000006E-2</v>
      </c>
      <c r="C37">
        <v>0</v>
      </c>
      <c r="D37" s="37">
        <f t="shared" si="8"/>
        <v>25454.111301858597</v>
      </c>
      <c r="E37" s="76">
        <f t="shared" si="0"/>
        <v>1595.9727786265341</v>
      </c>
      <c r="F37" s="76">
        <f t="shared" si="1"/>
        <v>1595.9727786265341</v>
      </c>
      <c r="G37" s="37">
        <f t="shared" si="9"/>
        <v>25454.111301858597</v>
      </c>
      <c r="H37" s="37">
        <f t="shared" si="2"/>
        <v>24656.124912545329</v>
      </c>
      <c r="I37" s="45">
        <f t="shared" si="3"/>
        <v>24656.124912545329</v>
      </c>
      <c r="J37" s="37" t="e">
        <f t="shared" si="4"/>
        <v>#REF!</v>
      </c>
      <c r="K37" s="37" t="e">
        <f t="shared" si="5"/>
        <v>#REF!</v>
      </c>
      <c r="L37" s="37" t="e">
        <f t="shared" si="6"/>
        <v>#REF!</v>
      </c>
      <c r="M37" s="37" t="e">
        <f t="shared" si="7"/>
        <v>#REF!</v>
      </c>
    </row>
    <row r="38" spans="1:13">
      <c r="A38" s="10">
        <v>34</v>
      </c>
      <c r="B38" s="86">
        <v>6.2700000000000006E-2</v>
      </c>
      <c r="C38">
        <v>0</v>
      </c>
      <c r="D38" s="37">
        <f t="shared" si="8"/>
        <v>23858.138523232061</v>
      </c>
      <c r="E38" s="76">
        <f t="shared" si="0"/>
        <v>1495.9052854066504</v>
      </c>
      <c r="F38" s="76">
        <f t="shared" si="1"/>
        <v>1495.9052854066504</v>
      </c>
      <c r="G38" s="37">
        <f t="shared" si="9"/>
        <v>23858.138523232061</v>
      </c>
      <c r="H38" s="37">
        <f t="shared" si="2"/>
        <v>23110.185880528734</v>
      </c>
      <c r="I38" s="45">
        <f t="shared" si="3"/>
        <v>23110.185880528734</v>
      </c>
      <c r="J38" s="37" t="e">
        <f t="shared" si="4"/>
        <v>#REF!</v>
      </c>
      <c r="K38" s="37" t="e">
        <f t="shared" si="5"/>
        <v>#REF!</v>
      </c>
      <c r="L38" s="37" t="e">
        <f t="shared" si="6"/>
        <v>#REF!</v>
      </c>
      <c r="M38" s="37" t="e">
        <f t="shared" si="7"/>
        <v>#REF!</v>
      </c>
    </row>
    <row r="39" spans="1:13">
      <c r="A39" s="10">
        <v>35</v>
      </c>
      <c r="B39" s="86">
        <v>6.4699999999999994E-2</v>
      </c>
      <c r="C39">
        <v>0</v>
      </c>
      <c r="D39" s="37">
        <f t="shared" si="8"/>
        <v>22362.23323782541</v>
      </c>
      <c r="E39" s="76">
        <f t="shared" si="0"/>
        <v>1446.836490487304</v>
      </c>
      <c r="F39" s="76">
        <f t="shared" si="1"/>
        <v>1446.836490487304</v>
      </c>
      <c r="G39" s="37">
        <f t="shared" si="9"/>
        <v>22362.23323782541</v>
      </c>
      <c r="H39" s="37">
        <f t="shared" si="2"/>
        <v>21638.814992581756</v>
      </c>
      <c r="I39" s="45">
        <f t="shared" si="3"/>
        <v>21638.814992581756</v>
      </c>
      <c r="J39" s="37" t="e">
        <f t="shared" si="4"/>
        <v>#REF!</v>
      </c>
      <c r="K39" s="37" t="e">
        <f t="shared" si="5"/>
        <v>#REF!</v>
      </c>
      <c r="L39" s="37" t="e">
        <f t="shared" si="6"/>
        <v>#REF!</v>
      </c>
      <c r="M39" s="37" t="e">
        <f t="shared" si="7"/>
        <v>#REF!</v>
      </c>
    </row>
    <row r="40" spans="1:13">
      <c r="A40" s="10">
        <v>36</v>
      </c>
      <c r="B40" s="86">
        <v>6.4699999999999994E-2</v>
      </c>
      <c r="C40">
        <v>0</v>
      </c>
      <c r="D40" s="37">
        <f t="shared" si="8"/>
        <v>20915.396747338105</v>
      </c>
      <c r="E40" s="76">
        <f t="shared" si="0"/>
        <v>1353.2261695527752</v>
      </c>
      <c r="F40" s="76">
        <f t="shared" si="1"/>
        <v>1353.2261695527752</v>
      </c>
      <c r="G40" s="37">
        <f t="shared" si="9"/>
        <v>20915.396747338105</v>
      </c>
      <c r="H40" s="37">
        <f t="shared" si="2"/>
        <v>20238.78366256172</v>
      </c>
      <c r="I40" s="45">
        <f t="shared" si="3"/>
        <v>20238.78366256172</v>
      </c>
      <c r="J40" s="37" t="e">
        <f t="shared" si="4"/>
        <v>#REF!</v>
      </c>
      <c r="K40" s="37" t="e">
        <f t="shared" si="5"/>
        <v>#REF!</v>
      </c>
      <c r="L40" s="37" t="e">
        <f t="shared" si="6"/>
        <v>#REF!</v>
      </c>
      <c r="M40" s="37" t="e">
        <f t="shared" si="7"/>
        <v>#REF!</v>
      </c>
    </row>
    <row r="41" spans="1:13">
      <c r="A41" s="10">
        <v>37</v>
      </c>
      <c r="B41" s="86">
        <v>6.4699999999999994E-2</v>
      </c>
      <c r="C41">
        <v>0</v>
      </c>
      <c r="D41" s="37">
        <f t="shared" si="8"/>
        <v>19562.170577785331</v>
      </c>
      <c r="E41" s="76">
        <f t="shared" si="0"/>
        <v>1265.6724363827109</v>
      </c>
      <c r="F41" s="76">
        <f t="shared" si="1"/>
        <v>1265.6724363827109</v>
      </c>
      <c r="G41" s="37">
        <f t="shared" si="9"/>
        <v>19562.170577785331</v>
      </c>
      <c r="H41" s="37">
        <f t="shared" si="2"/>
        <v>18929.334359593973</v>
      </c>
      <c r="I41" s="45">
        <f t="shared" si="3"/>
        <v>18929.334359593973</v>
      </c>
      <c r="J41" s="37" t="e">
        <f t="shared" si="4"/>
        <v>#REF!</v>
      </c>
      <c r="K41" s="37" t="e">
        <f t="shared" si="5"/>
        <v>#REF!</v>
      </c>
      <c r="L41" s="37" t="e">
        <f t="shared" si="6"/>
        <v>#REF!</v>
      </c>
      <c r="M41" s="37" t="e">
        <f t="shared" si="7"/>
        <v>#REF!</v>
      </c>
    </row>
    <row r="42" spans="1:13">
      <c r="A42" s="10">
        <v>38</v>
      </c>
      <c r="B42" s="86">
        <v>6.4699999999999994E-2</v>
      </c>
      <c r="C42">
        <v>0</v>
      </c>
      <c r="D42" s="37">
        <f t="shared" si="8"/>
        <v>18296.498141402619</v>
      </c>
      <c r="E42" s="76">
        <f t="shared" si="0"/>
        <v>1183.7834297487493</v>
      </c>
      <c r="F42" s="76">
        <f t="shared" si="1"/>
        <v>1183.7834297487493</v>
      </c>
      <c r="G42" s="37">
        <f t="shared" si="9"/>
        <v>18296.498141402619</v>
      </c>
      <c r="H42" s="37">
        <f t="shared" si="2"/>
        <v>17704.606426528244</v>
      </c>
      <c r="I42" s="45">
        <f t="shared" si="3"/>
        <v>17704.606426528244</v>
      </c>
      <c r="J42" s="37" t="e">
        <f t="shared" si="4"/>
        <v>#REF!</v>
      </c>
      <c r="K42" s="37" t="e">
        <f t="shared" si="5"/>
        <v>#REF!</v>
      </c>
      <c r="L42" s="37" t="e">
        <f t="shared" si="6"/>
        <v>#REF!</v>
      </c>
      <c r="M42" s="37" t="e">
        <f t="shared" si="7"/>
        <v>#REF!</v>
      </c>
    </row>
    <row r="43" spans="1:13">
      <c r="A43" s="10">
        <v>39</v>
      </c>
      <c r="B43" s="86">
        <v>6.4699999999999994E-2</v>
      </c>
      <c r="C43">
        <v>0</v>
      </c>
      <c r="D43" s="37">
        <f t="shared" si="8"/>
        <v>17112.714711653869</v>
      </c>
      <c r="E43" s="76">
        <f t="shared" si="0"/>
        <v>1107.1926418440053</v>
      </c>
      <c r="F43" s="76">
        <f t="shared" si="1"/>
        <v>1107.1926418440053</v>
      </c>
      <c r="G43" s="37">
        <f t="shared" si="9"/>
        <v>17112.714711653869</v>
      </c>
      <c r="H43" s="37">
        <f t="shared" si="2"/>
        <v>16559.118390731866</v>
      </c>
      <c r="I43" s="45">
        <f t="shared" si="3"/>
        <v>16559.118390731866</v>
      </c>
      <c r="J43" s="37" t="e">
        <f t="shared" si="4"/>
        <v>#REF!</v>
      </c>
      <c r="K43" s="37" t="e">
        <f t="shared" si="5"/>
        <v>#REF!</v>
      </c>
      <c r="L43" s="37" t="e">
        <f t="shared" si="6"/>
        <v>#REF!</v>
      </c>
      <c r="M43" s="37" t="e">
        <f t="shared" si="7"/>
        <v>#REF!</v>
      </c>
    </row>
    <row r="44" spans="1:13">
      <c r="A44" s="10">
        <v>40</v>
      </c>
      <c r="B44" s="86">
        <v>8.8999999999999996E-2</v>
      </c>
      <c r="C44">
        <v>0</v>
      </c>
      <c r="D44" s="37">
        <f t="shared" si="8"/>
        <v>16005.522069809864</v>
      </c>
      <c r="E44" s="76">
        <f t="shared" si="0"/>
        <v>1424.4914642130777</v>
      </c>
      <c r="F44" s="76">
        <f t="shared" si="1"/>
        <v>1424.4914642130777</v>
      </c>
      <c r="G44" s="37">
        <f t="shared" si="9"/>
        <v>16005.522069809864</v>
      </c>
      <c r="H44" s="37">
        <f t="shared" si="2"/>
        <v>15293.276337703326</v>
      </c>
      <c r="I44" s="45">
        <f t="shared" si="3"/>
        <v>15293.276337703326</v>
      </c>
      <c r="J44" s="37" t="e">
        <f t="shared" si="4"/>
        <v>#REF!</v>
      </c>
      <c r="K44" s="37" t="e">
        <f t="shared" si="5"/>
        <v>#REF!</v>
      </c>
      <c r="L44" s="37" t="e">
        <f t="shared" si="6"/>
        <v>#REF!</v>
      </c>
      <c r="M44" s="37" t="e">
        <f t="shared" si="7"/>
        <v>#REF!</v>
      </c>
    </row>
    <row r="45" spans="1:13">
      <c r="A45" s="10">
        <v>41</v>
      </c>
      <c r="B45" s="86">
        <v>8.8999999999999996E-2</v>
      </c>
      <c r="C45">
        <v>0</v>
      </c>
      <c r="D45" s="37">
        <f t="shared" si="8"/>
        <v>14581.030605596787</v>
      </c>
      <c r="E45" s="76">
        <f t="shared" si="0"/>
        <v>1297.7117238981139</v>
      </c>
      <c r="F45" s="76">
        <f t="shared" si="1"/>
        <v>1297.7117238981139</v>
      </c>
      <c r="G45" s="37">
        <f t="shared" si="9"/>
        <v>14581.030605596787</v>
      </c>
      <c r="H45" s="37">
        <f t="shared" si="2"/>
        <v>13932.174743647731</v>
      </c>
      <c r="I45" s="45">
        <f t="shared" si="3"/>
        <v>13932.174743647731</v>
      </c>
      <c r="J45" s="37" t="e">
        <f t="shared" si="4"/>
        <v>#REF!</v>
      </c>
      <c r="K45" s="37" t="e">
        <f t="shared" si="5"/>
        <v>#REF!</v>
      </c>
      <c r="L45" s="37" t="e">
        <f t="shared" si="6"/>
        <v>#REF!</v>
      </c>
      <c r="M45" s="37" t="e">
        <f t="shared" si="7"/>
        <v>#REF!</v>
      </c>
    </row>
    <row r="46" spans="1:13">
      <c r="A46" s="10">
        <v>42</v>
      </c>
      <c r="B46" s="86">
        <v>8.8999999999999996E-2</v>
      </c>
      <c r="C46">
        <v>0</v>
      </c>
      <c r="D46" s="37">
        <f t="shared" si="8"/>
        <v>13283.318881698673</v>
      </c>
      <c r="E46" s="76">
        <f t="shared" si="0"/>
        <v>1182.2153804711818</v>
      </c>
      <c r="F46" s="76">
        <f t="shared" si="1"/>
        <v>1182.2153804711818</v>
      </c>
      <c r="G46" s="37">
        <f t="shared" si="9"/>
        <v>13283.318881698673</v>
      </c>
      <c r="H46" s="37">
        <f t="shared" si="2"/>
        <v>12692.211191463082</v>
      </c>
      <c r="I46" s="45">
        <f t="shared" si="3"/>
        <v>12692.211191463082</v>
      </c>
      <c r="J46" s="37" t="e">
        <f t="shared" si="4"/>
        <v>#REF!</v>
      </c>
      <c r="K46" s="37" t="e">
        <f t="shared" si="5"/>
        <v>#REF!</v>
      </c>
      <c r="L46" s="37" t="e">
        <f t="shared" si="6"/>
        <v>#REF!</v>
      </c>
      <c r="M46" s="37" t="e">
        <f t="shared" si="7"/>
        <v>#REF!</v>
      </c>
    </row>
    <row r="47" spans="1:13">
      <c r="A47" s="10">
        <v>43</v>
      </c>
      <c r="B47" s="86">
        <v>8.8999999999999996E-2</v>
      </c>
      <c r="C47">
        <v>0</v>
      </c>
      <c r="D47" s="37">
        <f t="shared" si="8"/>
        <v>12101.103501227492</v>
      </c>
      <c r="E47" s="76">
        <f t="shared" si="0"/>
        <v>1076.9982116092467</v>
      </c>
      <c r="F47" s="76">
        <f t="shared" si="1"/>
        <v>1076.9982116092467</v>
      </c>
      <c r="G47" s="37">
        <f t="shared" si="9"/>
        <v>12101.103501227492</v>
      </c>
      <c r="H47" s="37">
        <f t="shared" si="2"/>
        <v>11562.604395422868</v>
      </c>
      <c r="I47" s="45">
        <f t="shared" si="3"/>
        <v>11562.604395422868</v>
      </c>
      <c r="J47" s="37" t="e">
        <f t="shared" si="4"/>
        <v>#REF!</v>
      </c>
      <c r="K47" s="37" t="e">
        <f t="shared" si="5"/>
        <v>#REF!</v>
      </c>
      <c r="L47" s="37" t="e">
        <f t="shared" si="6"/>
        <v>#REF!</v>
      </c>
      <c r="M47" s="37" t="e">
        <f t="shared" si="7"/>
        <v>#REF!</v>
      </c>
    </row>
    <row r="48" spans="1:13">
      <c r="A48" s="10">
        <v>44</v>
      </c>
      <c r="B48" s="86">
        <v>8.8999999999999996E-2</v>
      </c>
      <c r="C48">
        <v>0</v>
      </c>
      <c r="D48" s="37">
        <f t="shared" si="8"/>
        <v>11024.105289618245</v>
      </c>
      <c r="E48" s="76">
        <f t="shared" si="0"/>
        <v>981.1453707760237</v>
      </c>
      <c r="F48" s="76">
        <f t="shared" si="1"/>
        <v>981.1453707760237</v>
      </c>
      <c r="G48" s="37">
        <f t="shared" si="9"/>
        <v>11024.105289618245</v>
      </c>
      <c r="H48" s="37">
        <f t="shared" si="2"/>
        <v>10533.532604230233</v>
      </c>
      <c r="I48" s="45">
        <f t="shared" si="3"/>
        <v>10533.532604230233</v>
      </c>
      <c r="J48" s="37" t="e">
        <f t="shared" si="4"/>
        <v>#REF!</v>
      </c>
      <c r="K48" s="37" t="e">
        <f t="shared" si="5"/>
        <v>#REF!</v>
      </c>
      <c r="L48" s="37" t="e">
        <f t="shared" si="6"/>
        <v>#REF!</v>
      </c>
      <c r="M48" s="37" t="e">
        <f t="shared" si="7"/>
        <v>#REF!</v>
      </c>
    </row>
    <row r="49" spans="1:13">
      <c r="A49" s="10">
        <v>45</v>
      </c>
      <c r="B49" s="86">
        <v>8.9499999999999996E-2</v>
      </c>
      <c r="C49">
        <v>0</v>
      </c>
      <c r="D49" s="37">
        <f t="shared" si="8"/>
        <v>10042.959918842222</v>
      </c>
      <c r="E49" s="76">
        <f t="shared" si="0"/>
        <v>898.84491273637877</v>
      </c>
      <c r="F49" s="76">
        <f t="shared" si="1"/>
        <v>898.84491273637877</v>
      </c>
      <c r="G49" s="37">
        <f t="shared" si="9"/>
        <v>10042.959918842222</v>
      </c>
      <c r="H49" s="37">
        <f t="shared" si="2"/>
        <v>9593.5374624740325</v>
      </c>
      <c r="I49" s="45">
        <f t="shared" si="3"/>
        <v>9593.5374624740325</v>
      </c>
      <c r="J49" s="37" t="e">
        <f t="shared" si="4"/>
        <v>#REF!</v>
      </c>
      <c r="K49" s="37" t="e">
        <f t="shared" si="5"/>
        <v>#REF!</v>
      </c>
      <c r="L49" s="37" t="e">
        <f t="shared" si="6"/>
        <v>#REF!</v>
      </c>
      <c r="M49" s="37" t="e">
        <f t="shared" si="7"/>
        <v>#REF!</v>
      </c>
    </row>
    <row r="50" spans="1:13">
      <c r="A50" s="10">
        <v>46</v>
      </c>
      <c r="B50" s="86">
        <v>8.9499999999999996E-2</v>
      </c>
      <c r="C50">
        <v>0</v>
      </c>
      <c r="D50" s="37">
        <f t="shared" si="8"/>
        <v>9144.1150061058433</v>
      </c>
      <c r="E50" s="76">
        <f t="shared" si="0"/>
        <v>818.39829304647299</v>
      </c>
      <c r="F50" s="76">
        <f t="shared" si="1"/>
        <v>818.39829304647299</v>
      </c>
      <c r="G50" s="37">
        <f t="shared" si="9"/>
        <v>9144.1150061058433</v>
      </c>
      <c r="H50" s="37">
        <f t="shared" si="2"/>
        <v>8734.9158595826066</v>
      </c>
      <c r="I50" s="45">
        <f t="shared" si="3"/>
        <v>8734.9158595826066</v>
      </c>
      <c r="J50" s="37" t="e">
        <f t="shared" si="4"/>
        <v>#REF!</v>
      </c>
      <c r="K50" s="37" t="e">
        <f t="shared" si="5"/>
        <v>#REF!</v>
      </c>
      <c r="L50" s="37" t="e">
        <f t="shared" si="6"/>
        <v>#REF!</v>
      </c>
      <c r="M50" s="37" t="e">
        <f t="shared" si="7"/>
        <v>#REF!</v>
      </c>
    </row>
    <row r="51" spans="1:13">
      <c r="A51" s="10">
        <v>47</v>
      </c>
      <c r="B51" s="86">
        <v>8.9499999999999996E-2</v>
      </c>
      <c r="C51">
        <v>0</v>
      </c>
      <c r="D51" s="37">
        <f t="shared" si="8"/>
        <v>8325.7167130593698</v>
      </c>
      <c r="E51" s="76">
        <f t="shared" si="0"/>
        <v>745.15164581881356</v>
      </c>
      <c r="F51" s="76">
        <f t="shared" si="1"/>
        <v>745.15164581881356</v>
      </c>
      <c r="G51" s="37">
        <f t="shared" si="9"/>
        <v>8325.7167130593698</v>
      </c>
      <c r="H51" s="37">
        <f t="shared" si="2"/>
        <v>7953.1408901499635</v>
      </c>
      <c r="I51" s="45">
        <f t="shared" si="3"/>
        <v>7953.1408901499635</v>
      </c>
      <c r="J51" s="37" t="e">
        <f t="shared" si="4"/>
        <v>#REF!</v>
      </c>
      <c r="K51" s="37" t="e">
        <f t="shared" si="5"/>
        <v>#REF!</v>
      </c>
      <c r="L51" s="37" t="e">
        <f t="shared" si="6"/>
        <v>#REF!</v>
      </c>
      <c r="M51" s="37" t="e">
        <f t="shared" si="7"/>
        <v>#REF!</v>
      </c>
    </row>
    <row r="52" spans="1:13">
      <c r="A52" s="10">
        <v>48</v>
      </c>
      <c r="B52" s="86">
        <v>8.9499999999999996E-2</v>
      </c>
      <c r="C52">
        <v>0</v>
      </c>
      <c r="D52" s="37">
        <f t="shared" si="8"/>
        <v>7580.5650672405563</v>
      </c>
      <c r="E52" s="76">
        <f t="shared" si="0"/>
        <v>678.46057351802972</v>
      </c>
      <c r="F52" s="76">
        <f t="shared" si="1"/>
        <v>678.46057351802972</v>
      </c>
      <c r="G52" s="37">
        <f t="shared" si="9"/>
        <v>7580.5650672405563</v>
      </c>
      <c r="H52" s="37">
        <f t="shared" si="2"/>
        <v>7241.3347804815421</v>
      </c>
      <c r="I52" s="45">
        <f t="shared" si="3"/>
        <v>7241.3347804815421</v>
      </c>
      <c r="J52" s="37" t="e">
        <f t="shared" si="4"/>
        <v>#REF!</v>
      </c>
      <c r="K52" s="37" t="e">
        <f t="shared" si="5"/>
        <v>#REF!</v>
      </c>
      <c r="L52" s="37" t="e">
        <f t="shared" si="6"/>
        <v>#REF!</v>
      </c>
      <c r="M52" s="37" t="e">
        <f t="shared" si="7"/>
        <v>#REF!</v>
      </c>
    </row>
    <row r="53" spans="1:13">
      <c r="A53" s="10">
        <v>49</v>
      </c>
      <c r="B53" s="86">
        <v>8.9499999999999996E-2</v>
      </c>
      <c r="C53">
        <v>0</v>
      </c>
      <c r="D53" s="37">
        <f t="shared" si="8"/>
        <v>6902.104493722527</v>
      </c>
      <c r="E53" s="76">
        <f t="shared" si="0"/>
        <v>617.73835218816612</v>
      </c>
      <c r="F53" s="76">
        <f t="shared" si="1"/>
        <v>617.73835218816612</v>
      </c>
      <c r="G53" s="37">
        <f t="shared" si="9"/>
        <v>6902.104493722527</v>
      </c>
      <c r="H53" s="37">
        <f t="shared" si="2"/>
        <v>6593.2353176284441</v>
      </c>
      <c r="I53" s="45">
        <f t="shared" si="3"/>
        <v>6593.2353176284441</v>
      </c>
      <c r="J53" s="37" t="e">
        <f t="shared" si="4"/>
        <v>#REF!</v>
      </c>
      <c r="K53" s="37" t="e">
        <f t="shared" si="5"/>
        <v>#REF!</v>
      </c>
      <c r="L53" s="37" t="e">
        <f t="shared" si="6"/>
        <v>#REF!</v>
      </c>
      <c r="M53" s="37" t="e">
        <f t="shared" si="7"/>
        <v>#REF!</v>
      </c>
    </row>
    <row r="54" spans="1:13">
      <c r="A54" s="10">
        <v>50</v>
      </c>
      <c r="B54" s="86">
        <v>0.12529999999999999</v>
      </c>
      <c r="C54">
        <v>0</v>
      </c>
      <c r="D54" s="37">
        <f t="shared" si="8"/>
        <v>6284.3661415343613</v>
      </c>
      <c r="E54" s="76">
        <f t="shared" si="0"/>
        <v>787.43107753425545</v>
      </c>
      <c r="F54" s="76">
        <f t="shared" si="1"/>
        <v>787.43107753425545</v>
      </c>
      <c r="G54" s="37">
        <f t="shared" si="9"/>
        <v>6284.3661415343613</v>
      </c>
      <c r="H54" s="37">
        <f t="shared" si="2"/>
        <v>5890.6506027672331</v>
      </c>
      <c r="I54" s="45">
        <f t="shared" si="3"/>
        <v>5890.6506027672331</v>
      </c>
      <c r="J54" s="37" t="e">
        <f t="shared" si="4"/>
        <v>#REF!</v>
      </c>
      <c r="K54" s="37" t="e">
        <f t="shared" si="5"/>
        <v>#REF!</v>
      </c>
      <c r="L54" s="37" t="e">
        <f t="shared" si="6"/>
        <v>#REF!</v>
      </c>
      <c r="M54" s="37" t="e">
        <f t="shared" si="7"/>
        <v>#REF!</v>
      </c>
    </row>
    <row r="55" spans="1:13">
      <c r="A55" s="10">
        <v>51</v>
      </c>
      <c r="B55" s="86">
        <v>0.12529999999999999</v>
      </c>
      <c r="C55">
        <v>0</v>
      </c>
      <c r="D55" s="37">
        <f t="shared" si="8"/>
        <v>5496.9350640001057</v>
      </c>
      <c r="E55" s="76">
        <f t="shared" si="0"/>
        <v>688.76596351921319</v>
      </c>
      <c r="F55" s="76">
        <f t="shared" si="1"/>
        <v>688.76596351921319</v>
      </c>
      <c r="G55" s="37">
        <f t="shared" si="9"/>
        <v>5496.9350640001057</v>
      </c>
      <c r="H55" s="37">
        <f t="shared" si="2"/>
        <v>5152.5520822404997</v>
      </c>
      <c r="I55" s="45">
        <f t="shared" si="3"/>
        <v>5152.5520822404997</v>
      </c>
      <c r="J55" s="37" t="e">
        <f t="shared" si="4"/>
        <v>#REF!</v>
      </c>
      <c r="K55" s="37" t="e">
        <f t="shared" si="5"/>
        <v>#REF!</v>
      </c>
      <c r="L55" s="37" t="e">
        <f t="shared" si="6"/>
        <v>#REF!</v>
      </c>
      <c r="M55" s="37" t="e">
        <f t="shared" si="7"/>
        <v>#REF!</v>
      </c>
    </row>
    <row r="56" spans="1:13">
      <c r="A56" s="10">
        <v>52</v>
      </c>
      <c r="B56" s="86">
        <v>0.12529999999999999</v>
      </c>
      <c r="C56">
        <v>0</v>
      </c>
      <c r="D56" s="37">
        <f t="shared" si="8"/>
        <v>4808.1691004808927</v>
      </c>
      <c r="E56" s="76">
        <f t="shared" si="0"/>
        <v>602.46358829025587</v>
      </c>
      <c r="F56" s="76">
        <f t="shared" si="1"/>
        <v>602.46358829025587</v>
      </c>
      <c r="G56" s="37">
        <f t="shared" si="9"/>
        <v>4808.1691004808927</v>
      </c>
      <c r="H56" s="37">
        <f t="shared" si="2"/>
        <v>4506.9373063357652</v>
      </c>
      <c r="I56" s="45">
        <f t="shared" si="3"/>
        <v>4506.9373063357652</v>
      </c>
      <c r="J56" s="37" t="e">
        <f t="shared" si="4"/>
        <v>#REF!</v>
      </c>
      <c r="K56" s="37" t="e">
        <f t="shared" si="5"/>
        <v>#REF!</v>
      </c>
      <c r="L56" s="37" t="e">
        <f t="shared" si="6"/>
        <v>#REF!</v>
      </c>
      <c r="M56" s="37" t="e">
        <f t="shared" si="7"/>
        <v>#REF!</v>
      </c>
    </row>
    <row r="57" spans="1:13">
      <c r="A57" s="10">
        <v>53</v>
      </c>
      <c r="B57" s="86">
        <v>0.12529999999999999</v>
      </c>
      <c r="C57">
        <v>0</v>
      </c>
      <c r="D57" s="37">
        <f t="shared" si="8"/>
        <v>4205.7055121906369</v>
      </c>
      <c r="E57" s="76">
        <f t="shared" si="0"/>
        <v>526.97490067748674</v>
      </c>
      <c r="F57" s="76">
        <f t="shared" si="1"/>
        <v>526.97490067748674</v>
      </c>
      <c r="G57" s="37">
        <f t="shared" si="9"/>
        <v>4205.7055121906369</v>
      </c>
      <c r="H57" s="37">
        <f t="shared" si="2"/>
        <v>3942.2180618518933</v>
      </c>
      <c r="I57" s="45">
        <f t="shared" si="3"/>
        <v>3942.2180618518933</v>
      </c>
      <c r="J57" s="37" t="e">
        <f t="shared" si="4"/>
        <v>#REF!</v>
      </c>
      <c r="K57" s="37" t="e">
        <f t="shared" si="5"/>
        <v>#REF!</v>
      </c>
      <c r="L57" s="37" t="e">
        <f t="shared" si="6"/>
        <v>#REF!</v>
      </c>
      <c r="M57" s="37" t="e">
        <f t="shared" si="7"/>
        <v>#REF!</v>
      </c>
    </row>
    <row r="58" spans="1:13">
      <c r="A58" s="10">
        <v>54</v>
      </c>
      <c r="B58" s="86">
        <v>0.12529999999999999</v>
      </c>
      <c r="C58">
        <v>0</v>
      </c>
      <c r="D58" s="37">
        <f t="shared" si="8"/>
        <v>3678.7306115131501</v>
      </c>
      <c r="E58" s="76">
        <f t="shared" si="0"/>
        <v>460.94494562259769</v>
      </c>
      <c r="F58" s="76">
        <f t="shared" si="1"/>
        <v>460.94494562259769</v>
      </c>
      <c r="G58" s="37">
        <f t="shared" si="9"/>
        <v>3678.7306115131501</v>
      </c>
      <c r="H58" s="37">
        <f t="shared" si="2"/>
        <v>3448.2581387018513</v>
      </c>
      <c r="I58" s="45">
        <f t="shared" si="3"/>
        <v>3448.2581387018513</v>
      </c>
      <c r="J58" s="37" t="e">
        <f t="shared" si="4"/>
        <v>#REF!</v>
      </c>
      <c r="K58" s="37" t="e">
        <f t="shared" si="5"/>
        <v>#REF!</v>
      </c>
      <c r="L58" s="37" t="e">
        <f t="shared" si="6"/>
        <v>#REF!</v>
      </c>
      <c r="M58" s="37" t="e">
        <f t="shared" si="7"/>
        <v>#REF!</v>
      </c>
    </row>
    <row r="59" spans="1:13">
      <c r="A59" s="10">
        <v>55</v>
      </c>
      <c r="B59" s="86">
        <v>0.1148</v>
      </c>
      <c r="C59">
        <v>0</v>
      </c>
      <c r="D59" s="37">
        <f t="shared" si="8"/>
        <v>3217.7856658905525</v>
      </c>
      <c r="E59" s="76">
        <f t="shared" si="0"/>
        <v>369.40179444423541</v>
      </c>
      <c r="F59" s="76">
        <f t="shared" si="1"/>
        <v>369.40179444423541</v>
      </c>
      <c r="G59" s="37">
        <f t="shared" si="9"/>
        <v>3217.7856658905525</v>
      </c>
      <c r="H59" s="37">
        <f t="shared" si="2"/>
        <v>3033.0847686684347</v>
      </c>
      <c r="I59" s="45">
        <f t="shared" si="3"/>
        <v>3033.0847686684347</v>
      </c>
      <c r="J59" s="37" t="e">
        <f t="shared" si="4"/>
        <v>#REF!</v>
      </c>
      <c r="K59" s="37" t="e">
        <f t="shared" si="5"/>
        <v>#REF!</v>
      </c>
      <c r="L59" s="37" t="e">
        <f t="shared" si="6"/>
        <v>#REF!</v>
      </c>
      <c r="M59" s="37" t="e">
        <f t="shared" si="7"/>
        <v>#REF!</v>
      </c>
    </row>
    <row r="60" spans="1:13">
      <c r="A60" s="10">
        <v>56</v>
      </c>
      <c r="B60" s="86">
        <v>0.1148</v>
      </c>
      <c r="C60">
        <v>0</v>
      </c>
      <c r="D60" s="37">
        <f t="shared" si="8"/>
        <v>2848.3838714463172</v>
      </c>
      <c r="E60" s="76">
        <f t="shared" si="0"/>
        <v>326.9944684420372</v>
      </c>
      <c r="F60" s="76">
        <f t="shared" si="1"/>
        <v>326.9944684420372</v>
      </c>
      <c r="G60" s="37">
        <f t="shared" si="9"/>
        <v>2848.3838714463172</v>
      </c>
      <c r="H60" s="37">
        <f t="shared" si="2"/>
        <v>2684.8866372252987</v>
      </c>
      <c r="I60" s="45">
        <f t="shared" si="3"/>
        <v>2684.8866372252987</v>
      </c>
      <c r="J60" s="37" t="e">
        <f t="shared" si="4"/>
        <v>#REF!</v>
      </c>
      <c r="K60" s="37" t="e">
        <f t="shared" si="5"/>
        <v>#REF!</v>
      </c>
      <c r="L60" s="37" t="e">
        <f t="shared" si="6"/>
        <v>#REF!</v>
      </c>
      <c r="M60" s="37" t="e">
        <f t="shared" si="7"/>
        <v>#REF!</v>
      </c>
    </row>
    <row r="61" spans="1:13">
      <c r="A61" s="10">
        <v>57</v>
      </c>
      <c r="B61" s="86">
        <v>0.1148</v>
      </c>
      <c r="C61">
        <v>0</v>
      </c>
      <c r="D61" s="37">
        <f t="shared" si="8"/>
        <v>2521.3894030042802</v>
      </c>
      <c r="E61" s="76">
        <f t="shared" si="0"/>
        <v>289.45550346489136</v>
      </c>
      <c r="F61" s="76">
        <f t="shared" si="1"/>
        <v>289.45550346489136</v>
      </c>
      <c r="G61" s="37">
        <f t="shared" si="9"/>
        <v>2521.3894030042802</v>
      </c>
      <c r="H61" s="37">
        <f t="shared" si="2"/>
        <v>2376.6616512718347</v>
      </c>
      <c r="I61" s="45">
        <f t="shared" si="3"/>
        <v>2376.6616512718347</v>
      </c>
      <c r="J61" s="37" t="e">
        <f t="shared" si="4"/>
        <v>#REF!</v>
      </c>
      <c r="K61" s="37" t="e">
        <f t="shared" si="5"/>
        <v>#REF!</v>
      </c>
      <c r="L61" s="37" t="e">
        <f t="shared" si="6"/>
        <v>#REF!</v>
      </c>
      <c r="M61" s="37" t="e">
        <f t="shared" si="7"/>
        <v>#REF!</v>
      </c>
    </row>
    <row r="62" spans="1:13">
      <c r="A62" s="10">
        <v>58</v>
      </c>
      <c r="B62" s="86">
        <v>0.1148</v>
      </c>
      <c r="C62">
        <v>0</v>
      </c>
      <c r="D62" s="37">
        <f t="shared" si="8"/>
        <v>2231.9338995393887</v>
      </c>
      <c r="E62" s="76">
        <f t="shared" si="0"/>
        <v>256.22601166712184</v>
      </c>
      <c r="F62" s="76">
        <f t="shared" si="1"/>
        <v>256.22601166712184</v>
      </c>
      <c r="G62" s="37">
        <f t="shared" si="9"/>
        <v>2231.9338995393887</v>
      </c>
      <c r="H62" s="37">
        <f t="shared" si="2"/>
        <v>2103.820893705828</v>
      </c>
      <c r="I62" s="45">
        <f t="shared" si="3"/>
        <v>2103.820893705828</v>
      </c>
      <c r="J62" s="37" t="e">
        <f t="shared" si="4"/>
        <v>#REF!</v>
      </c>
      <c r="K62" s="37" t="e">
        <f t="shared" si="5"/>
        <v>#REF!</v>
      </c>
      <c r="L62" s="37" t="e">
        <f t="shared" si="6"/>
        <v>#REF!</v>
      </c>
      <c r="M62" s="37" t="e">
        <f t="shared" si="7"/>
        <v>#REF!</v>
      </c>
    </row>
    <row r="63" spans="1:13">
      <c r="A63" s="10">
        <v>59</v>
      </c>
      <c r="B63" s="86">
        <v>0.1148</v>
      </c>
      <c r="C63">
        <v>0</v>
      </c>
      <c r="D63" s="37">
        <f t="shared" si="8"/>
        <v>1975.7078878722668</v>
      </c>
      <c r="E63" s="76">
        <f t="shared" si="0"/>
        <v>226.81126552773623</v>
      </c>
      <c r="F63" s="76">
        <f t="shared" si="1"/>
        <v>226.81126552773623</v>
      </c>
      <c r="G63" s="37">
        <f t="shared" si="9"/>
        <v>1975.7078878722668</v>
      </c>
      <c r="H63" s="37">
        <f t="shared" si="2"/>
        <v>1862.3022551083986</v>
      </c>
      <c r="I63" s="45">
        <f t="shared" si="3"/>
        <v>1862.3022551083986</v>
      </c>
      <c r="J63" s="37" t="e">
        <f t="shared" si="4"/>
        <v>#REF!</v>
      </c>
      <c r="K63" s="37" t="e">
        <f t="shared" si="5"/>
        <v>#REF!</v>
      </c>
      <c r="L63" s="37" t="e">
        <f t="shared" si="6"/>
        <v>#REF!</v>
      </c>
      <c r="M63" s="37" t="e">
        <f t="shared" si="7"/>
        <v>#REF!</v>
      </c>
    </row>
    <row r="64" spans="1:13">
      <c r="A64" s="10">
        <v>60</v>
      </c>
      <c r="B64" s="86">
        <v>0.19070000000000001</v>
      </c>
      <c r="C64">
        <v>0</v>
      </c>
      <c r="D64" s="37">
        <f t="shared" si="8"/>
        <v>1748.8966223445307</v>
      </c>
      <c r="E64" s="76">
        <f t="shared" si="0"/>
        <v>333.51458588110199</v>
      </c>
      <c r="F64" s="76">
        <f t="shared" si="1"/>
        <v>333.51458588110199</v>
      </c>
      <c r="G64" s="37">
        <f t="shared" si="9"/>
        <v>1748.8966223445307</v>
      </c>
      <c r="H64" s="37">
        <f t="shared" si="2"/>
        <v>1582.1393294039797</v>
      </c>
      <c r="I64" s="45">
        <f t="shared" si="3"/>
        <v>1582.1393294039797</v>
      </c>
      <c r="J64" s="37" t="e">
        <f t="shared" si="4"/>
        <v>#REF!</v>
      </c>
      <c r="K64" s="37" t="e">
        <f t="shared" si="5"/>
        <v>#REF!</v>
      </c>
      <c r="L64" s="37" t="e">
        <f t="shared" si="6"/>
        <v>#REF!</v>
      </c>
      <c r="M64" s="37" t="e">
        <f t="shared" si="7"/>
        <v>#REF!</v>
      </c>
    </row>
    <row r="65" spans="1:13">
      <c r="A65" s="10">
        <v>61</v>
      </c>
      <c r="B65" s="86">
        <v>0.19070000000000001</v>
      </c>
      <c r="C65">
        <v>0</v>
      </c>
      <c r="D65" s="37">
        <f t="shared" si="8"/>
        <v>1415.3820364634287</v>
      </c>
      <c r="E65" s="76">
        <f t="shared" si="0"/>
        <v>269.91335435357587</v>
      </c>
      <c r="F65" s="76">
        <f t="shared" si="1"/>
        <v>269.91335435357587</v>
      </c>
      <c r="G65" s="37">
        <f t="shared" si="9"/>
        <v>1415.3820364634287</v>
      </c>
      <c r="H65" s="37">
        <f t="shared" si="2"/>
        <v>1280.4253592866407</v>
      </c>
      <c r="I65" s="45">
        <f t="shared" si="3"/>
        <v>1280.4253592866407</v>
      </c>
      <c r="J65" s="37" t="e">
        <f t="shared" si="4"/>
        <v>#REF!</v>
      </c>
      <c r="K65" s="37" t="e">
        <f t="shared" si="5"/>
        <v>#REF!</v>
      </c>
      <c r="L65" s="37" t="e">
        <f t="shared" si="6"/>
        <v>#REF!</v>
      </c>
      <c r="M65" s="37" t="e">
        <f t="shared" si="7"/>
        <v>#REF!</v>
      </c>
    </row>
    <row r="66" spans="1:13">
      <c r="A66" s="10">
        <v>62</v>
      </c>
      <c r="B66" s="86">
        <v>0.19070000000000001</v>
      </c>
      <c r="C66">
        <v>0</v>
      </c>
      <c r="D66" s="37">
        <f t="shared" si="8"/>
        <v>1145.4686821098528</v>
      </c>
      <c r="E66" s="76">
        <f t="shared" si="0"/>
        <v>218.44087767834893</v>
      </c>
      <c r="F66" s="76">
        <f t="shared" si="1"/>
        <v>218.44087767834893</v>
      </c>
      <c r="G66" s="37">
        <f t="shared" si="9"/>
        <v>1145.4686821098528</v>
      </c>
      <c r="H66" s="37">
        <f t="shared" si="2"/>
        <v>1036.2482432706784</v>
      </c>
      <c r="I66" s="45">
        <f t="shared" si="3"/>
        <v>1036.2482432706784</v>
      </c>
      <c r="J66" s="37" t="e">
        <f t="shared" si="4"/>
        <v>#REF!</v>
      </c>
      <c r="K66" s="37" t="e">
        <f t="shared" si="5"/>
        <v>#REF!</v>
      </c>
      <c r="L66" s="37" t="e">
        <f t="shared" si="6"/>
        <v>#REF!</v>
      </c>
      <c r="M66" s="37" t="e">
        <f t="shared" si="7"/>
        <v>#REF!</v>
      </c>
    </row>
    <row r="67" spans="1:13">
      <c r="A67" s="10">
        <v>63</v>
      </c>
      <c r="B67" s="86">
        <v>0.19070000000000001</v>
      </c>
      <c r="C67">
        <v>0</v>
      </c>
      <c r="D67" s="37">
        <f t="shared" si="8"/>
        <v>927.02780443150391</v>
      </c>
      <c r="E67" s="76">
        <f t="shared" si="0"/>
        <v>176.7842023050878</v>
      </c>
      <c r="F67" s="76">
        <f t="shared" si="1"/>
        <v>176.7842023050878</v>
      </c>
      <c r="G67" s="37">
        <f t="shared" si="9"/>
        <v>927.02780443150391</v>
      </c>
      <c r="H67" s="37">
        <f t="shared" si="2"/>
        <v>838.63570327896002</v>
      </c>
      <c r="I67" s="45">
        <f t="shared" si="3"/>
        <v>838.63570327896002</v>
      </c>
      <c r="J67" s="37" t="e">
        <f t="shared" si="4"/>
        <v>#REF!</v>
      </c>
      <c r="K67" s="37" t="e">
        <f t="shared" si="5"/>
        <v>#REF!</v>
      </c>
      <c r="L67" s="37" t="e">
        <f t="shared" si="6"/>
        <v>#REF!</v>
      </c>
      <c r="M67" s="37" t="e">
        <f t="shared" si="7"/>
        <v>#REF!</v>
      </c>
    </row>
    <row r="68" spans="1:13">
      <c r="A68" s="10">
        <v>64</v>
      </c>
      <c r="B68" s="86">
        <v>0.19070000000000001</v>
      </c>
      <c r="C68">
        <v>0</v>
      </c>
      <c r="D68" s="37">
        <f t="shared" si="8"/>
        <v>750.24360212641614</v>
      </c>
      <c r="E68" s="76">
        <f t="shared" si="0"/>
        <v>143.07145492550757</v>
      </c>
      <c r="F68" s="76">
        <f t="shared" si="1"/>
        <v>143.07145492550757</v>
      </c>
      <c r="G68" s="37">
        <f t="shared" si="9"/>
        <v>750.24360212641614</v>
      </c>
      <c r="H68" s="37">
        <f t="shared" si="2"/>
        <v>678.70787466366232</v>
      </c>
      <c r="I68" s="45">
        <f t="shared" si="3"/>
        <v>678.70787466366232</v>
      </c>
      <c r="J68" s="37" t="e">
        <f t="shared" si="4"/>
        <v>#REF!</v>
      </c>
      <c r="K68" s="37" t="e">
        <f t="shared" si="5"/>
        <v>#REF!</v>
      </c>
      <c r="L68" s="37" t="e">
        <f t="shared" si="6"/>
        <v>#REF!</v>
      </c>
      <c r="M68" s="37" t="e">
        <f t="shared" si="7"/>
        <v>#REF!</v>
      </c>
    </row>
    <row r="69" spans="1:13">
      <c r="A69" s="10">
        <v>65</v>
      </c>
      <c r="B69" s="86">
        <v>0.17519999999999999</v>
      </c>
      <c r="C69">
        <v>0</v>
      </c>
      <c r="D69" s="37">
        <f t="shared" si="8"/>
        <v>607.17214720090851</v>
      </c>
      <c r="E69" s="76">
        <f t="shared" ref="E69:E94" si="10">+B69*D69</f>
        <v>106.37656018959918</v>
      </c>
      <c r="F69" s="76">
        <f t="shared" ref="F69:F94" si="11">+(B69-C69)*D69</f>
        <v>106.37656018959918</v>
      </c>
      <c r="G69" s="37">
        <f t="shared" si="9"/>
        <v>607.17214720090851</v>
      </c>
      <c r="H69" s="37">
        <f t="shared" ref="H69:H93" si="12">+(D69+D70)/2</f>
        <v>553.98386710610896</v>
      </c>
      <c r="I69" s="45">
        <f t="shared" ref="I69:I93" si="13">+(G69+G70)/2</f>
        <v>553.98386710610896</v>
      </c>
      <c r="J69" s="37" t="e">
        <f t="shared" ref="J69:J93" si="14">+J70+H69</f>
        <v>#REF!</v>
      </c>
      <c r="K69" s="37" t="e">
        <f t="shared" ref="K69:K93" si="15">+K70+I69</f>
        <v>#REF!</v>
      </c>
      <c r="L69" s="37" t="e">
        <f t="shared" ref="L69:L94" si="16">IF(H69=0,0,J69/H69)</f>
        <v>#REF!</v>
      </c>
      <c r="M69" s="37" t="e">
        <f t="shared" ref="M69:M94" si="17">IF(I69=0,0,K69/I69)</f>
        <v>#REF!</v>
      </c>
    </row>
    <row r="70" spans="1:13">
      <c r="A70" s="10">
        <v>66</v>
      </c>
      <c r="B70" s="86">
        <v>0.17519999999999999</v>
      </c>
      <c r="C70">
        <v>0</v>
      </c>
      <c r="D70" s="37">
        <f t="shared" ref="D70:D94" si="18">+D69-(D69*B69)</f>
        <v>500.79558701130935</v>
      </c>
      <c r="E70" s="76">
        <f t="shared" si="10"/>
        <v>87.7393868443814</v>
      </c>
      <c r="F70" s="76">
        <f t="shared" si="11"/>
        <v>87.7393868443814</v>
      </c>
      <c r="G70" s="37">
        <f t="shared" ref="G70:G94" si="19">G69-(B69-C69)*G69</f>
        <v>500.79558701130935</v>
      </c>
      <c r="H70" s="37">
        <f t="shared" si="12"/>
        <v>456.92589358911869</v>
      </c>
      <c r="I70" s="45">
        <f t="shared" si="13"/>
        <v>456.92589358911869</v>
      </c>
      <c r="J70" s="37" t="e">
        <f t="shared" si="14"/>
        <v>#REF!</v>
      </c>
      <c r="K70" s="37" t="e">
        <f t="shared" si="15"/>
        <v>#REF!</v>
      </c>
      <c r="L70" s="37" t="e">
        <f t="shared" si="16"/>
        <v>#REF!</v>
      </c>
      <c r="M70" s="37" t="e">
        <f t="shared" si="17"/>
        <v>#REF!</v>
      </c>
    </row>
    <row r="71" spans="1:13">
      <c r="A71" s="10">
        <v>67</v>
      </c>
      <c r="B71" s="86">
        <v>0.17519999999999999</v>
      </c>
      <c r="C71">
        <v>0</v>
      </c>
      <c r="D71" s="37">
        <f t="shared" si="18"/>
        <v>413.05620016692797</v>
      </c>
      <c r="E71" s="76">
        <f t="shared" si="10"/>
        <v>72.367446269245775</v>
      </c>
      <c r="F71" s="76">
        <f t="shared" si="11"/>
        <v>72.367446269245775</v>
      </c>
      <c r="G71" s="37">
        <f t="shared" si="19"/>
        <v>413.05620016692797</v>
      </c>
      <c r="H71" s="37">
        <f t="shared" si="12"/>
        <v>376.87247703230508</v>
      </c>
      <c r="I71" s="45">
        <f t="shared" si="13"/>
        <v>376.87247703230508</v>
      </c>
      <c r="J71" s="37" t="e">
        <f t="shared" si="14"/>
        <v>#REF!</v>
      </c>
      <c r="K71" s="37" t="e">
        <f t="shared" si="15"/>
        <v>#REF!</v>
      </c>
      <c r="L71" s="37" t="e">
        <f t="shared" si="16"/>
        <v>#REF!</v>
      </c>
      <c r="M71" s="37" t="e">
        <f t="shared" si="17"/>
        <v>#REF!</v>
      </c>
    </row>
    <row r="72" spans="1:13">
      <c r="A72" s="10">
        <v>68</v>
      </c>
      <c r="B72" s="86">
        <v>0.17519999999999999</v>
      </c>
      <c r="C72">
        <v>0</v>
      </c>
      <c r="D72" s="37">
        <f t="shared" si="18"/>
        <v>340.6887538976822</v>
      </c>
      <c r="E72" s="76">
        <f t="shared" si="10"/>
        <v>59.688669682873922</v>
      </c>
      <c r="F72" s="76">
        <f t="shared" si="11"/>
        <v>59.688669682873922</v>
      </c>
      <c r="G72" s="37">
        <f t="shared" si="19"/>
        <v>340.6887538976822</v>
      </c>
      <c r="H72" s="37">
        <f t="shared" si="12"/>
        <v>310.84441905624521</v>
      </c>
      <c r="I72" s="45">
        <f t="shared" si="13"/>
        <v>310.84441905624521</v>
      </c>
      <c r="J72" s="37" t="e">
        <f t="shared" si="14"/>
        <v>#REF!</v>
      </c>
      <c r="K72" s="37" t="e">
        <f t="shared" si="15"/>
        <v>#REF!</v>
      </c>
      <c r="L72" s="37" t="e">
        <f t="shared" si="16"/>
        <v>#REF!</v>
      </c>
      <c r="M72" s="37" t="e">
        <f t="shared" si="17"/>
        <v>#REF!</v>
      </c>
    </row>
    <row r="73" spans="1:13">
      <c r="A73" s="10">
        <v>69</v>
      </c>
      <c r="B73" s="86">
        <v>0.17519999999999999</v>
      </c>
      <c r="C73">
        <v>0</v>
      </c>
      <c r="D73" s="37">
        <f t="shared" si="18"/>
        <v>281.00008421480828</v>
      </c>
      <c r="E73" s="76">
        <f t="shared" si="10"/>
        <v>49.231214754434411</v>
      </c>
      <c r="F73" s="76">
        <f t="shared" si="11"/>
        <v>49.231214754434411</v>
      </c>
      <c r="G73" s="37">
        <f t="shared" si="19"/>
        <v>281.00008421480828</v>
      </c>
      <c r="H73" s="37">
        <f t="shared" si="12"/>
        <v>256.38447683759108</v>
      </c>
      <c r="I73" s="45">
        <f t="shared" si="13"/>
        <v>256.38447683759108</v>
      </c>
      <c r="J73" s="37" t="e">
        <f t="shared" si="14"/>
        <v>#REF!</v>
      </c>
      <c r="K73" s="37" t="e">
        <f t="shared" si="15"/>
        <v>#REF!</v>
      </c>
      <c r="L73" s="37" t="e">
        <f t="shared" si="16"/>
        <v>#REF!</v>
      </c>
      <c r="M73" s="37" t="e">
        <f t="shared" si="17"/>
        <v>#REF!</v>
      </c>
    </row>
    <row r="74" spans="1:13">
      <c r="A74" s="10">
        <v>70</v>
      </c>
      <c r="B74" s="86">
        <v>0.28660000000000002</v>
      </c>
      <c r="C74">
        <v>0</v>
      </c>
      <c r="D74" s="37">
        <f t="shared" si="18"/>
        <v>231.76886946037388</v>
      </c>
      <c r="E74" s="76">
        <f t="shared" si="10"/>
        <v>66.424957987343163</v>
      </c>
      <c r="F74" s="76">
        <f t="shared" si="11"/>
        <v>66.424957987343163</v>
      </c>
      <c r="G74" s="37">
        <f t="shared" si="19"/>
        <v>231.76886946037388</v>
      </c>
      <c r="H74" s="37">
        <f t="shared" si="12"/>
        <v>198.55639046670228</v>
      </c>
      <c r="I74" s="45">
        <f t="shared" si="13"/>
        <v>198.55639046670228</v>
      </c>
      <c r="J74" s="37" t="e">
        <f t="shared" si="14"/>
        <v>#REF!</v>
      </c>
      <c r="K74" s="37" t="e">
        <f t="shared" si="15"/>
        <v>#REF!</v>
      </c>
      <c r="L74" s="37" t="e">
        <f t="shared" si="16"/>
        <v>#REF!</v>
      </c>
      <c r="M74" s="37" t="e">
        <f t="shared" si="17"/>
        <v>#REF!</v>
      </c>
    </row>
    <row r="75" spans="1:13">
      <c r="A75" s="10">
        <v>71</v>
      </c>
      <c r="B75" s="86">
        <v>0.28660000000000002</v>
      </c>
      <c r="C75">
        <v>0</v>
      </c>
      <c r="D75" s="37">
        <f t="shared" si="18"/>
        <v>165.34391147303072</v>
      </c>
      <c r="E75" s="76">
        <f t="shared" si="10"/>
        <v>47.387565028170606</v>
      </c>
      <c r="F75" s="76">
        <f t="shared" si="11"/>
        <v>47.387565028170606</v>
      </c>
      <c r="G75" s="37">
        <f t="shared" si="19"/>
        <v>165.34391147303072</v>
      </c>
      <c r="H75" s="37">
        <f t="shared" si="12"/>
        <v>141.6501289589454</v>
      </c>
      <c r="I75" s="45">
        <f t="shared" si="13"/>
        <v>141.6501289589454</v>
      </c>
      <c r="J75" s="37" t="e">
        <f t="shared" si="14"/>
        <v>#REF!</v>
      </c>
      <c r="K75" s="37" t="e">
        <f t="shared" si="15"/>
        <v>#REF!</v>
      </c>
      <c r="L75" s="37" t="e">
        <f t="shared" si="16"/>
        <v>#REF!</v>
      </c>
      <c r="M75" s="37" t="e">
        <f t="shared" si="17"/>
        <v>#REF!</v>
      </c>
    </row>
    <row r="76" spans="1:13">
      <c r="A76" s="10">
        <v>72</v>
      </c>
      <c r="B76" s="86">
        <v>0.28660000000000002</v>
      </c>
      <c r="C76">
        <v>0</v>
      </c>
      <c r="D76" s="37">
        <f t="shared" si="18"/>
        <v>117.95634644486012</v>
      </c>
      <c r="E76" s="76">
        <f t="shared" si="10"/>
        <v>33.806288891096912</v>
      </c>
      <c r="F76" s="76">
        <f t="shared" si="11"/>
        <v>33.806288891096912</v>
      </c>
      <c r="G76" s="37">
        <f t="shared" si="19"/>
        <v>117.95634644486012</v>
      </c>
      <c r="H76" s="37">
        <f t="shared" si="12"/>
        <v>101.05320199931165</v>
      </c>
      <c r="I76" s="45">
        <f t="shared" si="13"/>
        <v>101.05320199931165</v>
      </c>
      <c r="J76" s="37" t="e">
        <f t="shared" si="14"/>
        <v>#REF!</v>
      </c>
      <c r="K76" s="37" t="e">
        <f t="shared" si="15"/>
        <v>#REF!</v>
      </c>
      <c r="L76" s="37" t="e">
        <f t="shared" si="16"/>
        <v>#REF!</v>
      </c>
      <c r="M76" s="37" t="e">
        <f t="shared" si="17"/>
        <v>#REF!</v>
      </c>
    </row>
    <row r="77" spans="1:13">
      <c r="A77" s="10">
        <v>73</v>
      </c>
      <c r="B77" s="86">
        <v>0.28660000000000002</v>
      </c>
      <c r="C77">
        <v>0</v>
      </c>
      <c r="D77" s="37">
        <f t="shared" si="18"/>
        <v>84.150057553763205</v>
      </c>
      <c r="E77" s="76">
        <f t="shared" si="10"/>
        <v>24.117406494908536</v>
      </c>
      <c r="F77" s="76">
        <f t="shared" si="11"/>
        <v>24.117406494908536</v>
      </c>
      <c r="G77" s="37">
        <f t="shared" si="19"/>
        <v>84.150057553763205</v>
      </c>
      <c r="H77" s="37">
        <f t="shared" si="12"/>
        <v>72.091354306308943</v>
      </c>
      <c r="I77" s="45">
        <f t="shared" si="13"/>
        <v>72.091354306308943</v>
      </c>
      <c r="J77" s="37" t="e">
        <f t="shared" si="14"/>
        <v>#REF!</v>
      </c>
      <c r="K77" s="37" t="e">
        <f t="shared" si="15"/>
        <v>#REF!</v>
      </c>
      <c r="L77" s="37" t="e">
        <f t="shared" si="16"/>
        <v>#REF!</v>
      </c>
      <c r="M77" s="37" t="e">
        <f t="shared" si="17"/>
        <v>#REF!</v>
      </c>
    </row>
    <row r="78" spans="1:13">
      <c r="A78" s="10">
        <v>74</v>
      </c>
      <c r="B78" s="86">
        <v>0.28660000000000002</v>
      </c>
      <c r="C78">
        <v>0</v>
      </c>
      <c r="D78" s="37">
        <f t="shared" si="18"/>
        <v>60.032651058854668</v>
      </c>
      <c r="E78" s="76">
        <f t="shared" si="10"/>
        <v>17.205357793467748</v>
      </c>
      <c r="F78" s="76">
        <f t="shared" si="11"/>
        <v>17.205357793467748</v>
      </c>
      <c r="G78" s="37">
        <f t="shared" si="19"/>
        <v>60.032651058854668</v>
      </c>
      <c r="H78" s="37">
        <f t="shared" si="12"/>
        <v>51.429972162120791</v>
      </c>
      <c r="I78" s="45">
        <f t="shared" si="13"/>
        <v>51.429972162120791</v>
      </c>
      <c r="J78" s="37" t="e">
        <f t="shared" si="14"/>
        <v>#REF!</v>
      </c>
      <c r="K78" s="37" t="e">
        <f t="shared" si="15"/>
        <v>#REF!</v>
      </c>
      <c r="L78" s="37" t="e">
        <f t="shared" si="16"/>
        <v>#REF!</v>
      </c>
      <c r="M78" s="37" t="e">
        <f t="shared" si="17"/>
        <v>#REF!</v>
      </c>
    </row>
    <row r="79" spans="1:13">
      <c r="A79" s="10">
        <v>75</v>
      </c>
      <c r="B79" s="86">
        <v>0.2903</v>
      </c>
      <c r="C79">
        <v>0</v>
      </c>
      <c r="D79" s="37">
        <f t="shared" si="18"/>
        <v>42.82729326538692</v>
      </c>
      <c r="E79" s="76">
        <f t="shared" si="10"/>
        <v>12.432763234941824</v>
      </c>
      <c r="F79" s="76">
        <f t="shared" si="11"/>
        <v>12.432763234941824</v>
      </c>
      <c r="G79" s="37">
        <f t="shared" si="19"/>
        <v>42.82729326538692</v>
      </c>
      <c r="H79" s="37">
        <f t="shared" si="12"/>
        <v>36.610911647916012</v>
      </c>
      <c r="I79" s="45">
        <f t="shared" si="13"/>
        <v>36.610911647916012</v>
      </c>
      <c r="J79" s="37" t="e">
        <f t="shared" si="14"/>
        <v>#REF!</v>
      </c>
      <c r="K79" s="37" t="e">
        <f t="shared" si="15"/>
        <v>#REF!</v>
      </c>
      <c r="L79" s="37" t="e">
        <f t="shared" si="16"/>
        <v>#REF!</v>
      </c>
      <c r="M79" s="37" t="e">
        <f t="shared" si="17"/>
        <v>#REF!</v>
      </c>
    </row>
    <row r="80" spans="1:13">
      <c r="A80" s="10">
        <v>76</v>
      </c>
      <c r="B80" s="86">
        <v>0.2903</v>
      </c>
      <c r="C80">
        <v>0</v>
      </c>
      <c r="D80" s="37">
        <f t="shared" si="18"/>
        <v>30.394530030445097</v>
      </c>
      <c r="E80" s="76">
        <f t="shared" si="10"/>
        <v>8.8235320678382116</v>
      </c>
      <c r="F80" s="76">
        <f t="shared" si="11"/>
        <v>8.8235320678382116</v>
      </c>
      <c r="G80" s="37">
        <f t="shared" si="19"/>
        <v>30.394530030445097</v>
      </c>
      <c r="H80" s="37">
        <f t="shared" si="12"/>
        <v>25.982763996525989</v>
      </c>
      <c r="I80" s="45">
        <f t="shared" si="13"/>
        <v>25.982763996525989</v>
      </c>
      <c r="J80" s="37" t="e">
        <f t="shared" si="14"/>
        <v>#REF!</v>
      </c>
      <c r="K80" s="37" t="e">
        <f t="shared" si="15"/>
        <v>#REF!</v>
      </c>
      <c r="L80" s="37" t="e">
        <f t="shared" si="16"/>
        <v>#REF!</v>
      </c>
      <c r="M80" s="37" t="e">
        <f t="shared" si="17"/>
        <v>#REF!</v>
      </c>
    </row>
    <row r="81" spans="1:13">
      <c r="A81" s="10">
        <v>77</v>
      </c>
      <c r="B81" s="86">
        <v>0.2903</v>
      </c>
      <c r="C81">
        <v>0</v>
      </c>
      <c r="D81" s="37">
        <f t="shared" si="18"/>
        <v>21.570997962606885</v>
      </c>
      <c r="E81" s="76">
        <f t="shared" si="10"/>
        <v>6.2620607085447784</v>
      </c>
      <c r="F81" s="76">
        <f t="shared" si="11"/>
        <v>6.2620607085447784</v>
      </c>
      <c r="G81" s="37">
        <f t="shared" si="19"/>
        <v>21.570997962606885</v>
      </c>
      <c r="H81" s="37">
        <f t="shared" si="12"/>
        <v>18.439967608334495</v>
      </c>
      <c r="I81" s="45">
        <f t="shared" si="13"/>
        <v>18.439967608334495</v>
      </c>
      <c r="J81" s="37" t="e">
        <f t="shared" si="14"/>
        <v>#REF!</v>
      </c>
      <c r="K81" s="37" t="e">
        <f t="shared" si="15"/>
        <v>#REF!</v>
      </c>
      <c r="L81" s="37" t="e">
        <f t="shared" si="16"/>
        <v>#REF!</v>
      </c>
      <c r="M81" s="37" t="e">
        <f t="shared" si="17"/>
        <v>#REF!</v>
      </c>
    </row>
    <row r="82" spans="1:13">
      <c r="A82" s="10">
        <v>78</v>
      </c>
      <c r="B82" s="86">
        <v>0.2903</v>
      </c>
      <c r="C82">
        <v>0</v>
      </c>
      <c r="D82" s="37">
        <f t="shared" si="18"/>
        <v>15.308937254062107</v>
      </c>
      <c r="E82" s="76">
        <f t="shared" si="10"/>
        <v>4.4441844848542296</v>
      </c>
      <c r="F82" s="76">
        <f t="shared" si="11"/>
        <v>4.4441844848542296</v>
      </c>
      <c r="G82" s="37">
        <f t="shared" si="19"/>
        <v>15.308937254062107</v>
      </c>
      <c r="H82" s="37">
        <f t="shared" si="12"/>
        <v>13.086845011634992</v>
      </c>
      <c r="I82" s="45">
        <f t="shared" si="13"/>
        <v>13.086845011634992</v>
      </c>
      <c r="J82" s="37" t="e">
        <f t="shared" si="14"/>
        <v>#REF!</v>
      </c>
      <c r="K82" s="37" t="e">
        <f t="shared" si="15"/>
        <v>#REF!</v>
      </c>
      <c r="L82" s="37" t="e">
        <f t="shared" si="16"/>
        <v>#REF!</v>
      </c>
      <c r="M82" s="37" t="e">
        <f t="shared" si="17"/>
        <v>#REF!</v>
      </c>
    </row>
    <row r="83" spans="1:13">
      <c r="A83" s="10">
        <v>79</v>
      </c>
      <c r="B83" s="86">
        <v>0.2903</v>
      </c>
      <c r="C83">
        <v>0</v>
      </c>
      <c r="D83" s="37">
        <f t="shared" si="18"/>
        <v>10.864752769207877</v>
      </c>
      <c r="E83" s="76">
        <f t="shared" si="10"/>
        <v>3.1540377289010468</v>
      </c>
      <c r="F83" s="76">
        <f t="shared" si="11"/>
        <v>3.1540377289010468</v>
      </c>
      <c r="G83" s="37">
        <f t="shared" si="19"/>
        <v>10.864752769207877</v>
      </c>
      <c r="H83" s="37">
        <f t="shared" si="12"/>
        <v>9.2877339047573528</v>
      </c>
      <c r="I83" s="45">
        <f t="shared" si="13"/>
        <v>9.2877339047573528</v>
      </c>
      <c r="J83" s="37" t="e">
        <f t="shared" si="14"/>
        <v>#REF!</v>
      </c>
      <c r="K83" s="37" t="e">
        <f t="shared" si="15"/>
        <v>#REF!</v>
      </c>
      <c r="L83" s="37" t="e">
        <f t="shared" si="16"/>
        <v>#REF!</v>
      </c>
      <c r="M83" s="37" t="e">
        <f t="shared" si="17"/>
        <v>#REF!</v>
      </c>
    </row>
    <row r="84" spans="1:13">
      <c r="A84" s="10">
        <v>80</v>
      </c>
      <c r="B84" s="86">
        <v>0.44719999999999999</v>
      </c>
      <c r="C84">
        <v>0</v>
      </c>
      <c r="D84" s="37">
        <f t="shared" si="18"/>
        <v>7.7107150403068303</v>
      </c>
      <c r="E84" s="76">
        <f t="shared" si="10"/>
        <v>3.4482317660252142</v>
      </c>
      <c r="F84" s="76">
        <f t="shared" si="11"/>
        <v>3.4482317660252142</v>
      </c>
      <c r="G84" s="37">
        <f t="shared" si="19"/>
        <v>7.7107150403068303</v>
      </c>
      <c r="H84" s="37">
        <f t="shared" si="12"/>
        <v>5.986599157294223</v>
      </c>
      <c r="I84" s="45">
        <f t="shared" si="13"/>
        <v>5.986599157294223</v>
      </c>
      <c r="J84" s="37" t="e">
        <f t="shared" si="14"/>
        <v>#REF!</v>
      </c>
      <c r="K84" s="37" t="e">
        <f t="shared" si="15"/>
        <v>#REF!</v>
      </c>
      <c r="L84" s="37" t="e">
        <f t="shared" si="16"/>
        <v>#REF!</v>
      </c>
      <c r="M84" s="37" t="e">
        <f t="shared" si="17"/>
        <v>#REF!</v>
      </c>
    </row>
    <row r="85" spans="1:13">
      <c r="A85" s="10">
        <v>81</v>
      </c>
      <c r="B85" s="86">
        <v>0.44719999999999999</v>
      </c>
      <c r="C85">
        <v>0</v>
      </c>
      <c r="D85" s="37">
        <f t="shared" si="18"/>
        <v>4.2624832742816157</v>
      </c>
      <c r="E85" s="76">
        <f t="shared" si="10"/>
        <v>1.9061825202587386</v>
      </c>
      <c r="F85" s="76">
        <f t="shared" si="11"/>
        <v>1.9061825202587386</v>
      </c>
      <c r="G85" s="37">
        <f t="shared" si="19"/>
        <v>4.2624832742816157</v>
      </c>
      <c r="H85" s="37">
        <f t="shared" si="12"/>
        <v>3.3093920141522464</v>
      </c>
      <c r="I85" s="45">
        <f t="shared" si="13"/>
        <v>3.3093920141522464</v>
      </c>
      <c r="J85" s="37" t="e">
        <f t="shared" si="14"/>
        <v>#REF!</v>
      </c>
      <c r="K85" s="37" t="e">
        <f t="shared" si="15"/>
        <v>#REF!</v>
      </c>
      <c r="L85" s="37" t="e">
        <f t="shared" si="16"/>
        <v>#REF!</v>
      </c>
      <c r="M85" s="37" t="e">
        <f t="shared" si="17"/>
        <v>#REF!</v>
      </c>
    </row>
    <row r="86" spans="1:13">
      <c r="A86" s="10">
        <v>82</v>
      </c>
      <c r="B86" s="86">
        <v>0.44719999999999999</v>
      </c>
      <c r="C86">
        <v>0</v>
      </c>
      <c r="D86" s="37">
        <f t="shared" si="18"/>
        <v>2.3563007540228771</v>
      </c>
      <c r="E86" s="76">
        <f t="shared" si="10"/>
        <v>1.0537376971990307</v>
      </c>
      <c r="F86" s="76">
        <f t="shared" si="11"/>
        <v>1.0537376971990307</v>
      </c>
      <c r="G86" s="37">
        <f t="shared" si="19"/>
        <v>2.3563007540228771</v>
      </c>
      <c r="H86" s="37">
        <f t="shared" si="12"/>
        <v>1.8294319054233616</v>
      </c>
      <c r="I86" s="45">
        <f t="shared" si="13"/>
        <v>1.8294319054233616</v>
      </c>
      <c r="J86" s="37" t="e">
        <f t="shared" si="14"/>
        <v>#REF!</v>
      </c>
      <c r="K86" s="37" t="e">
        <f t="shared" si="15"/>
        <v>#REF!</v>
      </c>
      <c r="L86" s="37" t="e">
        <f t="shared" si="16"/>
        <v>#REF!</v>
      </c>
      <c r="M86" s="37" t="e">
        <f t="shared" si="17"/>
        <v>#REF!</v>
      </c>
    </row>
    <row r="87" spans="1:13">
      <c r="A87" s="10">
        <v>83</v>
      </c>
      <c r="B87" s="86">
        <v>0.44719999999999999</v>
      </c>
      <c r="C87">
        <v>0</v>
      </c>
      <c r="D87" s="37">
        <f t="shared" si="18"/>
        <v>1.3025630568238464</v>
      </c>
      <c r="E87" s="76">
        <f t="shared" si="10"/>
        <v>0.58250619901162415</v>
      </c>
      <c r="F87" s="76">
        <f t="shared" si="11"/>
        <v>0.58250619901162415</v>
      </c>
      <c r="G87" s="37">
        <f t="shared" si="19"/>
        <v>1.3025630568238464</v>
      </c>
      <c r="H87" s="37">
        <f t="shared" si="12"/>
        <v>1.0113099573180344</v>
      </c>
      <c r="I87" s="45">
        <f t="shared" si="13"/>
        <v>1.0113099573180344</v>
      </c>
      <c r="J87" s="37" t="e">
        <f t="shared" si="14"/>
        <v>#REF!</v>
      </c>
      <c r="K87" s="37" t="e">
        <f t="shared" si="15"/>
        <v>#REF!</v>
      </c>
      <c r="L87" s="37" t="e">
        <f t="shared" si="16"/>
        <v>#REF!</v>
      </c>
      <c r="M87" s="37" t="e">
        <f t="shared" si="17"/>
        <v>#REF!</v>
      </c>
    </row>
    <row r="88" spans="1:13">
      <c r="A88" s="10">
        <v>84</v>
      </c>
      <c r="B88" s="86">
        <v>0.44719999999999999</v>
      </c>
      <c r="C88">
        <v>0</v>
      </c>
      <c r="D88" s="37">
        <f t="shared" si="18"/>
        <v>0.72005685781222228</v>
      </c>
      <c r="E88" s="76">
        <f t="shared" si="10"/>
        <v>0.32200942681362582</v>
      </c>
      <c r="F88" s="76">
        <f t="shared" si="11"/>
        <v>0.32200942681362582</v>
      </c>
      <c r="G88" s="37">
        <f t="shared" si="19"/>
        <v>0.72005685781222228</v>
      </c>
      <c r="H88" s="37">
        <f t="shared" si="12"/>
        <v>0.5590521444054094</v>
      </c>
      <c r="I88" s="45">
        <f t="shared" si="13"/>
        <v>0.5590521444054094</v>
      </c>
      <c r="J88" s="37" t="e">
        <f t="shared" si="14"/>
        <v>#REF!</v>
      </c>
      <c r="K88" s="37" t="e">
        <f t="shared" si="15"/>
        <v>#REF!</v>
      </c>
      <c r="L88" s="37" t="e">
        <f t="shared" si="16"/>
        <v>#REF!</v>
      </c>
      <c r="M88" s="37" t="e">
        <f t="shared" si="17"/>
        <v>#REF!</v>
      </c>
    </row>
    <row r="89" spans="1:13">
      <c r="A89" s="10">
        <v>85</v>
      </c>
      <c r="B89" s="86">
        <v>0.47620000000000001</v>
      </c>
      <c r="C89">
        <v>0</v>
      </c>
      <c r="D89" s="37">
        <f t="shared" si="18"/>
        <v>0.39804743099859646</v>
      </c>
      <c r="E89" s="76">
        <f t="shared" si="10"/>
        <v>0.18955018664153164</v>
      </c>
      <c r="F89" s="76">
        <f t="shared" si="11"/>
        <v>0.18955018664153164</v>
      </c>
      <c r="G89" s="37">
        <f t="shared" si="19"/>
        <v>0.39804743099859646</v>
      </c>
      <c r="H89" s="37">
        <f t="shared" si="12"/>
        <v>0.30327233767783063</v>
      </c>
      <c r="I89" s="45">
        <f t="shared" si="13"/>
        <v>0.30327233767783063</v>
      </c>
      <c r="J89" s="37" t="e">
        <f t="shared" si="14"/>
        <v>#REF!</v>
      </c>
      <c r="K89" s="37" t="e">
        <f t="shared" si="15"/>
        <v>#REF!</v>
      </c>
      <c r="L89" s="37" t="e">
        <f t="shared" si="16"/>
        <v>#REF!</v>
      </c>
      <c r="M89" s="37" t="e">
        <f t="shared" si="17"/>
        <v>#REF!</v>
      </c>
    </row>
    <row r="90" spans="1:13">
      <c r="A90" s="10">
        <v>86</v>
      </c>
      <c r="B90" s="86">
        <v>0.47620000000000001</v>
      </c>
      <c r="C90">
        <v>0</v>
      </c>
      <c r="D90" s="37">
        <f t="shared" si="18"/>
        <v>0.20849724435706482</v>
      </c>
      <c r="E90" s="76">
        <f t="shared" si="10"/>
        <v>9.9286387762834272E-2</v>
      </c>
      <c r="F90" s="76">
        <f t="shared" si="11"/>
        <v>9.9286387762834272E-2</v>
      </c>
      <c r="G90" s="37">
        <f t="shared" si="19"/>
        <v>0.20849724435706482</v>
      </c>
      <c r="H90" s="37">
        <f t="shared" si="12"/>
        <v>0.15885405047564768</v>
      </c>
      <c r="I90" s="45">
        <f t="shared" si="13"/>
        <v>0.15885405047564768</v>
      </c>
      <c r="J90" s="37" t="e">
        <f t="shared" si="14"/>
        <v>#REF!</v>
      </c>
      <c r="K90" s="37" t="e">
        <f t="shared" si="15"/>
        <v>#REF!</v>
      </c>
      <c r="L90" s="37" t="e">
        <f t="shared" si="16"/>
        <v>#REF!</v>
      </c>
      <c r="M90" s="37" t="e">
        <f t="shared" si="17"/>
        <v>#REF!</v>
      </c>
    </row>
    <row r="91" spans="1:13">
      <c r="A91" s="10">
        <v>87</v>
      </c>
      <c r="B91" s="86">
        <v>0.47620000000000001</v>
      </c>
      <c r="C91">
        <v>0</v>
      </c>
      <c r="D91" s="37">
        <f t="shared" si="18"/>
        <v>0.10921085659423055</v>
      </c>
      <c r="E91" s="76">
        <f t="shared" si="10"/>
        <v>5.2006209910172588E-2</v>
      </c>
      <c r="F91" s="76">
        <f t="shared" si="11"/>
        <v>5.2006209910172588E-2</v>
      </c>
      <c r="G91" s="37">
        <f t="shared" si="19"/>
        <v>0.10921085659423055</v>
      </c>
      <c r="H91" s="37">
        <f t="shared" si="12"/>
        <v>8.3207751639144262E-2</v>
      </c>
      <c r="I91" s="45">
        <f t="shared" si="13"/>
        <v>8.3207751639144262E-2</v>
      </c>
      <c r="J91" s="37" t="e">
        <f t="shared" si="14"/>
        <v>#REF!</v>
      </c>
      <c r="K91" s="37" t="e">
        <f t="shared" si="15"/>
        <v>#REF!</v>
      </c>
      <c r="L91" s="37" t="e">
        <f t="shared" si="16"/>
        <v>#REF!</v>
      </c>
      <c r="M91" s="37" t="e">
        <f t="shared" si="17"/>
        <v>#REF!</v>
      </c>
    </row>
    <row r="92" spans="1:13">
      <c r="A92" s="10">
        <v>88</v>
      </c>
      <c r="B92" s="86">
        <v>0.47620000000000001</v>
      </c>
      <c r="C92">
        <v>0</v>
      </c>
      <c r="D92" s="37">
        <f t="shared" si="18"/>
        <v>5.7204646684057961E-2</v>
      </c>
      <c r="E92" s="76">
        <f t="shared" si="10"/>
        <v>2.72408527509484E-2</v>
      </c>
      <c r="F92" s="76">
        <f t="shared" si="11"/>
        <v>2.72408527509484E-2</v>
      </c>
      <c r="G92" s="37">
        <f t="shared" si="19"/>
        <v>5.7204646684057961E-2</v>
      </c>
      <c r="H92" s="37">
        <f t="shared" si="12"/>
        <v>4.3584220308583763E-2</v>
      </c>
      <c r="I92" s="45">
        <f t="shared" si="13"/>
        <v>4.3584220308583763E-2</v>
      </c>
      <c r="J92" s="37" t="e">
        <f t="shared" si="14"/>
        <v>#REF!</v>
      </c>
      <c r="K92" s="37" t="e">
        <f t="shared" si="15"/>
        <v>#REF!</v>
      </c>
      <c r="L92" s="37" t="e">
        <f t="shared" si="16"/>
        <v>#REF!</v>
      </c>
      <c r="M92" s="37" t="e">
        <f t="shared" si="17"/>
        <v>#REF!</v>
      </c>
    </row>
    <row r="93" spans="1:13">
      <c r="A93" s="10">
        <v>89</v>
      </c>
      <c r="B93" s="86">
        <v>0.47620000000000001</v>
      </c>
      <c r="C93">
        <v>0</v>
      </c>
      <c r="D93" s="37">
        <f t="shared" si="18"/>
        <v>2.9963793933109561E-2</v>
      </c>
      <c r="E93" s="76">
        <f t="shared" si="10"/>
        <v>1.4268758670946773E-2</v>
      </c>
      <c r="F93" s="76">
        <f t="shared" si="11"/>
        <v>1.4268758670946773E-2</v>
      </c>
      <c r="G93" s="37">
        <f t="shared" si="19"/>
        <v>2.9963793933109561E-2</v>
      </c>
      <c r="H93" s="37">
        <f t="shared" si="12"/>
        <v>2.2829414597636176E-2</v>
      </c>
      <c r="I93" s="45">
        <f t="shared" si="13"/>
        <v>2.2829414597636176E-2</v>
      </c>
      <c r="J93" s="37" t="e">
        <f t="shared" si="14"/>
        <v>#REF!</v>
      </c>
      <c r="K93" s="37" t="e">
        <f t="shared" si="15"/>
        <v>#REF!</v>
      </c>
      <c r="L93" s="37" t="e">
        <f t="shared" si="16"/>
        <v>#REF!</v>
      </c>
      <c r="M93" s="37" t="e">
        <f t="shared" si="17"/>
        <v>#REF!</v>
      </c>
    </row>
    <row r="94" spans="1:13">
      <c r="A94" s="10">
        <v>90</v>
      </c>
      <c r="B94" s="86">
        <v>0.47620000000000001</v>
      </c>
      <c r="C94">
        <v>0</v>
      </c>
      <c r="D94" s="37">
        <f t="shared" si="18"/>
        <v>1.5695035262162788E-2</v>
      </c>
      <c r="E94" s="76">
        <f t="shared" si="10"/>
        <v>7.47397579184192E-3</v>
      </c>
      <c r="F94" s="76">
        <f t="shared" si="11"/>
        <v>7.47397579184192E-3</v>
      </c>
      <c r="G94" s="37">
        <f t="shared" si="19"/>
        <v>1.5695035262162788E-2</v>
      </c>
      <c r="H94" s="37" t="e">
        <f>+(D94+#REF!)/2</f>
        <v>#REF!</v>
      </c>
      <c r="I94" s="45" t="e">
        <f>+(G94+#REF!)/2</f>
        <v>#REF!</v>
      </c>
      <c r="J94" s="37" t="e">
        <f>+#REF!+H94</f>
        <v>#REF!</v>
      </c>
      <c r="K94" s="37" t="e">
        <f>+#REF!+I94</f>
        <v>#REF!</v>
      </c>
      <c r="L94" s="37" t="e">
        <f t="shared" si="16"/>
        <v>#REF!</v>
      </c>
      <c r="M94" s="37" t="e">
        <f t="shared" si="17"/>
        <v>#REF!</v>
      </c>
    </row>
    <row r="96" spans="1:13">
      <c r="D96" s="496" t="s">
        <v>56</v>
      </c>
      <c r="E96" s="497"/>
      <c r="F96" s="497"/>
      <c r="G96" s="497"/>
      <c r="H96" s="40" t="e">
        <f>SUM(H4:H94)</f>
        <v>#REF!</v>
      </c>
      <c r="I96" s="39" t="e">
        <f>SUM(I4:I94)</f>
        <v>#REF!</v>
      </c>
      <c r="J96" s="38"/>
      <c r="K96" s="38"/>
      <c r="L96" s="38"/>
      <c r="M96" s="38"/>
    </row>
    <row r="97" spans="4:13">
      <c r="D97" s="496" t="s">
        <v>57</v>
      </c>
      <c r="E97" s="497"/>
      <c r="F97" s="497"/>
      <c r="G97" s="497"/>
      <c r="H97" s="41" t="e">
        <f>H96/D4</f>
        <v>#REF!</v>
      </c>
      <c r="I97" s="32" t="e">
        <f>I96/G4</f>
        <v>#REF!</v>
      </c>
      <c r="J97" s="31"/>
      <c r="K97" s="31"/>
      <c r="L97" s="31"/>
      <c r="M97" s="31"/>
    </row>
    <row r="98" spans="4:13">
      <c r="D98" s="8" t="s">
        <v>59</v>
      </c>
      <c r="E98" s="4"/>
      <c r="F98" s="4"/>
      <c r="G98" s="4"/>
      <c r="H98" s="4"/>
      <c r="I98" s="9"/>
    </row>
    <row r="99" spans="4:13">
      <c r="D99" s="11"/>
      <c r="E99" s="11"/>
      <c r="F99" s="11"/>
      <c r="G99" s="41" t="e">
        <f>H97-I97</f>
        <v>#REF!</v>
      </c>
      <c r="H99" s="2" t="s">
        <v>58</v>
      </c>
      <c r="I99" s="12"/>
    </row>
  </sheetData>
  <mergeCells count="9">
    <mergeCell ref="D96:G96"/>
    <mergeCell ref="D97:G97"/>
    <mergeCell ref="P4:V4"/>
    <mergeCell ref="P5:V5"/>
    <mergeCell ref="P6:V6"/>
    <mergeCell ref="P7:V7"/>
    <mergeCell ref="P8:V8"/>
    <mergeCell ref="P11:V11"/>
    <mergeCell ref="P10:V1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2C720-31CE-4BCE-9CEF-3E89D0A958C2}">
  <sheetPr codeName="Sheet19">
    <tabColor theme="4"/>
  </sheetPr>
  <dimension ref="A1:AJ1004"/>
  <sheetViews>
    <sheetView showGridLines="0" topLeftCell="A4" workbookViewId="0">
      <selection activeCell="AP431" sqref="AP431"/>
    </sheetView>
  </sheetViews>
  <sheetFormatPr baseColWidth="10" defaultColWidth="8.83203125" defaultRowHeight="14"/>
  <cols>
    <col min="1" max="1" width="28.83203125" customWidth="1"/>
    <col min="2" max="2" width="13.33203125" customWidth="1"/>
    <col min="3" max="3" width="15" bestFit="1" customWidth="1"/>
    <col min="5" max="5" width="9.6640625" bestFit="1" customWidth="1"/>
    <col min="6" max="6" width="15" bestFit="1" customWidth="1"/>
    <col min="16" max="16" width="15.33203125" customWidth="1"/>
    <col min="17" max="17" width="16.83203125" customWidth="1"/>
    <col min="18" max="18" width="20" customWidth="1"/>
    <col min="19" max="19" width="12.6640625" customWidth="1"/>
    <col min="20" max="20" width="12.5" customWidth="1"/>
    <col min="21" max="21" width="17.1640625" customWidth="1"/>
    <col min="24" max="24" width="16.33203125" customWidth="1"/>
    <col min="25" max="26" width="12.33203125" bestFit="1" customWidth="1"/>
    <col min="28" max="28" width="14.83203125" customWidth="1"/>
    <col min="32" max="32" width="16.83203125" customWidth="1"/>
    <col min="33" max="33" width="20" customWidth="1"/>
    <col min="35" max="35" width="19.6640625" customWidth="1"/>
    <col min="36" max="36" width="20.33203125" customWidth="1"/>
  </cols>
  <sheetData>
    <row r="1" spans="1:36" ht="18">
      <c r="A1" s="47" t="s">
        <v>67</v>
      </c>
      <c r="B1" s="22"/>
      <c r="C1" s="22"/>
      <c r="D1" s="22"/>
      <c r="E1" s="22"/>
      <c r="F1" s="22"/>
      <c r="G1" s="22"/>
      <c r="H1" s="22"/>
    </row>
    <row r="2" spans="1:36">
      <c r="A2" s="48"/>
      <c r="B2" s="22"/>
      <c r="C2" s="22"/>
      <c r="D2" s="22"/>
      <c r="E2" s="22"/>
      <c r="F2" s="22"/>
      <c r="G2" s="22"/>
      <c r="H2" s="22"/>
      <c r="O2" t="s">
        <v>375</v>
      </c>
      <c r="X2" t="s">
        <v>376</v>
      </c>
    </row>
    <row r="3" spans="1:36" ht="17" thickBot="1">
      <c r="A3" s="62"/>
      <c r="B3" s="63" t="s">
        <v>589</v>
      </c>
      <c r="C3" s="63"/>
      <c r="D3" s="63"/>
      <c r="E3" s="63" t="s">
        <v>588</v>
      </c>
      <c r="F3" s="64"/>
      <c r="G3" s="22"/>
      <c r="H3" s="22"/>
      <c r="O3" s="145" t="s">
        <v>98</v>
      </c>
      <c r="P3" s="140" t="s">
        <v>369</v>
      </c>
      <c r="Q3" s="140" t="s">
        <v>370</v>
      </c>
      <c r="R3" s="140" t="s">
        <v>371</v>
      </c>
      <c r="S3" s="140" t="s">
        <v>372</v>
      </c>
      <c r="T3" s="140" t="s">
        <v>373</v>
      </c>
      <c r="U3" s="141" t="s">
        <v>374</v>
      </c>
      <c r="X3" s="149" t="s">
        <v>380</v>
      </c>
      <c r="AE3" t="s">
        <v>394</v>
      </c>
      <c r="AF3" t="s">
        <v>395</v>
      </c>
      <c r="AG3" t="s">
        <v>396</v>
      </c>
      <c r="AI3" t="s">
        <v>371</v>
      </c>
      <c r="AJ3" t="s">
        <v>374</v>
      </c>
    </row>
    <row r="4" spans="1:36">
      <c r="A4" s="65"/>
      <c r="B4" s="48" t="s">
        <v>68</v>
      </c>
      <c r="C4" s="48" t="s">
        <v>69</v>
      </c>
      <c r="D4" s="48"/>
      <c r="E4" s="48" t="s">
        <v>70</v>
      </c>
      <c r="F4" s="66" t="s">
        <v>69</v>
      </c>
      <c r="G4" s="22"/>
      <c r="H4" s="22"/>
      <c r="O4" s="15">
        <v>1</v>
      </c>
      <c r="P4" s="33">
        <f ca="1">_xlfn.NORM.INV(RAND(),C5,C6)</f>
        <v>3063086.9355696174</v>
      </c>
      <c r="Q4" s="33">
        <f ca="1">_xlfn.NORM.INV(RAND(),F5,F6)</f>
        <v>91801628.239444584</v>
      </c>
      <c r="R4" s="146">
        <f ca="1">P4-Q4</f>
        <v>-88738541.303874969</v>
      </c>
      <c r="S4" s="31">
        <f ca="1">_xlfn.NORM.INV(RAND(),B5,B6)</f>
        <v>123932.74103186881</v>
      </c>
      <c r="T4" s="31">
        <f ca="1">_xlfn.NORM.INV(RAND(),E5,E6)</f>
        <v>10321.618794109752</v>
      </c>
      <c r="U4" s="142">
        <f ca="1">S4-T4</f>
        <v>113611.12223775906</v>
      </c>
      <c r="X4" s="151"/>
      <c r="Y4" s="151" t="s">
        <v>381</v>
      </c>
      <c r="Z4" s="151" t="s">
        <v>382</v>
      </c>
      <c r="AE4">
        <v>0</v>
      </c>
      <c r="AF4" s="131">
        <f ca="1">(AB$25*AC$19*COS(AE4)+AC$25*AC$20*SIN(AE4))+X$9</f>
        <v>-106970514.57028571</v>
      </c>
      <c r="AG4" s="131">
        <f ca="1">(AC$26*AC$19*COS(AE4)+AC$26*AC$20*SIN(AE4))+Y$9</f>
        <v>-23784748.959462762</v>
      </c>
      <c r="AI4" s="131">
        <f ca="1">R4</f>
        <v>-88738541.303874969</v>
      </c>
      <c r="AJ4" s="31">
        <f ca="1">U4</f>
        <v>113611.12223775906</v>
      </c>
    </row>
    <row r="5" spans="1:36">
      <c r="A5" s="65" t="s">
        <v>71</v>
      </c>
      <c r="B5" s="50">
        <f ca="1">SUM('Economic Costs'!O4:O84)/30</f>
        <v>135715.9000335139</v>
      </c>
      <c r="C5" s="51">
        <f>pop_calc!D2</f>
        <v>3335852.9181640688</v>
      </c>
      <c r="D5" s="22"/>
      <c r="E5" s="50">
        <f ca="1">'Disease Projections'!AK12</f>
        <v>14182.528315294952</v>
      </c>
      <c r="F5" s="51">
        <f ca="1">Dashboard!K16</f>
        <v>83093728.057121411</v>
      </c>
      <c r="G5" s="22"/>
      <c r="H5" s="22"/>
      <c r="O5" s="15">
        <v>2</v>
      </c>
      <c r="P5" s="33">
        <f t="dataTable" ref="P5:U1003" dt2D="0" dtr="0" r1="J3" ca="1"/>
        <v>3231693.8788079834</v>
      </c>
      <c r="Q5" s="33">
        <v>80443837.082937226</v>
      </c>
      <c r="R5" s="146">
        <v>-77212143.204129249</v>
      </c>
      <c r="S5" s="31">
        <v>74841.94145655258</v>
      </c>
      <c r="T5" s="31">
        <v>7451.423258108608</v>
      </c>
      <c r="U5" s="142">
        <v>67390.51819844397</v>
      </c>
      <c r="X5" t="s">
        <v>381</v>
      </c>
      <c r="Y5">
        <f ca="1">VARP('Additional Calculations'!$AI$4:$AI$1003)</f>
        <v>95099497590610.203</v>
      </c>
      <c r="Z5">
        <f>Y6</f>
        <v>-3.2841693554132125</v>
      </c>
      <c r="AE5">
        <f>PI()/500</f>
        <v>6.2831853071795866E-3</v>
      </c>
      <c r="AF5" s="131">
        <f t="shared" ref="AF5:AF68" ca="1" si="0">(AB$25*AC$19*COS(AE5)+AC$25*AC$20*SIN(AE5))+X$9</f>
        <v>-106970040.30470231</v>
      </c>
      <c r="AG5" s="131">
        <f t="shared" ref="AG5:AG68" ca="1" si="1">(AC$26*AC$19*COS(AE5)+AC$26*AC$20*SIN(AE5))+Y$9</f>
        <v>-23784931.983002309</v>
      </c>
      <c r="AI5" s="131">
        <f t="shared" ref="AI5:AI68" si="2">R5</f>
        <v>-77212143.204129249</v>
      </c>
      <c r="AJ5" s="31">
        <f t="shared" ref="AJ5:AJ68" si="3">U5</f>
        <v>67390.51819844397</v>
      </c>
    </row>
    <row r="6" spans="1:36" ht="15" thickBot="1">
      <c r="A6" s="65" t="s">
        <v>72</v>
      </c>
      <c r="B6" s="50">
        <f ca="1">0.25*B5</f>
        <v>33928.975008378475</v>
      </c>
      <c r="C6" s="51">
        <f>0.1*C5</f>
        <v>333585.29181640688</v>
      </c>
      <c r="D6" s="22"/>
      <c r="E6" s="139">
        <f ca="1">0.25*E5</f>
        <v>3545.6320788237381</v>
      </c>
      <c r="F6" s="51">
        <f ca="1">0.1*F5</f>
        <v>8309372.8057121411</v>
      </c>
      <c r="G6" s="22"/>
      <c r="H6" s="22"/>
      <c r="O6" s="15">
        <v>3</v>
      </c>
      <c r="P6" s="33">
        <v>3423681.6723745614</v>
      </c>
      <c r="Q6" s="33">
        <v>85213445.915163457</v>
      </c>
      <c r="R6" s="146">
        <v>-81789764.242788896</v>
      </c>
      <c r="S6" s="31">
        <v>121807.9397514266</v>
      </c>
      <c r="T6" s="31">
        <v>5895.2423893921205</v>
      </c>
      <c r="U6" s="142">
        <v>115912.69736203448</v>
      </c>
      <c r="X6" s="150" t="s">
        <v>382</v>
      </c>
      <c r="Y6" s="150">
        <v>-3.2841693554132125</v>
      </c>
      <c r="Z6" s="150">
        <f ca="1">VARP('Additional Calculations'!$AJ$4:$AJ$1003)</f>
        <v>1809450547.163723</v>
      </c>
      <c r="AE6" s="137">
        <f>AE5+AE$5</f>
        <v>1.2566370614359173E-2</v>
      </c>
      <c r="AF6" s="131">
        <f t="shared" ca="1" si="0"/>
        <v>-106968623.75139208</v>
      </c>
      <c r="AG6" s="131">
        <f t="shared" ca="1" si="1"/>
        <v>-23784172.692866351</v>
      </c>
      <c r="AI6" s="131">
        <f t="shared" si="2"/>
        <v>-81789764.242788896</v>
      </c>
      <c r="AJ6" s="31">
        <f t="shared" si="3"/>
        <v>115912.69736203448</v>
      </c>
    </row>
    <row r="7" spans="1:36">
      <c r="A7" s="65" t="s">
        <v>73</v>
      </c>
      <c r="B7" s="50">
        <v>0.33</v>
      </c>
      <c r="C7" s="51">
        <v>114.9</v>
      </c>
      <c r="D7" s="22"/>
      <c r="E7" s="52">
        <v>0.36</v>
      </c>
      <c r="F7" s="51">
        <v>47.7</v>
      </c>
      <c r="G7" s="22"/>
      <c r="H7" s="22"/>
      <c r="O7" s="15">
        <v>4</v>
      </c>
      <c r="P7" s="33">
        <v>3038255.6725881323</v>
      </c>
      <c r="Q7" s="33">
        <v>82243169.488204911</v>
      </c>
      <c r="R7" s="146">
        <v>-79204913.815616786</v>
      </c>
      <c r="S7" s="31">
        <v>148020.69582506182</v>
      </c>
      <c r="T7" s="31">
        <v>13021.13195857871</v>
      </c>
      <c r="U7" s="142">
        <v>134999.56386648311</v>
      </c>
      <c r="AA7" t="s">
        <v>379</v>
      </c>
      <c r="AB7">
        <v>1000</v>
      </c>
      <c r="AE7" s="137">
        <f t="shared" ref="AE7:AE70" si="4">AE6+AE$5</f>
        <v>1.8849555921538759E-2</v>
      </c>
      <c r="AF7" s="131">
        <f t="shared" ca="1" si="0"/>
        <v>-106966264.96627808</v>
      </c>
      <c r="AG7" s="131">
        <f t="shared" ca="1" si="1"/>
        <v>-23782471.11903036</v>
      </c>
      <c r="AI7" s="131">
        <f t="shared" si="2"/>
        <v>-79204913.815616786</v>
      </c>
      <c r="AJ7" s="31">
        <f t="shared" si="3"/>
        <v>134999.56386648311</v>
      </c>
    </row>
    <row r="8" spans="1:36">
      <c r="A8" s="65"/>
      <c r="B8" s="22"/>
      <c r="C8" s="22"/>
      <c r="D8" s="22"/>
      <c r="E8" s="22"/>
      <c r="F8" s="67"/>
      <c r="G8" s="22"/>
      <c r="H8" s="22"/>
      <c r="O8" s="15">
        <v>5</v>
      </c>
      <c r="P8" s="33">
        <v>3470070.8641793458</v>
      </c>
      <c r="Q8" s="33">
        <v>90976851.798334613</v>
      </c>
      <c r="R8" s="146">
        <v>-87506780.93415527</v>
      </c>
      <c r="S8" s="31">
        <v>115507.05594116796</v>
      </c>
      <c r="T8" s="31">
        <v>7315.6421884672745</v>
      </c>
      <c r="U8" s="142">
        <v>108191.41375270068</v>
      </c>
      <c r="X8" t="s">
        <v>383</v>
      </c>
      <c r="AA8" t="s">
        <v>377</v>
      </c>
      <c r="AB8">
        <v>5.9909999999999997</v>
      </c>
      <c r="AE8" s="137">
        <f t="shared" si="4"/>
        <v>2.5132741228718346E-2</v>
      </c>
      <c r="AF8" s="131">
        <f t="shared" ca="1" si="0"/>
        <v>-106962964.04248111</v>
      </c>
      <c r="AG8" s="131">
        <f t="shared" ca="1" si="1"/>
        <v>-23779827.328669559</v>
      </c>
      <c r="AI8" s="131">
        <f t="shared" si="2"/>
        <v>-87506780.93415527</v>
      </c>
      <c r="AJ8" s="31">
        <f t="shared" si="3"/>
        <v>108191.41375270068</v>
      </c>
    </row>
    <row r="9" spans="1:36" ht="16">
      <c r="A9" s="65"/>
      <c r="B9" s="68" t="s">
        <v>82</v>
      </c>
      <c r="C9" s="22"/>
      <c r="D9" s="22"/>
      <c r="E9" s="22"/>
      <c r="F9" s="67"/>
      <c r="G9" s="22"/>
      <c r="H9" s="22"/>
      <c r="O9" s="15">
        <v>6</v>
      </c>
      <c r="P9" s="33">
        <v>3756419.7123675952</v>
      </c>
      <c r="Q9" s="33">
        <v>104227981.50234979</v>
      </c>
      <c r="R9" s="146">
        <v>-100471561.7899822</v>
      </c>
      <c r="S9" s="31">
        <v>116585.55433600946</v>
      </c>
      <c r="T9" s="31">
        <v>7776.8463237047727</v>
      </c>
      <c r="U9" s="142">
        <v>108808.70801230469</v>
      </c>
      <c r="X9" s="131">
        <f ca="1">AVERAGE(AI4:AI1003)</f>
        <v>-83101534.826351717</v>
      </c>
      <c r="Y9" s="31">
        <f ca="1">AVERAGE(AJ4:AJ1003)</f>
        <v>84230.78447122444</v>
      </c>
      <c r="AA9" t="s">
        <v>378</v>
      </c>
      <c r="AB9" s="34">
        <f>_xlfn.CHISQ.DIST(AB8,2,TRUE)</f>
        <v>0.94998838497342086</v>
      </c>
      <c r="AE9" s="137">
        <f t="shared" si="4"/>
        <v>3.1415926535897934E-2</v>
      </c>
      <c r="AF9" s="131">
        <f t="shared" ca="1" si="0"/>
        <v>-106958721.11031601</v>
      </c>
      <c r="AG9" s="131">
        <f t="shared" ca="1" si="1"/>
        <v>-23776241.426156268</v>
      </c>
      <c r="AI9" s="131">
        <f t="shared" si="2"/>
        <v>-100471561.7899822</v>
      </c>
      <c r="AJ9" s="31">
        <f t="shared" si="3"/>
        <v>108808.70801230469</v>
      </c>
    </row>
    <row r="10" spans="1:36">
      <c r="A10" s="65"/>
      <c r="B10" s="48" t="s">
        <v>70</v>
      </c>
      <c r="C10" s="48" t="s">
        <v>69</v>
      </c>
      <c r="D10" s="22"/>
      <c r="E10" s="22"/>
      <c r="F10" s="67"/>
      <c r="G10" s="22"/>
      <c r="H10" s="22"/>
      <c r="O10" s="15">
        <v>7</v>
      </c>
      <c r="P10" s="33">
        <v>3701656.3648228496</v>
      </c>
      <c r="Q10" s="33">
        <v>79936965.964064762</v>
      </c>
      <c r="R10" s="146">
        <v>-76235309.599241912</v>
      </c>
      <c r="S10" s="31">
        <v>77604.141961991831</v>
      </c>
      <c r="T10" s="31">
        <v>11524.763010493116</v>
      </c>
      <c r="U10" s="142">
        <v>66079.378951498715</v>
      </c>
      <c r="AE10" s="137">
        <f t="shared" si="4"/>
        <v>3.7699111843077518E-2</v>
      </c>
      <c r="AF10" s="131">
        <f t="shared" ca="1" si="0"/>
        <v>-106953536.33728646</v>
      </c>
      <c r="AG10" s="131">
        <f t="shared" ca="1" si="1"/>
        <v>-23771713.553055763</v>
      </c>
      <c r="AI10" s="131">
        <f t="shared" si="2"/>
        <v>-76235309.599241912</v>
      </c>
      <c r="AJ10" s="31">
        <f t="shared" si="3"/>
        <v>66079.378951498715</v>
      </c>
    </row>
    <row r="11" spans="1:36">
      <c r="A11" s="65" t="s">
        <v>71</v>
      </c>
      <c r="B11" s="50">
        <f ca="1">E5-B5</f>
        <v>-121533.37171821894</v>
      </c>
      <c r="C11" s="51">
        <f ca="1">F5-C5</f>
        <v>79757875.138957337</v>
      </c>
      <c r="D11" s="22"/>
      <c r="E11" s="22"/>
      <c r="F11" s="67"/>
      <c r="G11" s="22"/>
      <c r="H11" s="22"/>
      <c r="O11" s="15">
        <v>8</v>
      </c>
      <c r="P11" s="33">
        <v>3810065.258275623</v>
      </c>
      <c r="Q11" s="33">
        <v>98613509.197240263</v>
      </c>
      <c r="R11" s="146">
        <v>-94803443.938964635</v>
      </c>
      <c r="S11" s="31">
        <v>67514.361255543146</v>
      </c>
      <c r="T11" s="31">
        <v>19376.875114820581</v>
      </c>
      <c r="U11" s="142">
        <v>48137.486140722569</v>
      </c>
      <c r="X11" s="4" t="s">
        <v>384</v>
      </c>
      <c r="AE11" s="137">
        <f t="shared" si="4"/>
        <v>4.3982297150257102E-2</v>
      </c>
      <c r="AF11" s="131">
        <f t="shared" ca="1" si="0"/>
        <v>-106947409.92807843</v>
      </c>
      <c r="AG11" s="131">
        <f t="shared" ca="1" si="1"/>
        <v>-23766243.888120741</v>
      </c>
      <c r="AI11" s="131">
        <f t="shared" si="2"/>
        <v>-94803443.938964635</v>
      </c>
      <c r="AJ11" s="31">
        <f t="shared" si="3"/>
        <v>48137.486140722569</v>
      </c>
    </row>
    <row r="12" spans="1:36">
      <c r="A12" s="65" t="s">
        <v>73</v>
      </c>
      <c r="B12" s="50">
        <f>SQRT(B7^2+E7^2)</f>
        <v>0.48836461788299118</v>
      </c>
      <c r="C12" s="51">
        <f>SQRT(C7^2+F7^2)</f>
        <v>124.40779718329556</v>
      </c>
      <c r="D12" s="22"/>
      <c r="E12" s="22"/>
      <c r="F12" s="67"/>
      <c r="G12" s="22"/>
      <c r="H12" s="22"/>
      <c r="O12" s="15">
        <v>9</v>
      </c>
      <c r="P12" s="33">
        <v>2796414.8219972616</v>
      </c>
      <c r="Q12" s="33">
        <v>97590981.781104535</v>
      </c>
      <c r="R12" s="146">
        <v>-94794566.95910728</v>
      </c>
      <c r="S12" s="31">
        <v>142588.25459687778</v>
      </c>
      <c r="T12" s="31">
        <v>11036.599668760584</v>
      </c>
      <c r="U12" s="142">
        <v>131551.6549281172</v>
      </c>
      <c r="AE12" s="137">
        <f t="shared" si="4"/>
        <v>5.0265482457436686E-2</v>
      </c>
      <c r="AF12" s="131">
        <f t="shared" ca="1" si="0"/>
        <v>-106940342.12455206</v>
      </c>
      <c r="AG12" s="131">
        <f t="shared" ca="1" si="1"/>
        <v>-23759832.647284195</v>
      </c>
      <c r="AI12" s="131">
        <f t="shared" si="2"/>
        <v>-94794566.95910728</v>
      </c>
      <c r="AJ12" s="31">
        <f t="shared" si="3"/>
        <v>131551.6549281172</v>
      </c>
    </row>
    <row r="13" spans="1:36">
      <c r="A13" s="65" t="s">
        <v>74</v>
      </c>
      <c r="B13" s="50">
        <f ca="1">B11-_xlfn.NORM.INV(0.975,0,1)*B12</f>
        <v>-121534.32889528132</v>
      </c>
      <c r="C13" s="51">
        <f ca="1">C11-_xlfn.NORM.INV(0.975,0,1)*C12</f>
        <v>79757631.304155454</v>
      </c>
      <c r="D13" s="22"/>
      <c r="E13" s="22"/>
      <c r="F13" s="67"/>
      <c r="G13" s="22"/>
      <c r="H13" s="22"/>
      <c r="O13" s="15">
        <v>10</v>
      </c>
      <c r="P13" s="33">
        <v>3555883.4185424335</v>
      </c>
      <c r="Q13" s="33">
        <v>72666864.753170758</v>
      </c>
      <c r="R13" s="146">
        <v>-69110981.334628329</v>
      </c>
      <c r="S13" s="31">
        <v>151292.84746975737</v>
      </c>
      <c r="T13" s="31">
        <v>16213.017431018478</v>
      </c>
      <c r="U13" s="142">
        <v>135079.8300387389</v>
      </c>
      <c r="Y13">
        <f t="array" aca="1" ref="Y13:Z14" ca="1">MINVERSE(Y5:Z6)</f>
        <v>1.0515302660218644E-14</v>
      </c>
      <c r="Z13">
        <f ca="1"/>
        <v>1.9085370867812057E-23</v>
      </c>
      <c r="AB13" t="s">
        <v>385</v>
      </c>
      <c r="AC13">
        <f ca="1">Y5+Z6</f>
        <v>95101307041157.359</v>
      </c>
      <c r="AE13" s="137">
        <f t="shared" si="4"/>
        <v>5.654866776461627E-2</v>
      </c>
      <c r="AF13" s="131">
        <f t="shared" ca="1" si="0"/>
        <v>-106932333.20573214</v>
      </c>
      <c r="AG13" s="131">
        <f t="shared" ca="1" si="1"/>
        <v>-23752480.083650939</v>
      </c>
      <c r="AI13" s="131">
        <f t="shared" si="2"/>
        <v>-69110981.334628329</v>
      </c>
      <c r="AJ13" s="31">
        <f t="shared" si="3"/>
        <v>135079.8300387389</v>
      </c>
    </row>
    <row r="14" spans="1:36">
      <c r="A14" s="65" t="s">
        <v>75</v>
      </c>
      <c r="B14" s="50">
        <f ca="1">B11+_xlfn.NORM.INV(0.975,0,1)*B12</f>
        <v>-121532.41454115657</v>
      </c>
      <c r="C14" s="51">
        <f ca="1">C11+_xlfn.NORM.INV(0.975,0,1)*C12</f>
        <v>79758118.973759219</v>
      </c>
      <c r="D14" s="22"/>
      <c r="E14" s="22"/>
      <c r="F14" s="67"/>
      <c r="G14" s="22"/>
      <c r="H14" s="22"/>
      <c r="O14" s="15">
        <v>11</v>
      </c>
      <c r="P14" s="33">
        <v>3393669.1427511871</v>
      </c>
      <c r="Q14" s="33">
        <v>94093046.938837454</v>
      </c>
      <c r="R14" s="146">
        <v>-90699377.796086267</v>
      </c>
      <c r="S14" s="31">
        <v>190474.82436937952</v>
      </c>
      <c r="T14" s="31">
        <v>13643.933148424889</v>
      </c>
      <c r="U14" s="142">
        <v>176830.89122095463</v>
      </c>
      <c r="Y14">
        <f ca="1"/>
        <v>1.9085370867812054E-23</v>
      </c>
      <c r="Z14">
        <f ca="1"/>
        <v>5.5265395429981755E-10</v>
      </c>
      <c r="AB14" t="s">
        <v>386</v>
      </c>
      <c r="AC14">
        <f ca="1">Y5*Z6-Y6^2</f>
        <v>1.720778379503248E+23</v>
      </c>
      <c r="AE14" s="137">
        <f t="shared" si="4"/>
        <v>6.2831853071795854E-2</v>
      </c>
      <c r="AF14" s="131">
        <f t="shared" ca="1" si="0"/>
        <v>-106923383.48779705</v>
      </c>
      <c r="AG14" s="131">
        <f t="shared" ca="1" si="1"/>
        <v>-23744186.487487599</v>
      </c>
      <c r="AI14" s="131">
        <f t="shared" si="2"/>
        <v>-90699377.796086267</v>
      </c>
      <c r="AJ14" s="31">
        <f t="shared" si="3"/>
        <v>176830.89122095463</v>
      </c>
    </row>
    <row r="15" spans="1:36">
      <c r="A15" s="65"/>
      <c r="B15" s="22"/>
      <c r="C15" s="22"/>
      <c r="D15" s="22"/>
      <c r="E15" s="22"/>
      <c r="F15" s="67"/>
      <c r="G15" s="22"/>
      <c r="H15" s="22"/>
      <c r="O15" s="15">
        <v>12</v>
      </c>
      <c r="P15" s="33">
        <v>3532467.3221218647</v>
      </c>
      <c r="Q15" s="33">
        <v>89827467.826815486</v>
      </c>
      <c r="R15" s="146">
        <v>-86295000.504693627</v>
      </c>
      <c r="S15" s="31">
        <v>100772.87111081924</v>
      </c>
      <c r="T15" s="31">
        <v>12678.893202997704</v>
      </c>
      <c r="U15" s="142">
        <v>88093.977907821536</v>
      </c>
      <c r="AB15" t="s">
        <v>387</v>
      </c>
      <c r="AC15">
        <f ca="1">(AC13+SQRT(AC13^2-4*AC14))/2</f>
        <v>95099497590610.188</v>
      </c>
      <c r="AE15" s="137">
        <f t="shared" si="4"/>
        <v>6.9115038378975438E-2</v>
      </c>
      <c r="AF15" s="131">
        <f t="shared" ca="1" si="0"/>
        <v>-106913493.32406634</v>
      </c>
      <c r="AG15" s="131">
        <f t="shared" ca="1" si="1"/>
        <v>-23734952.186211143</v>
      </c>
      <c r="AI15" s="131">
        <f t="shared" si="2"/>
        <v>-86295000.504693627</v>
      </c>
      <c r="AJ15" s="31">
        <f t="shared" si="3"/>
        <v>88093.977907821536</v>
      </c>
    </row>
    <row r="16" spans="1:36" ht="16">
      <c r="A16" s="65"/>
      <c r="B16" s="68" t="s">
        <v>76</v>
      </c>
      <c r="C16" s="22"/>
      <c r="D16" s="22"/>
      <c r="E16" s="22"/>
      <c r="F16" s="67"/>
      <c r="G16" s="22"/>
      <c r="H16" s="22"/>
      <c r="O16" s="15">
        <v>13</v>
      </c>
      <c r="P16" s="33">
        <v>2937525.1225135368</v>
      </c>
      <c r="Q16" s="33">
        <v>94360033.142433837</v>
      </c>
      <c r="R16" s="146">
        <v>-91422508.019920304</v>
      </c>
      <c r="S16" s="31">
        <v>64209.924979474265</v>
      </c>
      <c r="T16" s="31">
        <v>10670.459510023198</v>
      </c>
      <c r="U16" s="142">
        <v>53539.465469451068</v>
      </c>
      <c r="AB16" t="s">
        <v>388</v>
      </c>
      <c r="AC16">
        <f ca="1">AC13-AC15</f>
        <v>1809450547.171875</v>
      </c>
      <c r="AE16" s="137">
        <f t="shared" si="4"/>
        <v>7.5398223686155022E-2</v>
      </c>
      <c r="AF16" s="131">
        <f t="shared" ca="1" si="0"/>
        <v>-106902663.10498676</v>
      </c>
      <c r="AG16" s="131">
        <f t="shared" ca="1" si="1"/>
        <v>-23724777.544375982</v>
      </c>
      <c r="AI16" s="131">
        <f t="shared" si="2"/>
        <v>-91422508.019920304</v>
      </c>
      <c r="AJ16" s="31">
        <f t="shared" si="3"/>
        <v>53539.465469451068</v>
      </c>
    </row>
    <row r="17" spans="1:36">
      <c r="A17" s="65" t="s">
        <v>77</v>
      </c>
      <c r="B17" s="50">
        <f ca="1">IF(C11=0,0,C11/B11)</f>
        <v>-656.26316468763707</v>
      </c>
      <c r="C17" s="22"/>
      <c r="D17" s="22"/>
      <c r="E17" s="22"/>
      <c r="F17" s="67"/>
      <c r="G17" s="22"/>
      <c r="H17" s="22"/>
      <c r="O17" s="15">
        <v>14</v>
      </c>
      <c r="P17" s="33">
        <v>3402472.7965566283</v>
      </c>
      <c r="Q17" s="33">
        <v>81885374.892403111</v>
      </c>
      <c r="R17" s="146">
        <v>-78482902.095846489</v>
      </c>
      <c r="S17" s="31">
        <v>134607.03425754912</v>
      </c>
      <c r="T17" s="31">
        <v>8727.6288017704446</v>
      </c>
      <c r="U17" s="142">
        <v>125879.40545577867</v>
      </c>
      <c r="AE17" s="137">
        <f t="shared" si="4"/>
        <v>8.1681408993334606E-2</v>
      </c>
      <c r="AF17" s="131">
        <f t="shared" ca="1" si="0"/>
        <v>-106890893.25811681</v>
      </c>
      <c r="AG17" s="131">
        <f t="shared" ca="1" si="1"/>
        <v>-23713662.963659551</v>
      </c>
      <c r="AI17" s="131">
        <f t="shared" si="2"/>
        <v>-78482902.095846489</v>
      </c>
      <c r="AJ17" s="31">
        <f t="shared" si="3"/>
        <v>125879.40545577867</v>
      </c>
    </row>
    <row r="18" spans="1:36">
      <c r="A18" s="65"/>
      <c r="B18" s="22"/>
      <c r="C18" s="22"/>
      <c r="D18" s="22"/>
      <c r="E18" s="22"/>
      <c r="F18" s="67"/>
      <c r="G18" s="22"/>
      <c r="H18" s="22"/>
      <c r="O18" s="15">
        <v>15</v>
      </c>
      <c r="P18" s="33">
        <v>3642561.694060782</v>
      </c>
      <c r="Q18" s="33">
        <v>87850931.02981998</v>
      </c>
      <c r="R18" s="146">
        <v>-84208369.335759193</v>
      </c>
      <c r="S18" s="31">
        <v>102507.21940049833</v>
      </c>
      <c r="T18" s="31">
        <v>5849.9318937510798</v>
      </c>
      <c r="U18" s="142">
        <v>96657.287506747249</v>
      </c>
      <c r="AE18" s="137">
        <f t="shared" si="4"/>
        <v>8.796459430051419E-2</v>
      </c>
      <c r="AF18" s="131">
        <f t="shared" ca="1" si="0"/>
        <v>-106878184.24810986</v>
      </c>
      <c r="AG18" s="131">
        <f t="shared" ca="1" si="1"/>
        <v>-23701608.882846463</v>
      </c>
      <c r="AI18" s="131">
        <f t="shared" si="2"/>
        <v>-84208369.335759193</v>
      </c>
      <c r="AJ18" s="31">
        <f t="shared" si="3"/>
        <v>96657.287506747249</v>
      </c>
    </row>
    <row r="19" spans="1:36">
      <c r="A19" s="65"/>
      <c r="B19" s="22"/>
      <c r="C19" s="22"/>
      <c r="D19" s="22"/>
      <c r="E19" s="22"/>
      <c r="F19" s="67"/>
      <c r="G19" s="22"/>
      <c r="H19" s="22"/>
      <c r="O19" s="15">
        <v>16</v>
      </c>
      <c r="P19" s="33">
        <v>3248701.3931423002</v>
      </c>
      <c r="Q19" s="33">
        <v>95031485.673221901</v>
      </c>
      <c r="R19" s="146">
        <v>-91782784.280079603</v>
      </c>
      <c r="S19" s="31">
        <v>66470.820274765691</v>
      </c>
      <c r="T19" s="31">
        <v>5761.7989218427774</v>
      </c>
      <c r="U19" s="142">
        <v>60709.021352922915</v>
      </c>
      <c r="AB19" t="s">
        <v>389</v>
      </c>
      <c r="AC19">
        <f ca="1">SQRT(AC15)*SQRT(AB8)</f>
        <v>23869249.884848613</v>
      </c>
      <c r="AE19" s="137">
        <f t="shared" si="4"/>
        <v>9.4247779607693774E-2</v>
      </c>
      <c r="AF19" s="131">
        <f t="shared" ca="1" si="0"/>
        <v>-106864536.57669589</v>
      </c>
      <c r="AG19" s="131">
        <f t="shared" ca="1" si="1"/>
        <v>-23688615.777811188</v>
      </c>
      <c r="AI19" s="131">
        <f t="shared" si="2"/>
        <v>-91782784.280079603</v>
      </c>
      <c r="AJ19" s="31">
        <f t="shared" si="3"/>
        <v>60709.021352922915</v>
      </c>
    </row>
    <row r="20" spans="1:36">
      <c r="A20" s="65" t="s">
        <v>78</v>
      </c>
      <c r="B20" s="50">
        <v>0.2</v>
      </c>
      <c r="C20" s="22"/>
      <c r="D20" s="22"/>
      <c r="E20" s="22"/>
      <c r="F20" s="67"/>
      <c r="G20" s="22"/>
      <c r="H20" s="22"/>
      <c r="O20" s="15">
        <v>17</v>
      </c>
      <c r="P20" s="33">
        <v>2921531.2472371091</v>
      </c>
      <c r="Q20" s="33">
        <v>92172522.500541121</v>
      </c>
      <c r="R20" s="146">
        <v>-89250991.253304005</v>
      </c>
      <c r="S20" s="31">
        <v>130415.50548668415</v>
      </c>
      <c r="T20" s="31">
        <v>9389.6142682245427</v>
      </c>
      <c r="U20" s="142">
        <v>121025.89121845961</v>
      </c>
      <c r="AB20" t="s">
        <v>390</v>
      </c>
      <c r="AC20">
        <f ca="1">SQRT(AC16)*SQRT(AB8)</f>
        <v>104117.32914412807</v>
      </c>
      <c r="AE20" s="137">
        <f t="shared" si="4"/>
        <v>0.10053096491487336</v>
      </c>
      <c r="AF20" s="131">
        <f t="shared" ca="1" si="0"/>
        <v>-106849950.78266159</v>
      </c>
      <c r="AG20" s="131">
        <f t="shared" ca="1" si="1"/>
        <v>-23674684.161499269</v>
      </c>
      <c r="AI20" s="131">
        <f t="shared" si="2"/>
        <v>-89250991.253304005</v>
      </c>
      <c r="AJ20" s="31">
        <f t="shared" si="3"/>
        <v>121025.89121845961</v>
      </c>
    </row>
    <row r="21" spans="1:36">
      <c r="A21" s="65" t="s">
        <v>79</v>
      </c>
      <c r="B21" s="50">
        <v>0.7</v>
      </c>
      <c r="C21" s="22"/>
      <c r="D21" s="22"/>
      <c r="E21" s="22"/>
      <c r="F21" s="67"/>
      <c r="G21" s="22"/>
      <c r="H21" s="22"/>
      <c r="O21" s="15">
        <v>18</v>
      </c>
      <c r="P21" s="33">
        <v>2388060.9340003575</v>
      </c>
      <c r="Q21" s="33">
        <v>73488668.130976692</v>
      </c>
      <c r="R21" s="146">
        <v>-71100607.196976334</v>
      </c>
      <c r="S21" s="31">
        <v>66275.233079255981</v>
      </c>
      <c r="T21" s="31">
        <v>6015.484028995892</v>
      </c>
      <c r="U21" s="142">
        <v>60259.749050260085</v>
      </c>
      <c r="AB21" t="s">
        <v>391</v>
      </c>
      <c r="AC21">
        <f ca="1">ATAN2(Z5,AC15-Y5)</f>
        <v>-3.1368350176649207</v>
      </c>
      <c r="AE21" s="137">
        <f t="shared" si="4"/>
        <v>0.10681415022205294</v>
      </c>
      <c r="AF21" s="131">
        <f t="shared" ca="1" si="0"/>
        <v>-106834427.44182913</v>
      </c>
      <c r="AG21" s="131">
        <f t="shared" ca="1" si="1"/>
        <v>-23659814.583907064</v>
      </c>
      <c r="AI21" s="131">
        <f t="shared" si="2"/>
        <v>-71100607.196976334</v>
      </c>
      <c r="AJ21" s="31">
        <f t="shared" si="3"/>
        <v>60259.749050260085</v>
      </c>
    </row>
    <row r="22" spans="1:36">
      <c r="A22" s="65" t="s">
        <v>80</v>
      </c>
      <c r="B22" s="50">
        <v>0.3</v>
      </c>
      <c r="C22" s="22"/>
      <c r="D22" s="22"/>
      <c r="E22" s="22"/>
      <c r="F22" s="67"/>
      <c r="G22" s="22"/>
      <c r="H22" s="22"/>
      <c r="O22" s="15">
        <v>19</v>
      </c>
      <c r="P22" s="33">
        <v>3914213.8646226008</v>
      </c>
      <c r="Q22" s="33">
        <v>83974920.081667587</v>
      </c>
      <c r="R22" s="146">
        <v>-80060706.217044979</v>
      </c>
      <c r="S22" s="31">
        <v>81455.174860613013</v>
      </c>
      <c r="T22" s="31">
        <v>6482.5216719213295</v>
      </c>
      <c r="U22" s="142">
        <v>74972.653188691678</v>
      </c>
      <c r="AB22" t="s">
        <v>392</v>
      </c>
      <c r="AC22">
        <f ca="1">AC21*180/PI()</f>
        <v>-179.72740754104498</v>
      </c>
      <c r="AE22" s="137">
        <f t="shared" si="4"/>
        <v>0.11309733552923253</v>
      </c>
      <c r="AF22" s="131">
        <f t="shared" ca="1" si="0"/>
        <v>-106817967.16703343</v>
      </c>
      <c r="AG22" s="131">
        <f t="shared" ca="1" si="1"/>
        <v>-23644007.632060032</v>
      </c>
      <c r="AI22" s="131">
        <f t="shared" si="2"/>
        <v>-80060706.217044979</v>
      </c>
      <c r="AJ22" s="31">
        <f t="shared" si="3"/>
        <v>74972.653188691678</v>
      </c>
    </row>
    <row r="23" spans="1:36">
      <c r="A23" s="69"/>
      <c r="B23" s="22"/>
      <c r="C23" s="22"/>
      <c r="D23" s="22"/>
      <c r="E23" s="22"/>
      <c r="F23" s="67"/>
      <c r="G23" s="22"/>
      <c r="H23" s="22"/>
      <c r="O23" s="15">
        <v>20</v>
      </c>
      <c r="P23" s="33">
        <v>3315648.8968261611</v>
      </c>
      <c r="Q23" s="33">
        <v>73173306.92294389</v>
      </c>
      <c r="R23" s="146">
        <v>-69857658.026117727</v>
      </c>
      <c r="S23" s="31">
        <v>141743.22950836262</v>
      </c>
      <c r="T23" s="31">
        <v>15240.26840154879</v>
      </c>
      <c r="U23" s="142">
        <v>126502.96110681383</v>
      </c>
      <c r="AE23" s="137">
        <f t="shared" si="4"/>
        <v>0.11938052083641211</v>
      </c>
      <c r="AF23" s="131">
        <f t="shared" ca="1" si="0"/>
        <v>-106800570.60809797</v>
      </c>
      <c r="AG23" s="131">
        <f t="shared" ca="1" si="1"/>
        <v>-23627263.929989569</v>
      </c>
      <c r="AI23" s="131">
        <f t="shared" si="2"/>
        <v>-69857658.026117727</v>
      </c>
      <c r="AJ23" s="31">
        <f t="shared" si="3"/>
        <v>126502.96110681383</v>
      </c>
    </row>
    <row r="24" spans="1:36">
      <c r="A24" s="69"/>
      <c r="B24" s="22"/>
      <c r="C24" s="22"/>
      <c r="D24" s="22"/>
      <c r="E24" s="22"/>
      <c r="F24" s="67"/>
      <c r="G24" s="22"/>
      <c r="H24" s="22"/>
      <c r="O24" s="15">
        <v>21</v>
      </c>
      <c r="P24" s="33">
        <v>3452964.4055981939</v>
      </c>
      <c r="Q24" s="33">
        <v>69755116.255314827</v>
      </c>
      <c r="R24" s="146">
        <v>-66302151.849716634</v>
      </c>
      <c r="S24" s="31">
        <v>76031.145073063788</v>
      </c>
      <c r="T24" s="31">
        <v>4829.7800732344676</v>
      </c>
      <c r="U24" s="142">
        <v>71201.364999829326</v>
      </c>
      <c r="AB24" t="s">
        <v>393</v>
      </c>
      <c r="AE24" s="137">
        <f t="shared" si="4"/>
        <v>0.12566370614359171</v>
      </c>
      <c r="AF24" s="131">
        <f t="shared" ca="1" si="0"/>
        <v>-106782238.45180909</v>
      </c>
      <c r="AG24" s="131">
        <f t="shared" ca="1" si="1"/>
        <v>-23609584.138708357</v>
      </c>
      <c r="AI24" s="131">
        <f t="shared" si="2"/>
        <v>-66302151.849716634</v>
      </c>
      <c r="AJ24" s="31">
        <f t="shared" si="3"/>
        <v>71201.364999829326</v>
      </c>
    </row>
    <row r="25" spans="1:36">
      <c r="A25" s="65" t="s">
        <v>25</v>
      </c>
      <c r="B25" s="22"/>
      <c r="C25" s="22"/>
      <c r="D25" s="22"/>
      <c r="E25" s="22"/>
      <c r="F25" s="67"/>
      <c r="G25" s="22"/>
      <c r="H25" s="22"/>
      <c r="O25" s="15">
        <v>22</v>
      </c>
      <c r="P25" s="33">
        <v>3394665.7168163606</v>
      </c>
      <c r="Q25" s="33">
        <v>78301551.669516683</v>
      </c>
      <c r="R25" s="146">
        <v>-74906885.952700317</v>
      </c>
      <c r="S25" s="31">
        <v>229524.9276892597</v>
      </c>
      <c r="T25" s="31">
        <v>14749.203589351611</v>
      </c>
      <c r="U25" s="142">
        <v>214775.72409990808</v>
      </c>
      <c r="AB25">
        <f ca="1">COS(AC21)</f>
        <v>-0.99998868247155104</v>
      </c>
      <c r="AC25">
        <f ca="1">-AB26</f>
        <v>4.7576179766323761E-3</v>
      </c>
      <c r="AE25" s="137">
        <f t="shared" si="4"/>
        <v>0.13194689145077129</v>
      </c>
      <c r="AF25" s="131">
        <f t="shared" ca="1" si="0"/>
        <v>-106762971.42188895</v>
      </c>
      <c r="AG25" s="131">
        <f t="shared" ca="1" si="1"/>
        <v>-23590968.95618429</v>
      </c>
      <c r="AI25" s="131">
        <f t="shared" si="2"/>
        <v>-74906885.952700317</v>
      </c>
      <c r="AJ25" s="31">
        <f t="shared" si="3"/>
        <v>214775.72409990808</v>
      </c>
    </row>
    <row r="26" spans="1:36">
      <c r="A26" s="69" t="s">
        <v>81</v>
      </c>
      <c r="B26" s="22"/>
      <c r="C26" s="22"/>
      <c r="D26" s="22"/>
      <c r="E26" s="22"/>
      <c r="F26" s="67"/>
      <c r="G26" s="22"/>
      <c r="H26" s="22"/>
      <c r="O26" s="15">
        <v>23</v>
      </c>
      <c r="P26" s="33">
        <v>3928959.3504215283</v>
      </c>
      <c r="Q26" s="33">
        <v>86959599.732594743</v>
      </c>
      <c r="R26" s="146">
        <v>-83030640.38217321</v>
      </c>
      <c r="S26" s="31">
        <v>83327.53551299902</v>
      </c>
      <c r="T26" s="31">
        <v>6791.709226703103</v>
      </c>
      <c r="U26" s="142">
        <v>76535.826286295924</v>
      </c>
      <c r="AB26">
        <f ca="1">SIN(AC21)</f>
        <v>-4.7576179766323761E-3</v>
      </c>
      <c r="AC26">
        <f ca="1">COS(AC21)</f>
        <v>-0.99998868247155104</v>
      </c>
      <c r="AE26" s="137">
        <f t="shared" si="4"/>
        <v>0.13823007675795088</v>
      </c>
      <c r="AF26" s="131">
        <f t="shared" ca="1" si="0"/>
        <v>-106742770.27896687</v>
      </c>
      <c r="AG26" s="131">
        <f t="shared" ca="1" si="1"/>
        <v>-23571419.117312893</v>
      </c>
      <c r="AI26" s="131">
        <f t="shared" si="2"/>
        <v>-83030640.38217321</v>
      </c>
      <c r="AJ26" s="31">
        <f t="shared" si="3"/>
        <v>76535.826286295924</v>
      </c>
    </row>
    <row r="27" spans="1:36">
      <c r="A27" s="70" t="s">
        <v>90</v>
      </c>
      <c r="B27" s="71"/>
      <c r="C27" s="72"/>
      <c r="D27" s="72"/>
      <c r="E27" s="72"/>
      <c r="F27" s="73"/>
      <c r="G27" s="22"/>
      <c r="H27" s="22"/>
      <c r="O27" s="15">
        <v>24</v>
      </c>
      <c r="P27" s="33">
        <v>3615194.6851175823</v>
      </c>
      <c r="Q27" s="33">
        <v>111287695.67981619</v>
      </c>
      <c r="R27" s="146">
        <v>-107672500.9946986</v>
      </c>
      <c r="S27" s="31">
        <v>219413.4775132334</v>
      </c>
      <c r="T27" s="31">
        <v>8603.7173560164356</v>
      </c>
      <c r="U27" s="142">
        <v>210809.76015721698</v>
      </c>
      <c r="AE27" s="137">
        <f t="shared" si="4"/>
        <v>0.14451326206513046</v>
      </c>
      <c r="AF27" s="131">
        <f t="shared" ca="1" si="0"/>
        <v>-106721635.8205494</v>
      </c>
      <c r="AG27" s="131">
        <f t="shared" ca="1" si="1"/>
        <v>-23550935.393888339</v>
      </c>
      <c r="AI27" s="131">
        <f t="shared" si="2"/>
        <v>-107672500.9946986</v>
      </c>
      <c r="AJ27" s="31">
        <f t="shared" si="3"/>
        <v>210809.76015721698</v>
      </c>
    </row>
    <row r="28" spans="1:36">
      <c r="A28" s="22"/>
      <c r="B28" s="22"/>
      <c r="C28" s="22"/>
      <c r="D28" s="22"/>
      <c r="E28" s="22"/>
      <c r="F28" s="22"/>
      <c r="G28" s="22"/>
      <c r="H28" s="22"/>
      <c r="O28" s="15">
        <v>25</v>
      </c>
      <c r="P28" s="33">
        <v>3495832.8592061009</v>
      </c>
      <c r="Q28" s="33">
        <v>88449880.923214272</v>
      </c>
      <c r="R28" s="146">
        <v>-84954048.064008176</v>
      </c>
      <c r="S28" s="31">
        <v>78977.016971987468</v>
      </c>
      <c r="T28" s="31">
        <v>19565.140838065545</v>
      </c>
      <c r="U28" s="142">
        <v>59411.87613392192</v>
      </c>
      <c r="AE28" s="137">
        <f t="shared" si="4"/>
        <v>0.15079644737231004</v>
      </c>
      <c r="AF28" s="131">
        <f t="shared" ca="1" si="0"/>
        <v>-106699568.88098878</v>
      </c>
      <c r="AG28" s="131">
        <f t="shared" ca="1" si="1"/>
        <v>-23529518.594572946</v>
      </c>
      <c r="AI28" s="131">
        <f t="shared" si="2"/>
        <v>-84954048.064008176</v>
      </c>
      <c r="AJ28" s="31">
        <f t="shared" si="3"/>
        <v>59411.87613392192</v>
      </c>
    </row>
    <row r="29" spans="1:36">
      <c r="A29" s="22"/>
      <c r="B29" s="22"/>
      <c r="C29" s="22"/>
      <c r="D29" s="22"/>
      <c r="E29" s="22"/>
      <c r="F29" s="22"/>
      <c r="G29" s="22"/>
      <c r="H29" s="22"/>
      <c r="O29" s="15">
        <v>26</v>
      </c>
      <c r="P29" s="33">
        <v>3029759.9645171766</v>
      </c>
      <c r="Q29" s="33">
        <v>88279575.860170916</v>
      </c>
      <c r="R29" s="146">
        <v>-85249815.89565374</v>
      </c>
      <c r="S29" s="31">
        <v>31485.522029855609</v>
      </c>
      <c r="T29" s="31">
        <v>8950.2060289953006</v>
      </c>
      <c r="U29" s="142">
        <v>22535.316000860308</v>
      </c>
      <c r="AE29" s="137">
        <f t="shared" si="4"/>
        <v>0.15707963267948963</v>
      </c>
      <c r="AF29" s="131">
        <f t="shared" ca="1" si="0"/>
        <v>-106676570.33144999</v>
      </c>
      <c r="AG29" s="131">
        <f t="shared" ca="1" si="1"/>
        <v>-23507169.564865287</v>
      </c>
      <c r="AI29" s="131">
        <f t="shared" si="2"/>
        <v>-85249815.89565374</v>
      </c>
      <c r="AJ29" s="31">
        <f t="shared" si="3"/>
        <v>22535.316000860308</v>
      </c>
    </row>
    <row r="30" spans="1:36">
      <c r="A30" s="22"/>
      <c r="B30" s="22"/>
      <c r="C30" s="22"/>
      <c r="D30" s="22"/>
      <c r="E30" s="22"/>
      <c r="F30" s="22"/>
      <c r="G30" s="22"/>
      <c r="H30" s="22"/>
      <c r="O30" s="15">
        <v>27</v>
      </c>
      <c r="P30" s="33">
        <v>2569990.344835382</v>
      </c>
      <c r="Q30" s="33">
        <v>92154107.948080271</v>
      </c>
      <c r="R30" s="146">
        <v>-89584117.603244886</v>
      </c>
      <c r="S30" s="31">
        <v>89389.21390270401</v>
      </c>
      <c r="T30" s="31">
        <v>13689.580207963372</v>
      </c>
      <c r="U30" s="142">
        <v>75699.633694740638</v>
      </c>
      <c r="AE30" s="137">
        <f t="shared" si="4"/>
        <v>0.16336281798666921</v>
      </c>
      <c r="AF30" s="131">
        <f t="shared" ca="1" si="0"/>
        <v>-106652641.07987636</v>
      </c>
      <c r="AG30" s="131">
        <f t="shared" ca="1" si="1"/>
        <v>-23483889.187066779</v>
      </c>
      <c r="AI30" s="131">
        <f t="shared" si="2"/>
        <v>-89584117.603244886</v>
      </c>
      <c r="AJ30" s="31">
        <f t="shared" si="3"/>
        <v>75699.633694740638</v>
      </c>
    </row>
    <row r="31" spans="1:36">
      <c r="O31" s="15">
        <v>28</v>
      </c>
      <c r="P31" s="33">
        <v>3605207.8963224045</v>
      </c>
      <c r="Q31" s="33">
        <v>80747248.933509812</v>
      </c>
      <c r="R31" s="146">
        <v>-77142041.037187412</v>
      </c>
      <c r="S31" s="31">
        <v>119305.62953396473</v>
      </c>
      <c r="T31" s="31">
        <v>6170.6131932818344</v>
      </c>
      <c r="U31" s="142">
        <v>113135.01634068289</v>
      </c>
      <c r="AE31" s="137">
        <f t="shared" si="4"/>
        <v>0.1696460032938488</v>
      </c>
      <c r="AF31" s="131">
        <f t="shared" ca="1" si="0"/>
        <v>-106627782.07095382</v>
      </c>
      <c r="AG31" s="131">
        <f t="shared" ca="1" si="1"/>
        <v>-23459678.380246885</v>
      </c>
      <c r="AI31" s="131">
        <f t="shared" si="2"/>
        <v>-77142041.037187412</v>
      </c>
      <c r="AJ31" s="31">
        <f t="shared" si="3"/>
        <v>113135.01634068289</v>
      </c>
    </row>
    <row r="32" spans="1:36">
      <c r="O32" s="15">
        <v>29</v>
      </c>
      <c r="P32" s="33">
        <v>3727181.3202742538</v>
      </c>
      <c r="Q32" s="33">
        <v>86016173.246555194</v>
      </c>
      <c r="R32" s="146">
        <v>-82288991.926280946</v>
      </c>
      <c r="S32" s="31">
        <v>102968.33939192392</v>
      </c>
      <c r="T32" s="31">
        <v>13591.889856761296</v>
      </c>
      <c r="U32" s="142">
        <v>89376.449535162625</v>
      </c>
      <c r="AE32" s="137">
        <f t="shared" si="4"/>
        <v>0.17592918860102838</v>
      </c>
      <c r="AF32" s="131">
        <f t="shared" ca="1" si="0"/>
        <v>-106601994.28607345</v>
      </c>
      <c r="AG32" s="131">
        <f t="shared" ca="1" si="1"/>
        <v>-23434538.1002068</v>
      </c>
      <c r="AI32" s="131">
        <f t="shared" si="2"/>
        <v>-82288991.926280946</v>
      </c>
      <c r="AJ32" s="31">
        <f t="shared" si="3"/>
        <v>89376.449535162625</v>
      </c>
    </row>
    <row r="33" spans="1:36">
      <c r="O33" s="15">
        <v>30</v>
      </c>
      <c r="P33" s="33">
        <v>3392328.2513761376</v>
      </c>
      <c r="Q33" s="33">
        <v>91905967.131824151</v>
      </c>
      <c r="R33" s="146">
        <v>-88513638.880448014</v>
      </c>
      <c r="S33" s="31">
        <v>100898.37695355827</v>
      </c>
      <c r="T33" s="31">
        <v>8269.9735479558367</v>
      </c>
      <c r="U33" s="142">
        <v>92628.403405602439</v>
      </c>
      <c r="AE33" s="137">
        <f t="shared" si="4"/>
        <v>0.18221237390820796</v>
      </c>
      <c r="AF33" s="131">
        <f t="shared" ca="1" si="0"/>
        <v>-106575278.74329284</v>
      </c>
      <c r="AG33" s="131">
        <f t="shared" ca="1" si="1"/>
        <v>-23408469.339441724</v>
      </c>
      <c r="AI33" s="131">
        <f t="shared" si="2"/>
        <v>-88513638.880448014</v>
      </c>
      <c r="AJ33" s="31">
        <f t="shared" si="3"/>
        <v>92628.403405602439</v>
      </c>
    </row>
    <row r="34" spans="1:36">
      <c r="O34" s="15">
        <v>31</v>
      </c>
      <c r="P34" s="33">
        <v>3304969.0367955663</v>
      </c>
      <c r="Q34" s="33">
        <v>74973259.244859651</v>
      </c>
      <c r="R34" s="146">
        <v>-71668290.208064079</v>
      </c>
      <c r="S34" s="31">
        <v>145782.79128153739</v>
      </c>
      <c r="T34" s="31">
        <v>16793.424892530773</v>
      </c>
      <c r="U34" s="142">
        <v>128989.36638900661</v>
      </c>
      <c r="AE34" s="137">
        <f t="shared" si="4"/>
        <v>0.18849555921538755</v>
      </c>
      <c r="AF34" s="131">
        <f t="shared" ca="1" si="0"/>
        <v>-106547636.49729587</v>
      </c>
      <c r="AG34" s="131">
        <f t="shared" ca="1" si="1"/>
        <v>-23381473.127101704</v>
      </c>
      <c r="AI34" s="131">
        <f t="shared" si="2"/>
        <v>-71668290.208064079</v>
      </c>
      <c r="AJ34" s="31">
        <f t="shared" si="3"/>
        <v>128989.36638900661</v>
      </c>
    </row>
    <row r="35" spans="1:36">
      <c r="O35" s="15">
        <v>32</v>
      </c>
      <c r="P35" s="33">
        <v>3577993.409012795</v>
      </c>
      <c r="Q35" s="33">
        <v>97773015.296209037</v>
      </c>
      <c r="R35" s="146">
        <v>-94195021.887196243</v>
      </c>
      <c r="S35" s="31">
        <v>171640.24780223623</v>
      </c>
      <c r="T35" s="31">
        <v>5797.8643665103546</v>
      </c>
      <c r="U35" s="142">
        <v>165842.38343572587</v>
      </c>
      <c r="AE35" s="137">
        <f t="shared" si="4"/>
        <v>0.19477874452256713</v>
      </c>
      <c r="AF35" s="131">
        <f t="shared" ca="1" si="0"/>
        <v>-106519068.63935108</v>
      </c>
      <c r="AG35" s="131">
        <f t="shared" ca="1" si="1"/>
        <v>-23353550.528950974</v>
      </c>
      <c r="AI35" s="131">
        <f t="shared" si="2"/>
        <v>-94195021.887196243</v>
      </c>
      <c r="AJ35" s="31">
        <f t="shared" si="3"/>
        <v>165842.38343572587</v>
      </c>
    </row>
    <row r="36" spans="1:36">
      <c r="O36" s="15">
        <v>33</v>
      </c>
      <c r="P36" s="33">
        <v>3357929.527377429</v>
      </c>
      <c r="Q36" s="33">
        <v>82013681.542821109</v>
      </c>
      <c r="R36" s="146">
        <v>-78655752.015443683</v>
      </c>
      <c r="S36" s="31">
        <v>52016.528645778701</v>
      </c>
      <c r="T36" s="31">
        <v>20018.382202339293</v>
      </c>
      <c r="U36" s="142">
        <v>31998.146443439407</v>
      </c>
      <c r="AE36" s="137">
        <f t="shared" si="4"/>
        <v>0.20106192982974672</v>
      </c>
      <c r="AF36" s="131">
        <f t="shared" ca="1" si="0"/>
        <v>-106489576.2972686</v>
      </c>
      <c r="AG36" s="131">
        <f t="shared" ca="1" si="1"/>
        <v>-23324702.647325903</v>
      </c>
      <c r="AI36" s="131">
        <f t="shared" si="2"/>
        <v>-78655752.015443683</v>
      </c>
      <c r="AJ36" s="31">
        <f t="shared" si="3"/>
        <v>31998.146443439407</v>
      </c>
    </row>
    <row r="37" spans="1:36">
      <c r="O37" s="15">
        <v>34</v>
      </c>
      <c r="P37" s="33">
        <v>3192512.7792254728</v>
      </c>
      <c r="Q37" s="33">
        <v>85071932.028552815</v>
      </c>
      <c r="R37" s="146">
        <v>-81879419.249327347</v>
      </c>
      <c r="S37" s="31">
        <v>82734.992601056016</v>
      </c>
      <c r="T37" s="31">
        <v>5509.6494207106616</v>
      </c>
      <c r="U37" s="142">
        <v>77225.343180345357</v>
      </c>
      <c r="AE37" s="137">
        <f t="shared" si="4"/>
        <v>0.2073451151369263</v>
      </c>
      <c r="AF37" s="131">
        <f t="shared" ca="1" si="0"/>
        <v>-106459160.63535561</v>
      </c>
      <c r="AG37" s="131">
        <f t="shared" ca="1" si="1"/>
        <v>-23294930.621091459</v>
      </c>
      <c r="AI37" s="131">
        <f t="shared" si="2"/>
        <v>-81879419.249327347</v>
      </c>
      <c r="AJ37" s="31">
        <f t="shared" si="3"/>
        <v>77225.343180345357</v>
      </c>
    </row>
    <row r="38" spans="1:36">
      <c r="O38" s="15">
        <v>35</v>
      </c>
      <c r="P38" s="33">
        <v>3498088.3451350783</v>
      </c>
      <c r="Q38" s="33">
        <v>94696561.302127481</v>
      </c>
      <c r="R38" s="146">
        <v>-91198472.956992403</v>
      </c>
      <c r="S38" s="31">
        <v>94521.751977871594</v>
      </c>
      <c r="T38" s="31">
        <v>21878.495380942059</v>
      </c>
      <c r="U38" s="142">
        <v>72643.256596929539</v>
      </c>
      <c r="AE38" s="137">
        <f t="shared" si="4"/>
        <v>0.21362830044410588</v>
      </c>
      <c r="AF38" s="131">
        <f t="shared" ca="1" si="0"/>
        <v>-106427822.85437031</v>
      </c>
      <c r="AG38" s="131">
        <f t="shared" ca="1" si="1"/>
        <v>-23264235.625596255</v>
      </c>
      <c r="AI38" s="131">
        <f t="shared" si="2"/>
        <v>-91198472.956992403</v>
      </c>
      <c r="AJ38" s="31">
        <f t="shared" si="3"/>
        <v>72643.256596929539</v>
      </c>
    </row>
    <row r="39" spans="1:36">
      <c r="O39" s="15">
        <v>36</v>
      </c>
      <c r="P39" s="33">
        <v>4093561.1704108366</v>
      </c>
      <c r="Q39" s="33">
        <v>73735699.789449632</v>
      </c>
      <c r="R39" s="146">
        <v>-69642138.61903879</v>
      </c>
      <c r="S39" s="31">
        <v>91075.458757925226</v>
      </c>
      <c r="T39" s="31">
        <v>11094.904717493855</v>
      </c>
      <c r="U39" s="142">
        <v>79980.554040431365</v>
      </c>
      <c r="AE39" s="137">
        <f t="shared" si="4"/>
        <v>0.21991148575128547</v>
      </c>
      <c r="AF39" s="131">
        <f t="shared" ca="1" si="0"/>
        <v>-106395564.19147468</v>
      </c>
      <c r="AG39" s="131">
        <f t="shared" ca="1" si="1"/>
        <v>-23232618.872626163</v>
      </c>
      <c r="AI39" s="131">
        <f t="shared" si="2"/>
        <v>-69642138.61903879</v>
      </c>
      <c r="AJ39" s="31">
        <f t="shared" si="3"/>
        <v>79980.554040431365</v>
      </c>
    </row>
    <row r="40" spans="1:36">
      <c r="O40" s="15">
        <v>37</v>
      </c>
      <c r="P40" s="33">
        <v>2961278.6740277358</v>
      </c>
      <c r="Q40" s="33">
        <v>69722500.248403922</v>
      </c>
      <c r="R40" s="146">
        <v>-66761221.574376188</v>
      </c>
      <c r="S40" s="31">
        <v>130976.41022607173</v>
      </c>
      <c r="T40" s="31">
        <v>16512.339739720213</v>
      </c>
      <c r="U40" s="142">
        <v>114464.07048635153</v>
      </c>
      <c r="AE40" s="137">
        <f t="shared" si="4"/>
        <v>0.22619467105846505</v>
      </c>
      <c r="AF40" s="131">
        <f t="shared" ca="1" si="0"/>
        <v>-106362385.92018549</v>
      </c>
      <c r="AG40" s="131">
        <f t="shared" ca="1" si="1"/>
        <v>-23200081.61035645</v>
      </c>
      <c r="AI40" s="131">
        <f t="shared" si="2"/>
        <v>-66761221.574376188</v>
      </c>
      <c r="AJ40" s="31">
        <f t="shared" si="3"/>
        <v>114464.07048635153</v>
      </c>
    </row>
    <row r="41" spans="1:36">
      <c r="O41" s="15">
        <v>38</v>
      </c>
      <c r="P41" s="33">
        <v>3574631.0670146355</v>
      </c>
      <c r="Q41" s="33">
        <v>80987382.166711479</v>
      </c>
      <c r="R41" s="146">
        <v>-77412751.099696845</v>
      </c>
      <c r="S41" s="31">
        <v>72582.097748289001</v>
      </c>
      <c r="T41" s="31">
        <v>5960.5467773908504</v>
      </c>
      <c r="U41" s="142">
        <v>66621.550970898155</v>
      </c>
      <c r="AE41" s="137">
        <f t="shared" si="4"/>
        <v>0.23247785636564464</v>
      </c>
      <c r="AF41" s="131">
        <f t="shared" ca="1" si="0"/>
        <v>-106328289.35032406</v>
      </c>
      <c r="AG41" s="131">
        <f t="shared" ca="1" si="1"/>
        <v>-23166625.123302519</v>
      </c>
      <c r="AI41" s="131">
        <f t="shared" si="2"/>
        <v>-77412751.099696845</v>
      </c>
      <c r="AJ41" s="31">
        <f t="shared" si="3"/>
        <v>66621.550970898155</v>
      </c>
    </row>
    <row r="42" spans="1:36">
      <c r="O42" s="15">
        <v>39</v>
      </c>
      <c r="P42" s="33">
        <v>3762251.2102573803</v>
      </c>
      <c r="Q42" s="33">
        <v>84858735.271545961</v>
      </c>
      <c r="R42" s="146">
        <v>-81096484.06128858</v>
      </c>
      <c r="S42" s="31">
        <v>79245.825636917347</v>
      </c>
      <c r="T42" s="31">
        <v>11703.218130785786</v>
      </c>
      <c r="U42" s="142">
        <v>67542.607506131564</v>
      </c>
      <c r="AE42" s="137">
        <f t="shared" si="4"/>
        <v>0.23876104167282422</v>
      </c>
      <c r="AF42" s="131">
        <f t="shared" ca="1" si="0"/>
        <v>-106293275.8279646</v>
      </c>
      <c r="AG42" s="131">
        <f t="shared" ca="1" si="1"/>
        <v>-23132250.73226919</v>
      </c>
      <c r="AI42" s="131">
        <f t="shared" si="2"/>
        <v>-81096484.06128858</v>
      </c>
      <c r="AJ42" s="31">
        <f t="shared" si="3"/>
        <v>67542.607506131564</v>
      </c>
    </row>
    <row r="43" spans="1:36">
      <c r="O43" s="15">
        <v>40</v>
      </c>
      <c r="P43" s="33">
        <v>3238437.88987691</v>
      </c>
      <c r="Q43" s="33">
        <v>81460553.709796682</v>
      </c>
      <c r="R43" s="146">
        <v>-78222115.819919765</v>
      </c>
      <c r="S43" s="31">
        <v>110764.03253170747</v>
      </c>
      <c r="T43" s="31">
        <v>12092.657527325424</v>
      </c>
      <c r="U43" s="142">
        <v>98671.375004382047</v>
      </c>
      <c r="AE43" s="137">
        <f t="shared" si="4"/>
        <v>0.2450442269800038</v>
      </c>
      <c r="AF43" s="131">
        <f t="shared" ca="1" si="0"/>
        <v>-106257346.73538102</v>
      </c>
      <c r="AG43" s="131">
        <f t="shared" ca="1" si="1"/>
        <v>-23096959.794298567</v>
      </c>
      <c r="AI43" s="131">
        <f t="shared" si="2"/>
        <v>-78222115.819919765</v>
      </c>
      <c r="AJ43" s="31">
        <f t="shared" si="3"/>
        <v>98671.375004382047</v>
      </c>
    </row>
    <row r="44" spans="1:36">
      <c r="A44">
        <v>46838473.700000003</v>
      </c>
      <c r="O44" s="15">
        <v>41</v>
      </c>
      <c r="P44" s="33">
        <v>3063667.768559542</v>
      </c>
      <c r="Q44" s="33">
        <v>81585963.092117295</v>
      </c>
      <c r="R44" s="146">
        <v>-78522295.323557749</v>
      </c>
      <c r="S44" s="31">
        <v>44557.103990691343</v>
      </c>
      <c r="T44" s="31">
        <v>12934.679958829332</v>
      </c>
      <c r="U44" s="142">
        <v>31622.42403186201</v>
      </c>
      <c r="AE44" s="137">
        <f t="shared" si="4"/>
        <v>0.25132741228718342</v>
      </c>
      <c r="AF44" s="131">
        <f t="shared" ca="1" si="0"/>
        <v>-106220503.49099238</v>
      </c>
      <c r="AG44" s="131">
        <f t="shared" ca="1" si="1"/>
        <v>-23060753.702616442</v>
      </c>
      <c r="AI44" s="131">
        <f t="shared" si="2"/>
        <v>-78522295.323557749</v>
      </c>
      <c r="AJ44" s="31">
        <f t="shared" si="3"/>
        <v>31622.42403186201</v>
      </c>
    </row>
    <row r="45" spans="1:36">
      <c r="O45" s="15">
        <v>42</v>
      </c>
      <c r="P45" s="33">
        <v>3163669.1384831155</v>
      </c>
      <c r="Q45" s="33">
        <v>90057693.55472073</v>
      </c>
      <c r="R45" s="146">
        <v>-86894024.416237608</v>
      </c>
      <c r="S45" s="31">
        <v>49967.482685704017</v>
      </c>
      <c r="T45" s="31">
        <v>17103.020305243892</v>
      </c>
      <c r="U45" s="142">
        <v>32864.462380460129</v>
      </c>
      <c r="AE45" s="137">
        <f t="shared" si="4"/>
        <v>0.257610597594363</v>
      </c>
      <c r="AF45" s="131">
        <f t="shared" ca="1" si="0"/>
        <v>-106182747.54930687</v>
      </c>
      <c r="AG45" s="131">
        <f t="shared" ca="1" si="1"/>
        <v>-23023633.886577338</v>
      </c>
      <c r="AI45" s="131">
        <f t="shared" si="2"/>
        <v>-86894024.416237608</v>
      </c>
      <c r="AJ45" s="31">
        <f t="shared" si="3"/>
        <v>32864.462380460129</v>
      </c>
    </row>
    <row r="46" spans="1:36">
      <c r="O46" s="15">
        <v>43</v>
      </c>
      <c r="P46" s="33">
        <v>3708792.1113864086</v>
      </c>
      <c r="Q46" s="33">
        <v>97002498.964748621</v>
      </c>
      <c r="R46" s="146">
        <v>-93293706.853362218</v>
      </c>
      <c r="S46" s="31">
        <v>60466.24508758224</v>
      </c>
      <c r="T46" s="31">
        <v>12232.131069099634</v>
      </c>
      <c r="U46" s="142">
        <v>48234.114018482607</v>
      </c>
      <c r="AE46" s="137">
        <f t="shared" si="4"/>
        <v>0.26389378290154258</v>
      </c>
      <c r="AF46" s="131">
        <f t="shared" ca="1" si="0"/>
        <v>-106144080.40086442</v>
      </c>
      <c r="AG46" s="131">
        <f t="shared" ca="1" si="1"/>
        <v>-22985601.811608016</v>
      </c>
      <c r="AI46" s="131">
        <f t="shared" si="2"/>
        <v>-93293706.853362218</v>
      </c>
      <c r="AJ46" s="31">
        <f t="shared" si="3"/>
        <v>48234.114018482607</v>
      </c>
    </row>
    <row r="47" spans="1:36">
      <c r="O47" s="15">
        <v>44</v>
      </c>
      <c r="P47" s="33">
        <v>3743812.0758473664</v>
      </c>
      <c r="Q47" s="33">
        <v>90628602.396735966</v>
      </c>
      <c r="R47" s="146">
        <v>-86884790.320888594</v>
      </c>
      <c r="S47" s="31">
        <v>132156.58705491709</v>
      </c>
      <c r="T47" s="31">
        <v>8138.2926467594207</v>
      </c>
      <c r="U47" s="142">
        <v>124018.29440815767</v>
      </c>
      <c r="AE47" s="137">
        <f t="shared" si="4"/>
        <v>0.27017696820872217</v>
      </c>
      <c r="AF47" s="131">
        <f t="shared" ca="1" si="0"/>
        <v>-106104503.57217784</v>
      </c>
      <c r="AG47" s="131">
        <f t="shared" ca="1" si="1"/>
        <v>-22946658.979149684</v>
      </c>
      <c r="AI47" s="131">
        <f t="shared" si="2"/>
        <v>-86884790.320888594</v>
      </c>
      <c r="AJ47" s="31">
        <f t="shared" si="3"/>
        <v>124018.29440815767</v>
      </c>
    </row>
    <row r="48" spans="1:36">
      <c r="O48" s="15">
        <v>45</v>
      </c>
      <c r="P48" s="33">
        <v>3119783.4599933098</v>
      </c>
      <c r="Q48" s="33">
        <v>74338269.867187381</v>
      </c>
      <c r="R48" s="146">
        <v>-71218486.407194078</v>
      </c>
      <c r="S48" s="31">
        <v>13106.585103855336</v>
      </c>
      <c r="T48" s="31">
        <v>12156.575647100537</v>
      </c>
      <c r="U48" s="142">
        <v>950.00945675479852</v>
      </c>
      <c r="AE48" s="137">
        <f t="shared" si="4"/>
        <v>0.27646015351590175</v>
      </c>
      <c r="AF48" s="131">
        <f t="shared" ca="1" si="0"/>
        <v>-106064018.62567258</v>
      </c>
      <c r="AG48" s="131">
        <f t="shared" ca="1" si="1"/>
        <v>-22906806.926598683</v>
      </c>
      <c r="AI48" s="131">
        <f t="shared" si="2"/>
        <v>-71218486.407194078</v>
      </c>
      <c r="AJ48" s="31">
        <f t="shared" si="3"/>
        <v>950.00945675479852</v>
      </c>
    </row>
    <row r="49" spans="15:36">
      <c r="O49" s="15">
        <v>46</v>
      </c>
      <c r="P49" s="33">
        <v>3581351.0839303555</v>
      </c>
      <c r="Q49" s="33">
        <v>89128620.51057975</v>
      </c>
      <c r="R49" s="146">
        <v>-85547269.426649392</v>
      </c>
      <c r="S49" s="31">
        <v>104034.93997537758</v>
      </c>
      <c r="T49" s="31">
        <v>6587.0896791828427</v>
      </c>
      <c r="U49" s="142">
        <v>97447.850296194738</v>
      </c>
      <c r="AE49" s="137">
        <f t="shared" si="4"/>
        <v>0.28274333882308134</v>
      </c>
      <c r="AF49" s="131">
        <f t="shared" ca="1" si="0"/>
        <v>-106022627.15962498</v>
      </c>
      <c r="AG49" s="131">
        <f t="shared" ca="1" si="1"/>
        <v>-22866047.227245808</v>
      </c>
      <c r="AI49" s="131">
        <f t="shared" si="2"/>
        <v>-85547269.426649392</v>
      </c>
      <c r="AJ49" s="31">
        <f t="shared" si="3"/>
        <v>97447.850296194738</v>
      </c>
    </row>
    <row r="50" spans="15:36">
      <c r="O50" s="15">
        <v>47</v>
      </c>
      <c r="P50" s="33">
        <v>3682006.3394305585</v>
      </c>
      <c r="Q50" s="33">
        <v>82676570.411994815</v>
      </c>
      <c r="R50" s="146">
        <v>-78994564.072564259</v>
      </c>
      <c r="S50" s="31">
        <v>71583.482467478243</v>
      </c>
      <c r="T50" s="31">
        <v>13777.223065349437</v>
      </c>
      <c r="U50" s="142">
        <v>57806.25940212881</v>
      </c>
      <c r="AE50" s="137">
        <f t="shared" si="4"/>
        <v>0.28902652413026092</v>
      </c>
      <c r="AF50" s="131">
        <f t="shared" ca="1" si="0"/>
        <v>-105980330.80809927</v>
      </c>
      <c r="AG50" s="131">
        <f t="shared" ca="1" si="1"/>
        <v>-22824381.490214206</v>
      </c>
      <c r="AI50" s="131">
        <f t="shared" si="2"/>
        <v>-78994564.072564259</v>
      </c>
      <c r="AJ50" s="31">
        <f t="shared" si="3"/>
        <v>57806.25940212881</v>
      </c>
    </row>
    <row r="51" spans="15:36">
      <c r="O51" s="15">
        <v>48</v>
      </c>
      <c r="P51" s="33">
        <v>3215545.9532597167</v>
      </c>
      <c r="Q51" s="33">
        <v>81451189.989679828</v>
      </c>
      <c r="R51" s="146">
        <v>-78235644.036420107</v>
      </c>
      <c r="S51" s="31">
        <v>130675.37796123249</v>
      </c>
      <c r="T51" s="31">
        <v>10193.434693160518</v>
      </c>
      <c r="U51" s="142">
        <v>120481.94326807198</v>
      </c>
      <c r="AE51" s="137">
        <f t="shared" si="4"/>
        <v>0.2953097094374405</v>
      </c>
      <c r="AF51" s="131">
        <f t="shared" ca="1" si="0"/>
        <v>-105937131.24088296</v>
      </c>
      <c r="AG51" s="131">
        <f t="shared" ca="1" si="1"/>
        <v>-22781811.360395826</v>
      </c>
      <c r="AI51" s="131">
        <f t="shared" si="2"/>
        <v>-78235644.036420107</v>
      </c>
      <c r="AJ51" s="31">
        <f t="shared" si="3"/>
        <v>120481.94326807198</v>
      </c>
    </row>
    <row r="52" spans="15:36">
      <c r="O52" s="15">
        <v>49</v>
      </c>
      <c r="P52" s="33">
        <v>2807426.5657143979</v>
      </c>
      <c r="Q52" s="33">
        <v>97390223.141360581</v>
      </c>
      <c r="R52" s="146">
        <v>-94582796.575646177</v>
      </c>
      <c r="S52" s="31">
        <v>87265.585067860156</v>
      </c>
      <c r="T52" s="31">
        <v>14990.18915686871</v>
      </c>
      <c r="U52" s="142">
        <v>72275.395910991443</v>
      </c>
      <c r="AE52" s="137">
        <f t="shared" si="4"/>
        <v>0.30159289474462009</v>
      </c>
      <c r="AF52" s="131">
        <f t="shared" ca="1" si="0"/>
        <v>-105893030.16342102</v>
      </c>
      <c r="AG52" s="131">
        <f t="shared" ca="1" si="1"/>
        <v>-22738338.518386498</v>
      </c>
      <c r="AI52" s="131">
        <f t="shared" si="2"/>
        <v>-94582796.575646177</v>
      </c>
      <c r="AJ52" s="31">
        <f t="shared" si="3"/>
        <v>72275.395910991443</v>
      </c>
    </row>
    <row r="53" spans="15:36">
      <c r="O53" s="15">
        <v>50</v>
      </c>
      <c r="P53" s="33">
        <v>3643282.9639155008</v>
      </c>
      <c r="Q53" s="33">
        <v>72468127.314745784</v>
      </c>
      <c r="R53" s="146">
        <v>-68824844.350830287</v>
      </c>
      <c r="S53" s="31">
        <v>173319.53455453675</v>
      </c>
      <c r="T53" s="31">
        <v>5914.5919382114043</v>
      </c>
      <c r="U53" s="142">
        <v>167404.94261632534</v>
      </c>
      <c r="AE53" s="137">
        <f t="shared" si="4"/>
        <v>0.30787608005179967</v>
      </c>
      <c r="AF53" s="131">
        <f t="shared" ca="1" si="0"/>
        <v>-105848029.31674846</v>
      </c>
      <c r="AG53" s="131">
        <f t="shared" ca="1" si="1"/>
        <v>-22693964.68041959</v>
      </c>
      <c r="AI53" s="131">
        <f t="shared" si="2"/>
        <v>-68824844.350830287</v>
      </c>
      <c r="AJ53" s="31">
        <f t="shared" si="3"/>
        <v>167404.94261632534</v>
      </c>
    </row>
    <row r="54" spans="15:36">
      <c r="O54" s="15">
        <v>51</v>
      </c>
      <c r="P54" s="33">
        <v>2461412.7431712965</v>
      </c>
      <c r="Q54" s="33">
        <v>90999151.118626937</v>
      </c>
      <c r="R54" s="146">
        <v>-88537738.375455648</v>
      </c>
      <c r="S54" s="31">
        <v>58988.446032453707</v>
      </c>
      <c r="T54" s="31">
        <v>9310.544829318751</v>
      </c>
      <c r="U54" s="142">
        <v>49677.901203134956</v>
      </c>
      <c r="AE54" s="137">
        <f t="shared" si="4"/>
        <v>0.31415926535897926</v>
      </c>
      <c r="AF54" s="131">
        <f t="shared" ca="1" si="0"/>
        <v>-105802130.47742166</v>
      </c>
      <c r="AG54" s="131">
        <f t="shared" ca="1" si="1"/>
        <v>-22648691.598298255</v>
      </c>
      <c r="AI54" s="131">
        <f t="shared" si="2"/>
        <v>-88537738.375455648</v>
      </c>
      <c r="AJ54" s="31">
        <f t="shared" si="3"/>
        <v>49677.901203134956</v>
      </c>
    </row>
    <row r="55" spans="15:36">
      <c r="O55" s="15">
        <v>52</v>
      </c>
      <c r="P55" s="33">
        <v>3454256.0301041934</v>
      </c>
      <c r="Q55" s="33">
        <v>77632300.215863049</v>
      </c>
      <c r="R55" s="146">
        <v>-74178044.185758859</v>
      </c>
      <c r="S55" s="31">
        <v>84500.954090666753</v>
      </c>
      <c r="T55" s="31">
        <v>4902.4262789698232</v>
      </c>
      <c r="U55" s="142">
        <v>79598.527811696928</v>
      </c>
      <c r="AE55" s="137">
        <f t="shared" si="4"/>
        <v>0.32044245066615884</v>
      </c>
      <c r="AF55" s="131">
        <f t="shared" ca="1" si="0"/>
        <v>-105755335.45744818</v>
      </c>
      <c r="AG55" s="131">
        <f t="shared" ca="1" si="1"/>
        <v>-22602521.059326235</v>
      </c>
      <c r="AI55" s="131">
        <f t="shared" si="2"/>
        <v>-74178044.185758859</v>
      </c>
      <c r="AJ55" s="31">
        <f t="shared" si="3"/>
        <v>79598.527811696928</v>
      </c>
    </row>
    <row r="56" spans="15:36">
      <c r="O56" s="15">
        <v>53</v>
      </c>
      <c r="P56" s="33">
        <v>3290759.5271058888</v>
      </c>
      <c r="Q56" s="33">
        <v>79052898.619471297</v>
      </c>
      <c r="R56" s="146">
        <v>-75762139.092365414</v>
      </c>
      <c r="S56" s="31">
        <v>98709.951308305826</v>
      </c>
      <c r="T56" s="31">
        <v>3651.1868927962832</v>
      </c>
      <c r="U56" s="142">
        <v>95058.764415509548</v>
      </c>
      <c r="AE56" s="137">
        <f t="shared" si="4"/>
        <v>0.32672563597333842</v>
      </c>
      <c r="AF56" s="131">
        <f t="shared" ca="1" si="0"/>
        <v>-105707646.10421532</v>
      </c>
      <c r="AG56" s="131">
        <f t="shared" ca="1" si="1"/>
        <v>-22555454.886237372</v>
      </c>
      <c r="AI56" s="131">
        <f t="shared" si="2"/>
        <v>-75762139.092365414</v>
      </c>
      <c r="AJ56" s="31">
        <f t="shared" si="3"/>
        <v>95058.764415509548</v>
      </c>
    </row>
    <row r="57" spans="15:36">
      <c r="O57" s="15">
        <v>54</v>
      </c>
      <c r="P57" s="33">
        <v>3284243.5907102451</v>
      </c>
      <c r="Q57" s="33">
        <v>85634860.571314842</v>
      </c>
      <c r="R57" s="146">
        <v>-82350616.980604589</v>
      </c>
      <c r="S57" s="31">
        <v>75134.401267072943</v>
      </c>
      <c r="T57" s="31">
        <v>5762.4389831955086</v>
      </c>
      <c r="U57" s="142">
        <v>69371.962283877438</v>
      </c>
      <c r="AE57" s="137">
        <f t="shared" si="4"/>
        <v>0.33300882128051801</v>
      </c>
      <c r="AF57" s="131">
        <f t="shared" ca="1" si="0"/>
        <v>-105659064.30041708</v>
      </c>
      <c r="AG57" s="131">
        <f t="shared" ca="1" si="1"/>
        <v>-22507494.937123574</v>
      </c>
      <c r="AI57" s="131">
        <f t="shared" si="2"/>
        <v>-82350616.980604589</v>
      </c>
      <c r="AJ57" s="31">
        <f t="shared" si="3"/>
        <v>69371.962283877438</v>
      </c>
    </row>
    <row r="58" spans="15:36">
      <c r="O58" s="15">
        <v>55</v>
      </c>
      <c r="P58" s="33">
        <v>3681358.9511999036</v>
      </c>
      <c r="Q58" s="33">
        <v>71675217.836235255</v>
      </c>
      <c r="R58" s="146">
        <v>-67993858.885035351</v>
      </c>
      <c r="S58" s="31">
        <v>124602.44267383362</v>
      </c>
      <c r="T58" s="31">
        <v>11040.095819063585</v>
      </c>
      <c r="U58" s="142">
        <v>113562.34685477003</v>
      </c>
      <c r="AE58" s="137">
        <f t="shared" si="4"/>
        <v>0.33929200658769759</v>
      </c>
      <c r="AF58" s="131">
        <f t="shared" ca="1" si="0"/>
        <v>-105609591.96397988</v>
      </c>
      <c r="AG58" s="131">
        <f t="shared" ca="1" si="1"/>
        <v>-22458643.105361521</v>
      </c>
      <c r="AI58" s="131">
        <f t="shared" si="2"/>
        <v>-67993858.885035351</v>
      </c>
      <c r="AJ58" s="31">
        <f t="shared" si="3"/>
        <v>113562.34685477003</v>
      </c>
    </row>
    <row r="59" spans="15:36">
      <c r="O59" s="15">
        <v>56</v>
      </c>
      <c r="P59" s="33">
        <v>3643042.7961267913</v>
      </c>
      <c r="Q59" s="33">
        <v>95493459.336907834</v>
      </c>
      <c r="R59" s="146">
        <v>-91850416.540781036</v>
      </c>
      <c r="S59" s="31">
        <v>157128.86044877727</v>
      </c>
      <c r="T59" s="31">
        <v>8618.8040495669902</v>
      </c>
      <c r="U59" s="142">
        <v>148510.05639921027</v>
      </c>
      <c r="AE59" s="137">
        <f t="shared" si="4"/>
        <v>0.34557519189487718</v>
      </c>
      <c r="AF59" s="131">
        <f t="shared" ca="1" si="0"/>
        <v>-105559231.04798685</v>
      </c>
      <c r="AG59" s="131">
        <f t="shared" ca="1" si="1"/>
        <v>-22408901.319537882</v>
      </c>
      <c r="AI59" s="131">
        <f t="shared" si="2"/>
        <v>-91850416.540781036</v>
      </c>
      <c r="AJ59" s="31">
        <f t="shared" si="3"/>
        <v>148510.05639921027</v>
      </c>
    </row>
    <row r="60" spans="15:36">
      <c r="O60" s="15">
        <v>57</v>
      </c>
      <c r="P60" s="33">
        <v>4010509.9540992766</v>
      </c>
      <c r="Q60" s="33">
        <v>85219580.974974602</v>
      </c>
      <c r="R60" s="146">
        <v>-81209071.02087532</v>
      </c>
      <c r="S60" s="31">
        <v>108434.98608037186</v>
      </c>
      <c r="T60" s="31">
        <v>9974.8221123552776</v>
      </c>
      <c r="U60" s="142">
        <v>98460.163968016583</v>
      </c>
      <c r="AE60" s="137">
        <f t="shared" si="4"/>
        <v>0.35185837720205676</v>
      </c>
      <c r="AF60" s="131">
        <f t="shared" ca="1" si="0"/>
        <v>-105507983.54060072</v>
      </c>
      <c r="AG60" s="131">
        <f t="shared" ca="1" si="1"/>
        <v>-22358271.543373182</v>
      </c>
      <c r="AI60" s="131">
        <f t="shared" si="2"/>
        <v>-81209071.02087532</v>
      </c>
      <c r="AJ60" s="31">
        <f t="shared" si="3"/>
        <v>98460.163968016583</v>
      </c>
    </row>
    <row r="61" spans="15:36">
      <c r="O61" s="15">
        <v>58</v>
      </c>
      <c r="P61" s="33">
        <v>3297704.2862502909</v>
      </c>
      <c r="Q61" s="33">
        <v>71870158.704035074</v>
      </c>
      <c r="R61" s="146">
        <v>-68572454.41778478</v>
      </c>
      <c r="S61" s="31">
        <v>113165.63542544379</v>
      </c>
      <c r="T61" s="31">
        <v>8195.6910102686015</v>
      </c>
      <c r="U61" s="142">
        <v>104969.94441517518</v>
      </c>
      <c r="AE61" s="137">
        <f t="shared" si="4"/>
        <v>0.35814156250923634</v>
      </c>
      <c r="AF61" s="131">
        <f t="shared" ca="1" si="0"/>
        <v>-105455851.46498534</v>
      </c>
      <c r="AG61" s="131">
        <f t="shared" ca="1" si="1"/>
        <v>-22306755.775644306</v>
      </c>
      <c r="AI61" s="131">
        <f t="shared" si="2"/>
        <v>-68572454.41778478</v>
      </c>
      <c r="AJ61" s="31">
        <f t="shared" si="3"/>
        <v>104969.94441517518</v>
      </c>
    </row>
    <row r="62" spans="15:36">
      <c r="O62" s="15">
        <v>59</v>
      </c>
      <c r="P62" s="33">
        <v>3641521.9902132801</v>
      </c>
      <c r="Q62" s="33">
        <v>90662563.820159063</v>
      </c>
      <c r="R62" s="146">
        <v>-87021041.829945788</v>
      </c>
      <c r="S62" s="31">
        <v>59035.267270278622</v>
      </c>
      <c r="T62" s="31">
        <v>9334.7577064441139</v>
      </c>
      <c r="U62" s="142">
        <v>49700.509563834508</v>
      </c>
      <c r="AE62" s="137">
        <f t="shared" si="4"/>
        <v>0.36442474781641593</v>
      </c>
      <c r="AF62" s="131">
        <f t="shared" ca="1" si="0"/>
        <v>-105402836.87922579</v>
      </c>
      <c r="AG62" s="131">
        <f t="shared" ca="1" si="1"/>
        <v>-22254356.050105542</v>
      </c>
      <c r="AI62" s="131">
        <f t="shared" si="2"/>
        <v>-87021041.829945788</v>
      </c>
      <c r="AJ62" s="31">
        <f t="shared" si="3"/>
        <v>49700.509563834508</v>
      </c>
    </row>
    <row r="63" spans="15:36">
      <c r="O63" s="15">
        <v>60</v>
      </c>
      <c r="P63" s="33">
        <v>2803460.3186134011</v>
      </c>
      <c r="Q63" s="33">
        <v>78846938.151699841</v>
      </c>
      <c r="R63" s="146">
        <v>-76043477.833086446</v>
      </c>
      <c r="S63" s="31">
        <v>146258.40197023848</v>
      </c>
      <c r="T63" s="31">
        <v>15356.711019812021</v>
      </c>
      <c r="U63" s="142">
        <v>130901.69095042646</v>
      </c>
      <c r="AE63" s="137">
        <f t="shared" si="4"/>
        <v>0.37070793312359551</v>
      </c>
      <c r="AF63" s="131">
        <f t="shared" ca="1" si="0"/>
        <v>-105348941.87624714</v>
      </c>
      <c r="AG63" s="131">
        <f t="shared" ca="1" si="1"/>
        <v>-22201074.435408335</v>
      </c>
      <c r="AI63" s="131">
        <f t="shared" si="2"/>
        <v>-76043477.833086446</v>
      </c>
      <c r="AJ63" s="31">
        <f t="shared" si="3"/>
        <v>130901.69095042646</v>
      </c>
    </row>
    <row r="64" spans="15:36">
      <c r="O64" s="15">
        <v>61</v>
      </c>
      <c r="P64" s="33">
        <v>3206692.000146782</v>
      </c>
      <c r="Q64" s="33">
        <v>101519768.6435454</v>
      </c>
      <c r="R64" s="146">
        <v>-98313076.643398628</v>
      </c>
      <c r="S64" s="31">
        <v>136558.80957481355</v>
      </c>
      <c r="T64" s="31">
        <v>10263.028699728789</v>
      </c>
      <c r="U64" s="142">
        <v>126295.78087508476</v>
      </c>
      <c r="AE64" s="137">
        <f t="shared" si="4"/>
        <v>0.3769911184307751</v>
      </c>
      <c r="AF64" s="131">
        <f t="shared" ca="1" si="0"/>
        <v>-105294168.58373182</v>
      </c>
      <c r="AG64" s="131">
        <f t="shared" ca="1" si="1"/>
        <v>-22146913.035019603</v>
      </c>
      <c r="AI64" s="131">
        <f t="shared" si="2"/>
        <v>-98313076.643398628</v>
      </c>
      <c r="AJ64" s="31">
        <f t="shared" si="3"/>
        <v>126295.78087508476</v>
      </c>
    </row>
    <row r="65" spans="15:36">
      <c r="O65" s="15">
        <v>62</v>
      </c>
      <c r="P65" s="33">
        <v>3564252.7134949467</v>
      </c>
      <c r="Q65" s="33">
        <v>73098767.296132207</v>
      </c>
      <c r="R65" s="146">
        <v>-69534514.582637265</v>
      </c>
      <c r="S65" s="31">
        <v>175709.93263210444</v>
      </c>
      <c r="T65" s="31">
        <v>6921.3525116611208</v>
      </c>
      <c r="U65" s="142">
        <v>168788.58012044331</v>
      </c>
      <c r="AE65" s="137">
        <f t="shared" si="4"/>
        <v>0.38327430373795468</v>
      </c>
      <c r="AF65" s="131">
        <f t="shared" ca="1" si="0"/>
        <v>-105238519.16403563</v>
      </c>
      <c r="AG65" s="131">
        <f t="shared" ca="1" si="1"/>
        <v>-22091873.987138696</v>
      </c>
      <c r="AI65" s="131">
        <f t="shared" si="2"/>
        <v>-69534514.582637265</v>
      </c>
      <c r="AJ65" s="31">
        <f t="shared" si="3"/>
        <v>168788.58012044331</v>
      </c>
    </row>
    <row r="66" spans="15:36">
      <c r="O66" s="15">
        <v>63</v>
      </c>
      <c r="P66" s="33">
        <v>3224483.5149040911</v>
      </c>
      <c r="Q66" s="33">
        <v>92903712.184097081</v>
      </c>
      <c r="R66" s="146">
        <v>-89679228.669192985</v>
      </c>
      <c r="S66" s="31">
        <v>99088.263868422</v>
      </c>
      <c r="T66" s="31">
        <v>13690.212222576873</v>
      </c>
      <c r="U66" s="142">
        <v>85398.051645845131</v>
      </c>
      <c r="AE66" s="137">
        <f t="shared" si="4"/>
        <v>0.38955748904513426</v>
      </c>
      <c r="AF66" s="131">
        <f t="shared" ca="1" si="0"/>
        <v>-105181995.81410238</v>
      </c>
      <c r="AG66" s="131">
        <f t="shared" ca="1" si="1"/>
        <v>-22035959.464612976</v>
      </c>
      <c r="AI66" s="131">
        <f t="shared" si="2"/>
        <v>-89679228.669192985</v>
      </c>
      <c r="AJ66" s="31">
        <f t="shared" si="3"/>
        <v>85398.051645845131</v>
      </c>
    </row>
    <row r="67" spans="15:36">
      <c r="O67" s="15">
        <v>64</v>
      </c>
      <c r="P67" s="33">
        <v>3284033.4309388143</v>
      </c>
      <c r="Q67" s="33">
        <v>80733002.59150973</v>
      </c>
      <c r="R67" s="146">
        <v>-77448969.16057092</v>
      </c>
      <c r="S67" s="31">
        <v>39845.864113717864</v>
      </c>
      <c r="T67" s="31">
        <v>4778.7490275287819</v>
      </c>
      <c r="U67" s="142">
        <v>35067.115086189078</v>
      </c>
      <c r="AE67" s="137">
        <f t="shared" si="4"/>
        <v>0.39584067435231385</v>
      </c>
      <c r="AF67" s="131">
        <f t="shared" ca="1" si="0"/>
        <v>-105124600.76537713</v>
      </c>
      <c r="AG67" s="131">
        <f t="shared" ca="1" si="1"/>
        <v>-21979171.674852055</v>
      </c>
      <c r="AI67" s="131">
        <f t="shared" si="2"/>
        <v>-77448969.16057092</v>
      </c>
      <c r="AJ67" s="31">
        <f t="shared" si="3"/>
        <v>35067.115086189078</v>
      </c>
    </row>
    <row r="68" spans="15:36">
      <c r="O68" s="15">
        <v>65</v>
      </c>
      <c r="P68" s="33">
        <v>3001095.9343325491</v>
      </c>
      <c r="Q68" s="33">
        <v>87835719.674062952</v>
      </c>
      <c r="R68" s="146">
        <v>-84834623.739730403</v>
      </c>
      <c r="S68" s="31">
        <v>146986.06681847636</v>
      </c>
      <c r="T68" s="31">
        <v>23114.877035708003</v>
      </c>
      <c r="U68" s="142">
        <v>123871.18978276836</v>
      </c>
      <c r="AE68" s="137">
        <f t="shared" si="4"/>
        <v>0.40212385965949343</v>
      </c>
      <c r="AF68" s="131">
        <f t="shared" ca="1" si="0"/>
        <v>-105066336.28371815</v>
      </c>
      <c r="AG68" s="131">
        <f t="shared" ca="1" si="1"/>
        <v>-21921512.859740637</v>
      </c>
      <c r="AI68" s="131">
        <f t="shared" si="2"/>
        <v>-84834623.739730403</v>
      </c>
      <c r="AJ68" s="31">
        <f t="shared" si="3"/>
        <v>123871.18978276836</v>
      </c>
    </row>
    <row r="69" spans="15:36">
      <c r="O69" s="15">
        <v>66</v>
      </c>
      <c r="P69" s="33">
        <v>3408866.9988550399</v>
      </c>
      <c r="Q69" s="33">
        <v>95163918.691350058</v>
      </c>
      <c r="R69" s="146">
        <v>-91755051.692495018</v>
      </c>
      <c r="S69" s="31">
        <v>62744.688554229506</v>
      </c>
      <c r="T69" s="31">
        <v>14883.059762162009</v>
      </c>
      <c r="U69" s="142">
        <v>47861.628792067495</v>
      </c>
      <c r="AE69" s="137">
        <f t="shared" si="4"/>
        <v>0.40840704496667302</v>
      </c>
      <c r="AF69" s="131">
        <f t="shared" ref="AF69:AF132" ca="1" si="5">(AB$25*AC$19*COS(AE69)+AC$25*AC$20*SIN(AE69))+X$9</f>
        <v>-105007204.66930738</v>
      </c>
      <c r="AG69" s="131">
        <f t="shared" ref="AG69:AG132" ca="1" si="6">(AC$26*AC$19*COS(AE69)+AC$26*AC$20*SIN(AE69))+Y$9</f>
        <v>-21862985.295550007</v>
      </c>
      <c r="AI69" s="131">
        <f t="shared" ref="AI69:AI132" si="7">R69</f>
        <v>-91755051.692495018</v>
      </c>
      <c r="AJ69" s="31">
        <f t="shared" ref="AJ69:AJ132" si="8">U69</f>
        <v>47861.628792067495</v>
      </c>
    </row>
    <row r="70" spans="15:36">
      <c r="O70" s="15">
        <v>67</v>
      </c>
      <c r="P70" s="33">
        <v>3892700.6981266295</v>
      </c>
      <c r="Q70" s="33">
        <v>104952284.52062479</v>
      </c>
      <c r="R70" s="146">
        <v>-101059583.82249816</v>
      </c>
      <c r="S70" s="31">
        <v>219565.88368743955</v>
      </c>
      <c r="T70" s="31">
        <v>5527.0312859232008</v>
      </c>
      <c r="U70" s="142">
        <v>214038.85240151634</v>
      </c>
      <c r="AE70" s="137">
        <f t="shared" si="4"/>
        <v>0.4146902302738526</v>
      </c>
      <c r="AF70" s="131">
        <f t="shared" ca="1" si="5"/>
        <v>-104947208.25655974</v>
      </c>
      <c r="AG70" s="131">
        <f t="shared" ca="1" si="6"/>
        <v>-21803591.2928482</v>
      </c>
      <c r="AI70" s="131">
        <f t="shared" si="7"/>
        <v>-101059583.82249816</v>
      </c>
      <c r="AJ70" s="31">
        <f t="shared" si="8"/>
        <v>214038.85240151634</v>
      </c>
    </row>
    <row r="71" spans="15:36">
      <c r="O71" s="15">
        <v>68</v>
      </c>
      <c r="P71" s="33">
        <v>3105660.9480616958</v>
      </c>
      <c r="Q71" s="33">
        <v>98506079.993460909</v>
      </c>
      <c r="R71" s="146">
        <v>-95400419.045399219</v>
      </c>
      <c r="S71" s="31">
        <v>106786.32455791897</v>
      </c>
      <c r="T71" s="31">
        <v>15324.105730968575</v>
      </c>
      <c r="U71" s="142">
        <v>91462.218826950397</v>
      </c>
      <c r="AE71" s="137">
        <f t="shared" ref="AE71:AE134" si="9">AE70+AE$5</f>
        <v>0.42097341558103218</v>
      </c>
      <c r="AF71" s="131">
        <f t="shared" ca="1" si="5"/>
        <v>-104886349.41403086</v>
      </c>
      <c r="AG71" s="131">
        <f t="shared" ca="1" si="6"/>
        <v>-21743333.19640873</v>
      </c>
      <c r="AI71" s="131">
        <f t="shared" si="7"/>
        <v>-95400419.045399219</v>
      </c>
      <c r="AJ71" s="31">
        <f t="shared" si="8"/>
        <v>91462.218826950397</v>
      </c>
    </row>
    <row r="72" spans="15:36">
      <c r="O72" s="15">
        <v>69</v>
      </c>
      <c r="P72" s="33">
        <v>3141873.2573788995</v>
      </c>
      <c r="Q72" s="33">
        <v>94256485.001936227</v>
      </c>
      <c r="R72" s="146">
        <v>-91114611.744557321</v>
      </c>
      <c r="S72" s="31">
        <v>76363.807367961097</v>
      </c>
      <c r="T72" s="31">
        <v>26191.544793415225</v>
      </c>
      <c r="U72" s="142">
        <v>50172.262574545872</v>
      </c>
      <c r="AE72" s="137">
        <f t="shared" si="9"/>
        <v>0.42725660088821177</v>
      </c>
      <c r="AF72" s="131">
        <f t="shared" ca="1" si="5"/>
        <v>-104824630.54432364</v>
      </c>
      <c r="AG72" s="131">
        <f t="shared" ca="1" si="6"/>
        <v>-21682213.385118071</v>
      </c>
      <c r="AI72" s="131">
        <f t="shared" si="7"/>
        <v>-91114611.744557321</v>
      </c>
      <c r="AJ72" s="31">
        <f t="shared" si="8"/>
        <v>50172.262574545872</v>
      </c>
    </row>
    <row r="73" spans="15:36">
      <c r="O73" s="15">
        <v>70</v>
      </c>
      <c r="P73" s="33">
        <v>3912073.3707431508</v>
      </c>
      <c r="Q73" s="33">
        <v>84295271.082460031</v>
      </c>
      <c r="R73" s="146">
        <v>-80383197.711716875</v>
      </c>
      <c r="S73" s="31">
        <v>136157.78721991638</v>
      </c>
      <c r="T73" s="31">
        <v>4608.5023739731005</v>
      </c>
      <c r="U73" s="142">
        <v>131549.28484594327</v>
      </c>
      <c r="AE73" s="137">
        <f t="shared" si="9"/>
        <v>0.43353978619539135</v>
      </c>
      <c r="AF73" s="131">
        <f t="shared" ca="1" si="5"/>
        <v>-104762054.08399336</v>
      </c>
      <c r="AG73" s="131">
        <f t="shared" ca="1" si="6"/>
        <v>-21620234.271881718</v>
      </c>
      <c r="AI73" s="131">
        <f t="shared" si="7"/>
        <v>-80383197.711716875</v>
      </c>
      <c r="AJ73" s="31">
        <f t="shared" si="8"/>
        <v>131549.28484594327</v>
      </c>
    </row>
    <row r="74" spans="15:36">
      <c r="O74" s="15">
        <v>71</v>
      </c>
      <c r="P74" s="33">
        <v>3487115.5491538914</v>
      </c>
      <c r="Q74" s="33">
        <v>79834342.927698776</v>
      </c>
      <c r="R74" s="146">
        <v>-76347227.378544882</v>
      </c>
      <c r="S74" s="31">
        <v>54681.012351681238</v>
      </c>
      <c r="T74" s="31">
        <v>22236.763487322703</v>
      </c>
      <c r="U74" s="142">
        <v>32444.248864358535</v>
      </c>
      <c r="AE74" s="137">
        <f t="shared" si="9"/>
        <v>0.43982297150257094</v>
      </c>
      <c r="AF74" s="131">
        <f t="shared" ca="1" si="5"/>
        <v>-104698622.50345154</v>
      </c>
      <c r="AG74" s="131">
        <f t="shared" ca="1" si="6"/>
        <v>-21557398.303528942</v>
      </c>
      <c r="AI74" s="131">
        <f t="shared" si="7"/>
        <v>-76347227.378544882</v>
      </c>
      <c r="AJ74" s="31">
        <f t="shared" si="8"/>
        <v>32444.248864358535</v>
      </c>
    </row>
    <row r="75" spans="15:36">
      <c r="O75" s="15">
        <v>72</v>
      </c>
      <c r="P75" s="33">
        <v>3258260.9345294735</v>
      </c>
      <c r="Q75" s="33">
        <v>93346749.826694876</v>
      </c>
      <c r="R75" s="146">
        <v>-90088488.892165408</v>
      </c>
      <c r="S75" s="31">
        <v>84002.972926596733</v>
      </c>
      <c r="T75" s="31">
        <v>3899.9676822814922</v>
      </c>
      <c r="U75" s="142">
        <v>80103.005244315238</v>
      </c>
      <c r="AE75" s="137">
        <f t="shared" si="9"/>
        <v>0.44610615680975052</v>
      </c>
      <c r="AF75" s="131">
        <f t="shared" ca="1" si="5"/>
        <v>-104634338.30686837</v>
      </c>
      <c r="AG75" s="131">
        <f t="shared" ca="1" si="6"/>
        <v>-21493707.960716173</v>
      </c>
      <c r="AI75" s="131">
        <f t="shared" si="7"/>
        <v>-90088488.892165408</v>
      </c>
      <c r="AJ75" s="31">
        <f t="shared" si="8"/>
        <v>80103.005244315238</v>
      </c>
    </row>
    <row r="76" spans="15:36">
      <c r="O76" s="15">
        <v>73</v>
      </c>
      <c r="P76" s="33">
        <v>2808756.9547253712</v>
      </c>
      <c r="Q76" s="33">
        <v>79328187.139972895</v>
      </c>
      <c r="R76" s="146">
        <v>-76519430.185247526</v>
      </c>
      <c r="S76" s="31">
        <v>128843.23985186795</v>
      </c>
      <c r="T76" s="31">
        <v>19435.037725659684</v>
      </c>
      <c r="U76" s="142">
        <v>109408.20212620827</v>
      </c>
      <c r="AE76" s="137">
        <f t="shared" si="9"/>
        <v>0.4523893421169301</v>
      </c>
      <c r="AF76" s="131">
        <f t="shared" ca="1" si="5"/>
        <v>-104569204.03207384</v>
      </c>
      <c r="AG76" s="131">
        <f t="shared" ca="1" si="6"/>
        <v>-21429165.757829092</v>
      </c>
      <c r="AI76" s="131">
        <f t="shared" si="7"/>
        <v>-76519430.185247526</v>
      </c>
      <c r="AJ76" s="31">
        <f t="shared" si="8"/>
        <v>109408.20212620827</v>
      </c>
    </row>
    <row r="77" spans="15:36">
      <c r="O77" s="15">
        <v>74</v>
      </c>
      <c r="P77" s="33">
        <v>3206370.144960376</v>
      </c>
      <c r="Q77" s="33">
        <v>85172392.347749785</v>
      </c>
      <c r="R77" s="146">
        <v>-81966022.202789411</v>
      </c>
      <c r="S77" s="31">
        <v>113761.96754029844</v>
      </c>
      <c r="T77" s="31">
        <v>8460.4939534269652</v>
      </c>
      <c r="U77" s="142">
        <v>105301.47358687148</v>
      </c>
      <c r="AE77" s="137">
        <f t="shared" si="9"/>
        <v>0.45867252742410969</v>
      </c>
      <c r="AF77" s="131">
        <f t="shared" ca="1" si="5"/>
        <v>-104503222.25045761</v>
      </c>
      <c r="AG77" s="131">
        <f t="shared" ca="1" si="6"/>
        <v>-21363774.242883354</v>
      </c>
      <c r="AI77" s="131">
        <f t="shared" si="7"/>
        <v>-81966022.202789411</v>
      </c>
      <c r="AJ77" s="31">
        <f t="shared" si="8"/>
        <v>105301.47358687148</v>
      </c>
    </row>
    <row r="78" spans="15:36">
      <c r="O78" s="15">
        <v>75</v>
      </c>
      <c r="P78" s="33">
        <v>3113456.5437774872</v>
      </c>
      <c r="Q78" s="33">
        <v>87945267.285463303</v>
      </c>
      <c r="R78" s="146">
        <v>-84831810.741685823</v>
      </c>
      <c r="S78" s="31">
        <v>68814.641067236545</v>
      </c>
      <c r="T78" s="31">
        <v>11116.95350112579</v>
      </c>
      <c r="U78" s="142">
        <v>57697.687566110755</v>
      </c>
      <c r="AE78" s="137">
        <f t="shared" si="9"/>
        <v>0.46495571273128927</v>
      </c>
      <c r="AF78" s="131">
        <f t="shared" ca="1" si="5"/>
        <v>-104436395.56686746</v>
      </c>
      <c r="AG78" s="131">
        <f t="shared" ca="1" si="6"/>
        <v>-21297535.997424014</v>
      </c>
      <c r="AI78" s="131">
        <f t="shared" si="7"/>
        <v>-84831810.741685823</v>
      </c>
      <c r="AJ78" s="31">
        <f t="shared" si="8"/>
        <v>57697.687566110755</v>
      </c>
    </row>
    <row r="79" spans="15:36">
      <c r="O79" s="15">
        <v>76</v>
      </c>
      <c r="P79" s="33">
        <v>2912713.7987434748</v>
      </c>
      <c r="Q79" s="33">
        <v>84036815.858665884</v>
      </c>
      <c r="R79" s="146">
        <v>-81124102.059922412</v>
      </c>
      <c r="S79" s="31">
        <v>51305.748614470569</v>
      </c>
      <c r="T79" s="31">
        <v>22032.86777701199</v>
      </c>
      <c r="U79" s="142">
        <v>29272.880837458579</v>
      </c>
      <c r="AE79" s="137">
        <f t="shared" si="9"/>
        <v>0.47123889803846886</v>
      </c>
      <c r="AF79" s="131">
        <f t="shared" ca="1" si="5"/>
        <v>-104368726.61950639</v>
      </c>
      <c r="AG79" s="131">
        <f t="shared" ca="1" si="6"/>
        <v>-21230453.636423562</v>
      </c>
      <c r="AI79" s="131">
        <f t="shared" si="7"/>
        <v>-81124102.059922412</v>
      </c>
      <c r="AJ79" s="31">
        <f t="shared" si="8"/>
        <v>29272.880837458579</v>
      </c>
    </row>
    <row r="80" spans="15:36">
      <c r="O80" s="15">
        <v>77</v>
      </c>
      <c r="P80" s="33">
        <v>3423875.1778041827</v>
      </c>
      <c r="Q80" s="33">
        <v>78733145.483481616</v>
      </c>
      <c r="R80" s="146">
        <v>-75309270.305677429</v>
      </c>
      <c r="S80" s="31">
        <v>122273.6767364797</v>
      </c>
      <c r="T80" s="31">
        <v>20462.046225210172</v>
      </c>
      <c r="U80" s="142">
        <v>101811.63051126953</v>
      </c>
      <c r="AE80" s="137">
        <f t="shared" si="9"/>
        <v>0.47752208334564844</v>
      </c>
      <c r="AF80" s="131">
        <f t="shared" ca="1" si="5"/>
        <v>-104300218.07982859</v>
      </c>
      <c r="AG80" s="131">
        <f t="shared" ca="1" si="6"/>
        <v>-21162529.808178764</v>
      </c>
      <c r="AI80" s="131">
        <f t="shared" si="7"/>
        <v>-75309270.305677429</v>
      </c>
      <c r="AJ80" s="31">
        <f t="shared" si="8"/>
        <v>101811.63051126953</v>
      </c>
    </row>
    <row r="81" spans="15:36">
      <c r="O81" s="15">
        <v>78</v>
      </c>
      <c r="P81" s="33">
        <v>2488805.8280481119</v>
      </c>
      <c r="Q81" s="33">
        <v>79201964.514505923</v>
      </c>
      <c r="R81" s="146">
        <v>-76713158.686457813</v>
      </c>
      <c r="S81" s="31">
        <v>254195.52890508712</v>
      </c>
      <c r="T81" s="31">
        <v>7139.0237146669697</v>
      </c>
      <c r="U81" s="142">
        <v>247056.50519042014</v>
      </c>
      <c r="AE81" s="137">
        <f t="shared" si="9"/>
        <v>0.48380526865282802</v>
      </c>
      <c r="AF81" s="131">
        <f t="shared" ca="1" si="5"/>
        <v>-104230872.6524339</v>
      </c>
      <c r="AG81" s="131">
        <f t="shared" ca="1" si="6"/>
        <v>-21093767.194206044</v>
      </c>
      <c r="AI81" s="131">
        <f t="shared" si="7"/>
        <v>-76713158.686457813</v>
      </c>
      <c r="AJ81" s="31">
        <f t="shared" si="8"/>
        <v>247056.50519042014</v>
      </c>
    </row>
    <row r="82" spans="15:36">
      <c r="O82" s="15">
        <v>79</v>
      </c>
      <c r="P82" s="33">
        <v>3288385.1104498957</v>
      </c>
      <c r="Q82" s="33">
        <v>101760518.05439365</v>
      </c>
      <c r="R82" s="146">
        <v>-98472132.943943754</v>
      </c>
      <c r="S82" s="31">
        <v>62745.890758349706</v>
      </c>
      <c r="T82" s="31">
        <v>7184.334676202524</v>
      </c>
      <c r="U82" s="142">
        <v>55561.556082147181</v>
      </c>
      <c r="AE82" s="137">
        <f t="shared" si="9"/>
        <v>0.49008845396000761</v>
      </c>
      <c r="AF82" s="131">
        <f t="shared" ca="1" si="5"/>
        <v>-104160693.07496107</v>
      </c>
      <c r="AG82" s="131">
        <f t="shared" ca="1" si="6"/>
        <v>-21024168.509135675</v>
      </c>
      <c r="AI82" s="131">
        <f t="shared" si="7"/>
        <v>-98472132.943943754</v>
      </c>
      <c r="AJ82" s="31">
        <f t="shared" si="8"/>
        <v>55561.556082147181</v>
      </c>
    </row>
    <row r="83" spans="15:36">
      <c r="O83" s="15">
        <v>80</v>
      </c>
      <c r="P83" s="33">
        <v>3269933.2094056322</v>
      </c>
      <c r="Q83" s="33">
        <v>82875606.077456489</v>
      </c>
      <c r="R83" s="146">
        <v>-79605672.868050858</v>
      </c>
      <c r="S83" s="31">
        <v>19063.428231792823</v>
      </c>
      <c r="T83" s="31">
        <v>5170.4530528910273</v>
      </c>
      <c r="U83" s="142">
        <v>13892.975178901796</v>
      </c>
      <c r="AE83" s="137">
        <f t="shared" si="9"/>
        <v>0.49637163926718719</v>
      </c>
      <c r="AF83" s="131">
        <f t="shared" ca="1" si="5"/>
        <v>-104089682.11797962</v>
      </c>
      <c r="AG83" s="131">
        <f t="shared" ca="1" si="6"/>
        <v>-20953736.500604559</v>
      </c>
      <c r="AI83" s="131">
        <f t="shared" si="7"/>
        <v>-79605672.868050858</v>
      </c>
      <c r="AJ83" s="31">
        <f t="shared" si="8"/>
        <v>13892.975178901796</v>
      </c>
    </row>
    <row r="84" spans="15:36">
      <c r="O84" s="15">
        <v>81</v>
      </c>
      <c r="P84" s="33">
        <v>3052478.2665483933</v>
      </c>
      <c r="Q84" s="33">
        <v>95619607.030135721</v>
      </c>
      <c r="R84" s="146">
        <v>-92567128.763587326</v>
      </c>
      <c r="S84" s="31">
        <v>155394.6898305752</v>
      </c>
      <c r="T84" s="31">
        <v>4007.8400407381723</v>
      </c>
      <c r="U84" s="142">
        <v>151386.84978983703</v>
      </c>
      <c r="AE84" s="137">
        <f t="shared" si="9"/>
        <v>0.50265482457436683</v>
      </c>
      <c r="AF84" s="131">
        <f t="shared" ca="1" si="5"/>
        <v>-104017842.58488056</v>
      </c>
      <c r="AG84" s="131">
        <f t="shared" ca="1" si="6"/>
        <v>-20882473.949147794</v>
      </c>
      <c r="AI84" s="131">
        <f t="shared" si="7"/>
        <v>-92567128.763587326</v>
      </c>
      <c r="AJ84" s="31">
        <f t="shared" si="8"/>
        <v>151386.84978983703</v>
      </c>
    </row>
    <row r="85" spans="15:36">
      <c r="O85" s="15">
        <v>82</v>
      </c>
      <c r="P85" s="33">
        <v>3016431.5828511273</v>
      </c>
      <c r="Q85" s="33">
        <v>69419016.081836551</v>
      </c>
      <c r="R85" s="146">
        <v>-66402584.498985425</v>
      </c>
      <c r="S85" s="31">
        <v>56300.935633864996</v>
      </c>
      <c r="T85" s="31">
        <v>10025.304771801309</v>
      </c>
      <c r="U85" s="142">
        <v>46275.630862063685</v>
      </c>
      <c r="AE85" s="137">
        <f t="shared" si="9"/>
        <v>0.50893800988154647</v>
      </c>
      <c r="AF85" s="131">
        <f t="shared" ca="1" si="5"/>
        <v>-103945177.31176567</v>
      </c>
      <c r="AG85" s="131">
        <f t="shared" ca="1" si="6"/>
        <v>-20810383.668088898</v>
      </c>
      <c r="AI85" s="131">
        <f t="shared" si="7"/>
        <v>-66402584.498985425</v>
      </c>
      <c r="AJ85" s="31">
        <f t="shared" si="8"/>
        <v>46275.630862063685</v>
      </c>
    </row>
    <row r="86" spans="15:36">
      <c r="O86" s="15">
        <v>83</v>
      </c>
      <c r="P86" s="33">
        <v>3346636.6176751819</v>
      </c>
      <c r="Q86" s="33">
        <v>79719039.421389624</v>
      </c>
      <c r="R86" s="146">
        <v>-76372402.803714439</v>
      </c>
      <c r="S86" s="31">
        <v>66863.540013112724</v>
      </c>
      <c r="T86" s="31">
        <v>9625.1654730725568</v>
      </c>
      <c r="U86" s="142">
        <v>57238.374540040168</v>
      </c>
      <c r="AE86" s="137">
        <f t="shared" si="9"/>
        <v>0.51522119518872611</v>
      </c>
      <c r="AF86" s="131">
        <f t="shared" ca="1" si="5"/>
        <v>-103871689.16733548</v>
      </c>
      <c r="AG86" s="131">
        <f t="shared" ca="1" si="6"/>
        <v>-20737468.503428727</v>
      </c>
      <c r="AI86" s="131">
        <f t="shared" si="7"/>
        <v>-76372402.803714439</v>
      </c>
      <c r="AJ86" s="31">
        <f t="shared" si="8"/>
        <v>57238.374540040168</v>
      </c>
    </row>
    <row r="87" spans="15:36">
      <c r="O87" s="15">
        <v>84</v>
      </c>
      <c r="P87" s="33">
        <v>2687486.0179002215</v>
      </c>
      <c r="Q87" s="33">
        <v>83729990.602259561</v>
      </c>
      <c r="R87" s="146">
        <v>-81042504.584359333</v>
      </c>
      <c r="S87" s="31">
        <v>101776.68550421672</v>
      </c>
      <c r="T87" s="31">
        <v>14610.087009454382</v>
      </c>
      <c r="U87" s="142">
        <v>87166.598494762336</v>
      </c>
      <c r="AE87" s="137">
        <f t="shared" si="9"/>
        <v>0.52150438049590575</v>
      </c>
      <c r="AF87" s="131">
        <f t="shared" ca="1" si="5"/>
        <v>-103797381.0527761</v>
      </c>
      <c r="AG87" s="131">
        <f t="shared" ca="1" si="6"/>
        <v>-20663731.333733127</v>
      </c>
      <c r="AI87" s="131">
        <f t="shared" si="7"/>
        <v>-81042504.584359333</v>
      </c>
      <c r="AJ87" s="31">
        <f t="shared" si="8"/>
        <v>87166.598494762336</v>
      </c>
    </row>
    <row r="88" spans="15:36">
      <c r="O88" s="15">
        <v>85</v>
      </c>
      <c r="P88" s="33">
        <v>2979954.7715511569</v>
      </c>
      <c r="Q88" s="33">
        <v>60687094.916640803</v>
      </c>
      <c r="R88" s="146">
        <v>-57707140.145089649</v>
      </c>
      <c r="S88" s="31">
        <v>155957.00780356731</v>
      </c>
      <c r="T88" s="31">
        <v>17671.760570010458</v>
      </c>
      <c r="U88" s="142">
        <v>138285.24723355685</v>
      </c>
      <c r="AE88" s="137">
        <f t="shared" si="9"/>
        <v>0.52778756580308539</v>
      </c>
      <c r="AF88" s="131">
        <f t="shared" ca="1" si="5"/>
        <v>-103722255.90164466</v>
      </c>
      <c r="AG88" s="131">
        <f t="shared" ca="1" si="6"/>
        <v>-20589175.070019301</v>
      </c>
      <c r="AI88" s="131">
        <f t="shared" si="7"/>
        <v>-57707140.145089649</v>
      </c>
      <c r="AJ88" s="31">
        <f t="shared" si="8"/>
        <v>138285.24723355685</v>
      </c>
    </row>
    <row r="89" spans="15:36">
      <c r="O89" s="15">
        <v>86</v>
      </c>
      <c r="P89" s="33">
        <v>3168301.7060592729</v>
      </c>
      <c r="Q89" s="33">
        <v>90092921.407430321</v>
      </c>
      <c r="R89" s="146">
        <v>-86924619.701371044</v>
      </c>
      <c r="S89" s="31">
        <v>94900.177511611953</v>
      </c>
      <c r="T89" s="31">
        <v>11891.919316795093</v>
      </c>
      <c r="U89" s="142">
        <v>83008.258194816866</v>
      </c>
      <c r="AE89" s="137">
        <f t="shared" si="9"/>
        <v>0.53407075111026503</v>
      </c>
      <c r="AF89" s="131">
        <f t="shared" ca="1" si="5"/>
        <v>-103646316.67975351</v>
      </c>
      <c r="AG89" s="131">
        <f t="shared" ca="1" si="6"/>
        <v>-20513802.655640882</v>
      </c>
      <c r="AI89" s="131">
        <f t="shared" si="7"/>
        <v>-86924619.701371044</v>
      </c>
      <c r="AJ89" s="31">
        <f t="shared" si="8"/>
        <v>83008.258194816866</v>
      </c>
    </row>
    <row r="90" spans="15:36">
      <c r="O90" s="15">
        <v>87</v>
      </c>
      <c r="P90" s="33">
        <v>3169167.0732715502</v>
      </c>
      <c r="Q90" s="33">
        <v>80357555.362162918</v>
      </c>
      <c r="R90" s="146">
        <v>-77188388.288891375</v>
      </c>
      <c r="S90" s="31">
        <v>109631.65771240633</v>
      </c>
      <c r="T90" s="31">
        <v>11798.069002545559</v>
      </c>
      <c r="U90" s="142">
        <v>97833.588709860778</v>
      </c>
      <c r="AE90" s="137">
        <f t="shared" si="9"/>
        <v>0.54035393641744467</v>
      </c>
      <c r="AF90" s="131">
        <f t="shared" ca="1" si="5"/>
        <v>-103569566.3850531</v>
      </c>
      <c r="AG90" s="131">
        <f t="shared" ca="1" si="6"/>
        <v>-20437617.066171728</v>
      </c>
      <c r="AI90" s="131">
        <f t="shared" si="7"/>
        <v>-77188388.288891375</v>
      </c>
      <c r="AJ90" s="31">
        <f t="shared" si="8"/>
        <v>97833.588709860778</v>
      </c>
    </row>
    <row r="91" spans="15:36">
      <c r="O91" s="15">
        <v>88</v>
      </c>
      <c r="P91" s="33">
        <v>3935104.5553492312</v>
      </c>
      <c r="Q91" s="33">
        <v>99558217.976853803</v>
      </c>
      <c r="R91" s="146">
        <v>-95623113.421504572</v>
      </c>
      <c r="S91" s="31">
        <v>89621.585531866236</v>
      </c>
      <c r="T91" s="31">
        <v>9462.4130052820365</v>
      </c>
      <c r="U91" s="142">
        <v>80159.172526584196</v>
      </c>
      <c r="AE91" s="137">
        <f t="shared" si="9"/>
        <v>0.54663712172462431</v>
      </c>
      <c r="AF91" s="131">
        <f t="shared" ca="1" si="5"/>
        <v>-103492008.04751362</v>
      </c>
      <c r="AG91" s="131">
        <f t="shared" ca="1" si="6"/>
        <v>-20360621.309288464</v>
      </c>
      <c r="AI91" s="131">
        <f t="shared" si="7"/>
        <v>-95623113.421504572</v>
      </c>
      <c r="AJ91" s="31">
        <f t="shared" si="8"/>
        <v>80159.172526584196</v>
      </c>
    </row>
    <row r="92" spans="15:36">
      <c r="O92" s="15">
        <v>89</v>
      </c>
      <c r="P92" s="33">
        <v>2503273.5737585952</v>
      </c>
      <c r="Q92" s="33">
        <v>86571730.891997814</v>
      </c>
      <c r="R92" s="146">
        <v>-84068457.318239212</v>
      </c>
      <c r="S92" s="31">
        <v>54645.601012402614</v>
      </c>
      <c r="T92" s="31">
        <v>9312.5691445719622</v>
      </c>
      <c r="U92" s="142">
        <v>45333.03186783065</v>
      </c>
      <c r="AE92" s="137">
        <f t="shared" si="9"/>
        <v>0.55292030703180395</v>
      </c>
      <c r="AF92" s="131">
        <f t="shared" ca="1" si="5"/>
        <v>-103413644.72900546</v>
      </c>
      <c r="AG92" s="131">
        <f t="shared" ca="1" si="6"/>
        <v>-20282818.424651735</v>
      </c>
      <c r="AI92" s="131">
        <f t="shared" si="7"/>
        <v>-84068457.318239212</v>
      </c>
      <c r="AJ92" s="31">
        <f t="shared" si="8"/>
        <v>45333.03186783065</v>
      </c>
    </row>
    <row r="93" spans="15:36">
      <c r="O93" s="15">
        <v>90</v>
      </c>
      <c r="P93" s="33">
        <v>3837111.159092736</v>
      </c>
      <c r="Q93" s="33">
        <v>107918895.67704237</v>
      </c>
      <c r="R93" s="146">
        <v>-104081784.51794963</v>
      </c>
      <c r="S93" s="31">
        <v>48899.654836317808</v>
      </c>
      <c r="T93" s="31">
        <v>5885.6253316277871</v>
      </c>
      <c r="U93" s="142">
        <v>43014.029504690021</v>
      </c>
      <c r="AE93" s="137">
        <f t="shared" si="9"/>
        <v>0.55920349233898359</v>
      </c>
      <c r="AF93" s="131">
        <f t="shared" ca="1" si="5"/>
        <v>-103334479.52317823</v>
      </c>
      <c r="AG93" s="131">
        <f t="shared" ca="1" si="6"/>
        <v>-20204211.483786199</v>
      </c>
      <c r="AI93" s="131">
        <f t="shared" si="7"/>
        <v>-104081784.51794963</v>
      </c>
      <c r="AJ93" s="31">
        <f t="shared" si="8"/>
        <v>43014.029504690021</v>
      </c>
    </row>
    <row r="94" spans="15:36">
      <c r="O94" s="15">
        <v>91</v>
      </c>
      <c r="P94" s="33">
        <v>2894000.2563877637</v>
      </c>
      <c r="Q94" s="33">
        <v>95668385.292657763</v>
      </c>
      <c r="R94" s="146">
        <v>-92774385.036269993</v>
      </c>
      <c r="S94" s="31">
        <v>115901.93809475034</v>
      </c>
      <c r="T94" s="31">
        <v>9018.7804852251502</v>
      </c>
      <c r="U94" s="142">
        <v>106883.15760952519</v>
      </c>
      <c r="AE94" s="137">
        <f t="shared" si="9"/>
        <v>0.56548667764616323</v>
      </c>
      <c r="AF94" s="131">
        <f t="shared" ca="1" si="5"/>
        <v>-103254515.55533873</v>
      </c>
      <c r="AG94" s="131">
        <f t="shared" ca="1" si="6"/>
        <v>-20124803.589959294</v>
      </c>
      <c r="AI94" s="131">
        <f t="shared" si="7"/>
        <v>-92774385.036269993</v>
      </c>
      <c r="AJ94" s="31">
        <f t="shared" si="8"/>
        <v>106883.15760952519</v>
      </c>
    </row>
    <row r="95" spans="15:36">
      <c r="O95" s="15">
        <v>92</v>
      </c>
      <c r="P95" s="33">
        <v>3384605.6770333801</v>
      </c>
      <c r="Q95" s="33">
        <v>81147014.227743283</v>
      </c>
      <c r="R95" s="146">
        <v>-77762408.550709903</v>
      </c>
      <c r="S95" s="31">
        <v>159728.24501861565</v>
      </c>
      <c r="T95" s="31">
        <v>12216.866457482043</v>
      </c>
      <c r="U95" s="142">
        <v>147511.37856113361</v>
      </c>
      <c r="AE95" s="137">
        <f t="shared" si="9"/>
        <v>0.57176986295334287</v>
      </c>
      <c r="AF95" s="131">
        <f t="shared" ca="1" si="5"/>
        <v>-103173755.98232749</v>
      </c>
      <c r="AG95" s="131">
        <f t="shared" ca="1" si="6"/>
        <v>-20044597.878058694</v>
      </c>
      <c r="AI95" s="131">
        <f t="shared" si="7"/>
        <v>-77762408.550709903</v>
      </c>
      <c r="AJ95" s="31">
        <f t="shared" si="8"/>
        <v>147511.37856113361</v>
      </c>
    </row>
    <row r="96" spans="15:36">
      <c r="O96" s="15">
        <v>93</v>
      </c>
      <c r="P96" s="33">
        <v>3432905.0128044272</v>
      </c>
      <c r="Q96" s="33">
        <v>96860557.796923965</v>
      </c>
      <c r="R96" s="146">
        <v>-93427652.784119532</v>
      </c>
      <c r="S96" s="31">
        <v>84247.784169957289</v>
      </c>
      <c r="T96" s="31">
        <v>10303.457165927714</v>
      </c>
      <c r="U96" s="142">
        <v>73944.327004029576</v>
      </c>
      <c r="AE96" s="137">
        <f t="shared" si="9"/>
        <v>0.57805304826052251</v>
      </c>
      <c r="AF96" s="131">
        <f t="shared" ca="1" si="5"/>
        <v>-103092203.99239415</v>
      </c>
      <c r="AG96" s="131">
        <f t="shared" ca="1" si="6"/>
        <v>-19963597.514468569</v>
      </c>
      <c r="AI96" s="131">
        <f t="shared" si="7"/>
        <v>-93427652.784119532</v>
      </c>
      <c r="AJ96" s="31">
        <f t="shared" si="8"/>
        <v>73944.327004029576</v>
      </c>
    </row>
    <row r="97" spans="15:36">
      <c r="O97" s="15">
        <v>94</v>
      </c>
      <c r="P97" s="33">
        <v>2716079.3670669007</v>
      </c>
      <c r="Q97" s="33">
        <v>87328866.778604746</v>
      </c>
      <c r="R97" s="146">
        <v>-84612787.411537841</v>
      </c>
      <c r="S97" s="31">
        <v>66225.899943512079</v>
      </c>
      <c r="T97" s="31">
        <v>9958.1357840839737</v>
      </c>
      <c r="U97" s="142">
        <v>56267.764159428101</v>
      </c>
      <c r="AE97" s="137">
        <f t="shared" si="9"/>
        <v>0.58433623356770215</v>
      </c>
      <c r="AF97" s="131">
        <f t="shared" ca="1" si="5"/>
        <v>-103009862.80507164</v>
      </c>
      <c r="AG97" s="131">
        <f t="shared" ca="1" si="6"/>
        <v>-19881805.696944587</v>
      </c>
      <c r="AI97" s="131">
        <f t="shared" si="7"/>
        <v>-84612787.411537841</v>
      </c>
      <c r="AJ97" s="31">
        <f t="shared" si="8"/>
        <v>56267.764159428101</v>
      </c>
    </row>
    <row r="98" spans="15:36">
      <c r="O98" s="15">
        <v>95</v>
      </c>
      <c r="P98" s="33">
        <v>3740893.4668942806</v>
      </c>
      <c r="Q98" s="33">
        <v>86697498.669625476</v>
      </c>
      <c r="R98" s="146">
        <v>-82956605.202731192</v>
      </c>
      <c r="S98" s="31">
        <v>85227.276234667879</v>
      </c>
      <c r="T98" s="31">
        <v>25789.708505361617</v>
      </c>
      <c r="U98" s="142">
        <v>59437.567729306262</v>
      </c>
      <c r="AE98" s="137">
        <f t="shared" si="9"/>
        <v>0.59061941887488179</v>
      </c>
      <c r="AF98" s="131">
        <f t="shared" ca="1" si="5"/>
        <v>-102926735.67104904</v>
      </c>
      <c r="AG98" s="131">
        <f t="shared" ca="1" si="6"/>
        <v>-19799225.654487643</v>
      </c>
      <c r="AI98" s="131">
        <f t="shared" si="7"/>
        <v>-82956605.202731192</v>
      </c>
      <c r="AJ98" s="31">
        <f t="shared" si="8"/>
        <v>59437.567729306262</v>
      </c>
    </row>
    <row r="99" spans="15:36">
      <c r="O99" s="15">
        <v>96</v>
      </c>
      <c r="P99" s="33">
        <v>3674118.5350525868</v>
      </c>
      <c r="Q99" s="33">
        <v>83594087.887650281</v>
      </c>
      <c r="R99" s="146">
        <v>-79919969.352597699</v>
      </c>
      <c r="S99" s="31">
        <v>75179.793982618154</v>
      </c>
      <c r="T99" s="31">
        <v>6222.5918009515744</v>
      </c>
      <c r="U99" s="142">
        <v>68957.20218166658</v>
      </c>
      <c r="AE99" s="137">
        <f t="shared" si="9"/>
        <v>0.59690260418206142</v>
      </c>
      <c r="AF99" s="131">
        <f t="shared" ca="1" si="5"/>
        <v>-102842825.87204328</v>
      </c>
      <c r="AG99" s="131">
        <f t="shared" ca="1" si="6"/>
        <v>-19715860.647216424</v>
      </c>
      <c r="AI99" s="131">
        <f t="shared" si="7"/>
        <v>-79919969.352597699</v>
      </c>
      <c r="AJ99" s="31">
        <f t="shared" si="8"/>
        <v>68957.20218166658</v>
      </c>
    </row>
    <row r="100" spans="15:36">
      <c r="O100" s="15">
        <v>97</v>
      </c>
      <c r="P100" s="33">
        <v>3503991.0215866426</v>
      </c>
      <c r="Q100" s="33">
        <v>89696244.351339981</v>
      </c>
      <c r="R100" s="146">
        <v>-86192253.329753339</v>
      </c>
      <c r="S100" s="31">
        <v>119530.15007922493</v>
      </c>
      <c r="T100" s="31">
        <v>31620.810727223718</v>
      </c>
      <c r="U100" s="142">
        <v>87909.339352001203</v>
      </c>
      <c r="AE100" s="137">
        <f t="shared" si="9"/>
        <v>0.60318578948924106</v>
      </c>
      <c r="AF100" s="131">
        <f t="shared" ca="1" si="5"/>
        <v>-102758136.72066955</v>
      </c>
      <c r="AG100" s="131">
        <f t="shared" ca="1" si="6"/>
        <v>-19631713.966238674</v>
      </c>
      <c r="AI100" s="131">
        <f t="shared" si="7"/>
        <v>-86192253.329753339</v>
      </c>
      <c r="AJ100" s="31">
        <f t="shared" si="8"/>
        <v>87909.339352001203</v>
      </c>
    </row>
    <row r="101" spans="15:36">
      <c r="O101" s="15">
        <v>98</v>
      </c>
      <c r="P101" s="33">
        <v>3262191.3905818225</v>
      </c>
      <c r="Q101" s="33">
        <v>90798940.468880802</v>
      </c>
      <c r="R101" s="146">
        <v>-87536749.078298986</v>
      </c>
      <c r="S101" s="31">
        <v>124342.73398039262</v>
      </c>
      <c r="T101" s="31">
        <v>17219.246515559033</v>
      </c>
      <c r="U101" s="142">
        <v>107123.48746483358</v>
      </c>
      <c r="AE101" s="137">
        <f t="shared" si="9"/>
        <v>0.6094689747964207</v>
      </c>
      <c r="AF101" s="131">
        <f t="shared" ca="1" si="5"/>
        <v>-102672671.56031051</v>
      </c>
      <c r="AG101" s="131">
        <f t="shared" ca="1" si="6"/>
        <v>-19546788.933521263</v>
      </c>
      <c r="AI101" s="131">
        <f t="shared" si="7"/>
        <v>-87536749.078298986</v>
      </c>
      <c r="AJ101" s="31">
        <f t="shared" si="8"/>
        <v>107123.48746483358</v>
      </c>
    </row>
    <row r="102" spans="15:36">
      <c r="O102" s="15">
        <v>99</v>
      </c>
      <c r="P102" s="33">
        <v>3511224.324204803</v>
      </c>
      <c r="Q102" s="33">
        <v>85833154.04064399</v>
      </c>
      <c r="R102" s="146">
        <v>-82321929.716439188</v>
      </c>
      <c r="S102" s="31">
        <v>170381.43400824687</v>
      </c>
      <c r="T102" s="31">
        <v>11684.260474418383</v>
      </c>
      <c r="U102" s="142">
        <v>158697.17353382849</v>
      </c>
      <c r="AE102" s="137">
        <f t="shared" si="9"/>
        <v>0.61575216010360034</v>
      </c>
      <c r="AF102" s="131">
        <f t="shared" ca="1" si="5"/>
        <v>-102586433.76498438</v>
      </c>
      <c r="AG102" s="131">
        <f t="shared" ca="1" si="6"/>
        <v>-19461088.901759081</v>
      </c>
      <c r="AI102" s="131">
        <f t="shared" si="7"/>
        <v>-82321929.716439188</v>
      </c>
      <c r="AJ102" s="31">
        <f t="shared" si="8"/>
        <v>158697.17353382849</v>
      </c>
    </row>
    <row r="103" spans="15:36">
      <c r="O103" s="15">
        <v>100</v>
      </c>
      <c r="P103" s="33">
        <v>3171243.3553416375</v>
      </c>
      <c r="Q103" s="33">
        <v>97712432.000212908</v>
      </c>
      <c r="R103" s="146">
        <v>-94541188.644871265</v>
      </c>
      <c r="S103" s="31">
        <v>120104.27044322851</v>
      </c>
      <c r="T103" s="31">
        <v>17476.558733019905</v>
      </c>
      <c r="U103" s="142">
        <v>102627.7117102086</v>
      </c>
      <c r="AE103" s="137">
        <f t="shared" si="9"/>
        <v>0.62203534541077998</v>
      </c>
      <c r="AF103" s="131">
        <f t="shared" ca="1" si="5"/>
        <v>-102499426.73921165</v>
      </c>
      <c r="AG103" s="131">
        <f t="shared" ca="1" si="6"/>
        <v>-19374617.254242629</v>
      </c>
      <c r="AI103" s="131">
        <f t="shared" si="7"/>
        <v>-94541188.644871265</v>
      </c>
      <c r="AJ103" s="31">
        <f t="shared" si="8"/>
        <v>102627.7117102086</v>
      </c>
    </row>
    <row r="104" spans="15:36">
      <c r="O104" s="15">
        <v>101</v>
      </c>
      <c r="P104" s="33">
        <v>3438974.8843503851</v>
      </c>
      <c r="Q104" s="33">
        <v>87803261.300247163</v>
      </c>
      <c r="R104" s="146">
        <v>-84364286.415896773</v>
      </c>
      <c r="S104" s="31">
        <v>41806.249151475087</v>
      </c>
      <c r="T104" s="31">
        <v>9402.1609919524126</v>
      </c>
      <c r="U104" s="142">
        <v>32404.088159522675</v>
      </c>
      <c r="AE104" s="137">
        <f t="shared" si="9"/>
        <v>0.62831853071795962</v>
      </c>
      <c r="AF104" s="131">
        <f t="shared" ca="1" si="5"/>
        <v>-102411653.9178807</v>
      </c>
      <c r="AG104" s="131">
        <f t="shared" ca="1" si="6"/>
        <v>-19287377.404724497</v>
      </c>
      <c r="AI104" s="131">
        <f t="shared" si="7"/>
        <v>-84364286.415896773</v>
      </c>
      <c r="AJ104" s="31">
        <f t="shared" si="8"/>
        <v>32404.088159522675</v>
      </c>
    </row>
    <row r="105" spans="15:36">
      <c r="O105" s="15">
        <v>102</v>
      </c>
      <c r="P105" s="33">
        <v>3345857.8781648288</v>
      </c>
      <c r="Q105" s="33">
        <v>67719172.536325753</v>
      </c>
      <c r="R105" s="146">
        <v>-64373314.658160925</v>
      </c>
      <c r="S105" s="31">
        <v>52941.983727008468</v>
      </c>
      <c r="T105" s="31">
        <v>13604.455710340062</v>
      </c>
      <c r="U105" s="142">
        <v>39337.52801666841</v>
      </c>
      <c r="AE105" s="137">
        <f t="shared" si="9"/>
        <v>0.63460171602513926</v>
      </c>
      <c r="AF105" s="131">
        <f t="shared" ca="1" si="5"/>
        <v>-102323118.76611222</v>
      </c>
      <c r="AG105" s="131">
        <f t="shared" ca="1" si="6"/>
        <v>-19199372.797284555</v>
      </c>
      <c r="AI105" s="131">
        <f t="shared" si="7"/>
        <v>-64373314.658160925</v>
      </c>
      <c r="AJ105" s="31">
        <f t="shared" si="8"/>
        <v>39337.52801666841</v>
      </c>
    </row>
    <row r="106" spans="15:36">
      <c r="O106" s="15">
        <v>103</v>
      </c>
      <c r="P106" s="33">
        <v>3046243.9551358968</v>
      </c>
      <c r="Q106" s="33">
        <v>79225221.438674569</v>
      </c>
      <c r="R106" s="146">
        <v>-76178977.483538672</v>
      </c>
      <c r="S106" s="31">
        <v>44495.173774553274</v>
      </c>
      <c r="T106" s="31">
        <v>16291.472779172336</v>
      </c>
      <c r="U106" s="142">
        <v>28203.700995380939</v>
      </c>
      <c r="AE106" s="137">
        <f t="shared" si="9"/>
        <v>0.6408849013323189</v>
      </c>
      <c r="AF106" s="131">
        <f t="shared" ca="1" si="5"/>
        <v>-102233824.77912244</v>
      </c>
      <c r="AG106" s="131">
        <f t="shared" ca="1" si="6"/>
        <v>-19110606.906194031</v>
      </c>
      <c r="AI106" s="131">
        <f t="shared" si="7"/>
        <v>-76178977.483538672</v>
      </c>
      <c r="AJ106" s="31">
        <f t="shared" si="8"/>
        <v>28203.700995380939</v>
      </c>
    </row>
    <row r="107" spans="15:36">
      <c r="O107" s="15">
        <v>104</v>
      </c>
      <c r="P107" s="33">
        <v>3485473.186510548</v>
      </c>
      <c r="Q107" s="33">
        <v>93749994.02876389</v>
      </c>
      <c r="R107" s="146">
        <v>-90264520.842253342</v>
      </c>
      <c r="S107" s="31">
        <v>74160.054697731161</v>
      </c>
      <c r="T107" s="31">
        <v>8165.7781091260158</v>
      </c>
      <c r="U107" s="142">
        <v>65994.276588605149</v>
      </c>
      <c r="AE107" s="137">
        <f t="shared" si="9"/>
        <v>0.64716808663949854</v>
      </c>
      <c r="AF107" s="131">
        <f t="shared" ca="1" si="5"/>
        <v>-102143775.48208505</v>
      </c>
      <c r="AG107" s="131">
        <f t="shared" ca="1" si="6"/>
        <v>-19021083.235778302</v>
      </c>
      <c r="AI107" s="131">
        <f t="shared" si="7"/>
        <v>-90264520.842253342</v>
      </c>
      <c r="AJ107" s="31">
        <f t="shared" si="8"/>
        <v>65994.276588605149</v>
      </c>
    </row>
    <row r="108" spans="15:36">
      <c r="O108" s="15">
        <v>105</v>
      </c>
      <c r="P108" s="33">
        <v>3490847.5551906615</v>
      </c>
      <c r="Q108" s="33">
        <v>90593262.703357771</v>
      </c>
      <c r="R108" s="146">
        <v>-87102415.148167104</v>
      </c>
      <c r="S108" s="31">
        <v>139613.37395422498</v>
      </c>
      <c r="T108" s="31">
        <v>15819.463377647888</v>
      </c>
      <c r="U108" s="142">
        <v>123793.91057657709</v>
      </c>
      <c r="AE108" s="137">
        <f t="shared" si="9"/>
        <v>0.65345127194667818</v>
      </c>
      <c r="AF108" s="131">
        <f t="shared" ca="1" si="5"/>
        <v>-102052974.42999212</v>
      </c>
      <c r="AG108" s="131">
        <f t="shared" ca="1" si="6"/>
        <v>-18930805.320278592</v>
      </c>
      <c r="AI108" s="131">
        <f t="shared" si="7"/>
        <v>-87102415.148167104</v>
      </c>
      <c r="AJ108" s="31">
        <f t="shared" si="8"/>
        <v>123793.91057657709</v>
      </c>
    </row>
    <row r="109" spans="15:36">
      <c r="O109" s="15">
        <v>106</v>
      </c>
      <c r="P109" s="33">
        <v>3277682.4813335305</v>
      </c>
      <c r="Q109" s="33">
        <v>91568565.50998497</v>
      </c>
      <c r="R109" s="146">
        <v>-88290883.028651446</v>
      </c>
      <c r="S109" s="31">
        <v>89767.311363216868</v>
      </c>
      <c r="T109" s="31">
        <v>9362.3338988917185</v>
      </c>
      <c r="U109" s="142">
        <v>80404.977464325144</v>
      </c>
      <c r="AE109" s="137">
        <f t="shared" si="9"/>
        <v>0.65973445725385782</v>
      </c>
      <c r="AF109" s="131">
        <f t="shared" ca="1" si="5"/>
        <v>-101961425.20751369</v>
      </c>
      <c r="AG109" s="131">
        <f t="shared" ca="1" si="6"/>
        <v>-18839776.723712426</v>
      </c>
      <c r="AI109" s="131">
        <f t="shared" si="7"/>
        <v>-88290883.028651446</v>
      </c>
      <c r="AJ109" s="31">
        <f t="shared" si="8"/>
        <v>80404.977464325144</v>
      </c>
    </row>
    <row r="110" spans="15:36">
      <c r="O110" s="15">
        <v>107</v>
      </c>
      <c r="P110" s="33">
        <v>3483846.6788242469</v>
      </c>
      <c r="Q110" s="33">
        <v>82746971.355693847</v>
      </c>
      <c r="R110" s="146">
        <v>-79263124.676869601</v>
      </c>
      <c r="S110" s="31">
        <v>144829.47571369313</v>
      </c>
      <c r="T110" s="31">
        <v>16530.036456426624</v>
      </c>
      <c r="U110" s="142">
        <v>128299.43925726651</v>
      </c>
      <c r="AE110" s="137">
        <f t="shared" si="9"/>
        <v>0.66601764256103746</v>
      </c>
      <c r="AF110" s="131">
        <f t="shared" ca="1" si="5"/>
        <v>-101869131.42885631</v>
      </c>
      <c r="AG110" s="131">
        <f t="shared" ca="1" si="6"/>
        <v>-18748001.039732929</v>
      </c>
      <c r="AI110" s="131">
        <f t="shared" si="7"/>
        <v>-79263124.676869601</v>
      </c>
      <c r="AJ110" s="31">
        <f t="shared" si="8"/>
        <v>128299.43925726651</v>
      </c>
    </row>
    <row r="111" spans="15:36">
      <c r="O111" s="15">
        <v>108</v>
      </c>
      <c r="P111" s="33">
        <v>3067933.8458668115</v>
      </c>
      <c r="Q111" s="33">
        <v>93989771.718136951</v>
      </c>
      <c r="R111" s="146">
        <v>-90921837.872270137</v>
      </c>
      <c r="S111" s="31">
        <v>46651.867079160584</v>
      </c>
      <c r="T111" s="31">
        <v>3896.2956913645439</v>
      </c>
      <c r="U111" s="142">
        <v>42755.571387796037</v>
      </c>
      <c r="AE111" s="137">
        <f t="shared" si="9"/>
        <v>0.6723008278682171</v>
      </c>
      <c r="AF111" s="131">
        <f t="shared" ca="1" si="5"/>
        <v>-101776096.73762035</v>
      </c>
      <c r="AG111" s="131">
        <f t="shared" ca="1" si="6"/>
        <v>-18655481.891486954</v>
      </c>
      <c r="AI111" s="131">
        <f t="shared" si="7"/>
        <v>-90921837.872270137</v>
      </c>
      <c r="AJ111" s="31">
        <f t="shared" si="8"/>
        <v>42755.571387796037</v>
      </c>
    </row>
    <row r="112" spans="15:36">
      <c r="O112" s="15">
        <v>109</v>
      </c>
      <c r="P112" s="33">
        <v>3187921.1132296519</v>
      </c>
      <c r="Q112" s="33">
        <v>84845068.561507717</v>
      </c>
      <c r="R112" s="146">
        <v>-81657147.448278069</v>
      </c>
      <c r="S112" s="31">
        <v>134687.03846499239</v>
      </c>
      <c r="T112" s="31">
        <v>7863.7411354756878</v>
      </c>
      <c r="U112" s="142">
        <v>126823.2973295167</v>
      </c>
      <c r="AE112" s="137">
        <f t="shared" si="9"/>
        <v>0.67858401317539674</v>
      </c>
      <c r="AF112" s="131">
        <f t="shared" ca="1" si="5"/>
        <v>-101682324.80665611</v>
      </c>
      <c r="AG112" s="131">
        <f t="shared" ca="1" si="6"/>
        <v>-18562222.931472059</v>
      </c>
      <c r="AI112" s="131">
        <f t="shared" si="7"/>
        <v>-81657147.448278069</v>
      </c>
      <c r="AJ112" s="31">
        <f t="shared" si="8"/>
        <v>126823.2973295167</v>
      </c>
    </row>
    <row r="113" spans="15:36">
      <c r="O113" s="15">
        <v>110</v>
      </c>
      <c r="P113" s="33">
        <v>4014593.7706623022</v>
      </c>
      <c r="Q113" s="33">
        <v>95619017.404646665</v>
      </c>
      <c r="R113" s="146">
        <v>-91604423.633984357</v>
      </c>
      <c r="S113" s="31">
        <v>99972.887258406787</v>
      </c>
      <c r="T113" s="31">
        <v>7930.8416574980783</v>
      </c>
      <c r="U113" s="142">
        <v>92042.045600908707</v>
      </c>
      <c r="AE113" s="137">
        <f t="shared" si="9"/>
        <v>0.68486719848257638</v>
      </c>
      <c r="AF113" s="131">
        <f t="shared" ca="1" si="5"/>
        <v>-101587819.33791883</v>
      </c>
      <c r="AG113" s="131">
        <f t="shared" ca="1" si="6"/>
        <v>-18468227.841392301</v>
      </c>
      <c r="AI113" s="131">
        <f t="shared" si="7"/>
        <v>-91604423.633984357</v>
      </c>
      <c r="AJ113" s="31">
        <f t="shared" si="8"/>
        <v>92042.045600908707</v>
      </c>
    </row>
    <row r="114" spans="15:36">
      <c r="O114" s="15">
        <v>111</v>
      </c>
      <c r="P114" s="33">
        <v>3337495.9223270002</v>
      </c>
      <c r="Q114" s="33">
        <v>91910466.849740341</v>
      </c>
      <c r="R114" s="146">
        <v>-88572970.927413344</v>
      </c>
      <c r="S114" s="31">
        <v>91183.66597751771</v>
      </c>
      <c r="T114" s="31">
        <v>20605.731478370697</v>
      </c>
      <c r="U114" s="142">
        <v>70577.934499147013</v>
      </c>
      <c r="AE114" s="137">
        <f t="shared" si="9"/>
        <v>0.69115038378975602</v>
      </c>
      <c r="AF114" s="131">
        <f t="shared" ca="1" si="5"/>
        <v>-101492584.06232265</v>
      </c>
      <c r="AG114" s="131">
        <f t="shared" ca="1" si="6"/>
        <v>-18373500.332012892</v>
      </c>
      <c r="AI114" s="131">
        <f t="shared" si="7"/>
        <v>-88572970.927413344</v>
      </c>
      <c r="AJ114" s="31">
        <f t="shared" si="8"/>
        <v>70577.934499147013</v>
      </c>
    </row>
    <row r="115" spans="15:36">
      <c r="O115" s="15">
        <v>112</v>
      </c>
      <c r="P115" s="33">
        <v>3866438.2536011115</v>
      </c>
      <c r="Q115" s="33">
        <v>86147749.513904855</v>
      </c>
      <c r="R115" s="146">
        <v>-82281311.260303736</v>
      </c>
      <c r="S115" s="31">
        <v>34381.726315771411</v>
      </c>
      <c r="T115" s="31">
        <v>13326.69427867177</v>
      </c>
      <c r="U115" s="142">
        <v>21055.032037099641</v>
      </c>
      <c r="AE115" s="137">
        <f t="shared" si="9"/>
        <v>0.69743356909693566</v>
      </c>
      <c r="AF115" s="131">
        <f t="shared" ca="1" si="5"/>
        <v>-101396622.73959313</v>
      </c>
      <c r="AG115" s="131">
        <f t="shared" ca="1" si="6"/>
        <v>-18278044.143013705</v>
      </c>
      <c r="AI115" s="131">
        <f t="shared" si="7"/>
        <v>-82281311.260303736</v>
      </c>
      <c r="AJ115" s="31">
        <f t="shared" si="8"/>
        <v>21055.032037099641</v>
      </c>
    </row>
    <row r="116" spans="15:36">
      <c r="O116" s="15">
        <v>113</v>
      </c>
      <c r="P116" s="33">
        <v>3463417.983462973</v>
      </c>
      <c r="Q116" s="33">
        <v>87981702.610177621</v>
      </c>
      <c r="R116" s="146">
        <v>-84518284.626714647</v>
      </c>
      <c r="S116" s="31">
        <v>48365.468302113375</v>
      </c>
      <c r="T116" s="31">
        <v>14541.781662578924</v>
      </c>
      <c r="U116" s="142">
        <v>33823.686639534455</v>
      </c>
      <c r="AE116" s="137">
        <f t="shared" si="9"/>
        <v>0.7037167544041153</v>
      </c>
      <c r="AF116" s="131">
        <f t="shared" ca="1" si="5"/>
        <v>-101299939.15811902</v>
      </c>
      <c r="AG116" s="131">
        <f t="shared" ca="1" si="6"/>
        <v>-18181863.042841628</v>
      </c>
      <c r="AI116" s="131">
        <f t="shared" si="7"/>
        <v>-84518284.626714647</v>
      </c>
      <c r="AJ116" s="31">
        <f t="shared" si="8"/>
        <v>33823.686639534455</v>
      </c>
    </row>
    <row r="117" spans="15:36">
      <c r="O117" s="15">
        <v>114</v>
      </c>
      <c r="P117" s="33">
        <v>2943326.6752602099</v>
      </c>
      <c r="Q117" s="33">
        <v>76088406.960294366</v>
      </c>
      <c r="R117" s="146">
        <v>-73145080.28503415</v>
      </c>
      <c r="S117" s="31">
        <v>56659.735199239869</v>
      </c>
      <c r="T117" s="31">
        <v>12001.603326210306</v>
      </c>
      <c r="U117" s="142">
        <v>44658.131873029561</v>
      </c>
      <c r="AE117" s="137">
        <f t="shared" si="9"/>
        <v>0.70999993971129494</v>
      </c>
      <c r="AF117" s="131">
        <f t="shared" ca="1" si="5"/>
        <v>-101202537.13480255</v>
      </c>
      <c r="AG117" s="131">
        <f t="shared" ca="1" si="6"/>
        <v>-18084960.828561813</v>
      </c>
      <c r="AI117" s="131">
        <f t="shared" si="7"/>
        <v>-73145080.28503415</v>
      </c>
      <c r="AJ117" s="31">
        <f t="shared" si="8"/>
        <v>44658.131873029561</v>
      </c>
    </row>
    <row r="118" spans="15:36">
      <c r="O118" s="15">
        <v>115</v>
      </c>
      <c r="P118" s="33">
        <v>2415955.0808431217</v>
      </c>
      <c r="Q118" s="33">
        <v>87020786.099807397</v>
      </c>
      <c r="R118" s="146">
        <v>-84604831.018964276</v>
      </c>
      <c r="S118" s="31">
        <v>106562.02846323806</v>
      </c>
      <c r="T118" s="31">
        <v>9550.7806126716714</v>
      </c>
      <c r="U118" s="142">
        <v>97011.247850566389</v>
      </c>
      <c r="AE118" s="137">
        <f t="shared" si="9"/>
        <v>0.71628312501847458</v>
      </c>
      <c r="AF118" s="131">
        <f t="shared" ca="1" si="5"/>
        <v>-101104420.51490881</v>
      </c>
      <c r="AG118" s="131">
        <f t="shared" ca="1" si="6"/>
        <v>-17987341.325707756</v>
      </c>
      <c r="AI118" s="131">
        <f t="shared" si="7"/>
        <v>-84604831.018964276</v>
      </c>
      <c r="AJ118" s="31">
        <f t="shared" si="8"/>
        <v>97011.247850566389</v>
      </c>
    </row>
    <row r="119" spans="15:36">
      <c r="O119" s="15">
        <v>116</v>
      </c>
      <c r="P119" s="33">
        <v>3572732.0668376992</v>
      </c>
      <c r="Q119" s="33">
        <v>79252448.440702617</v>
      </c>
      <c r="R119" s="146">
        <v>-75679716.373864919</v>
      </c>
      <c r="S119" s="31">
        <v>163271.47275695711</v>
      </c>
      <c r="T119" s="31">
        <v>7428.8354659037514</v>
      </c>
      <c r="U119" s="142">
        <v>155842.63729105337</v>
      </c>
      <c r="AE119" s="137">
        <f t="shared" si="9"/>
        <v>0.72256631032565422</v>
      </c>
      <c r="AF119" s="131">
        <f t="shared" ca="1" si="5"/>
        <v>-101005593.17191397</v>
      </c>
      <c r="AG119" s="131">
        <f t="shared" ca="1" si="6"/>
        <v>-17889008.388130274</v>
      </c>
      <c r="AI119" s="131">
        <f t="shared" si="7"/>
        <v>-75679716.373864919</v>
      </c>
      <c r="AJ119" s="31">
        <f t="shared" si="8"/>
        <v>155842.63729105337</v>
      </c>
    </row>
    <row r="120" spans="15:36">
      <c r="O120" s="15">
        <v>117</v>
      </c>
      <c r="P120" s="33">
        <v>3958647.5942918649</v>
      </c>
      <c r="Q120" s="33">
        <v>88234671.753326029</v>
      </c>
      <c r="R120" s="146">
        <v>-84276024.159034163</v>
      </c>
      <c r="S120" s="31">
        <v>49386.310636197057</v>
      </c>
      <c r="T120" s="31">
        <v>5391.6477623385108</v>
      </c>
      <c r="U120" s="142">
        <v>43994.662873858542</v>
      </c>
      <c r="AE120" s="137">
        <f t="shared" si="9"/>
        <v>0.72884949563283385</v>
      </c>
      <c r="AF120" s="131">
        <f t="shared" ca="1" si="5"/>
        <v>-100906059.00735231</v>
      </c>
      <c r="AG120" s="131">
        <f t="shared" ca="1" si="6"/>
        <v>-17789965.897845373</v>
      </c>
      <c r="AI120" s="131">
        <f t="shared" si="7"/>
        <v>-84276024.159034163</v>
      </c>
      <c r="AJ120" s="31">
        <f t="shared" si="8"/>
        <v>43994.662873858542</v>
      </c>
    </row>
    <row r="121" spans="15:36">
      <c r="O121" s="15">
        <v>118</v>
      </c>
      <c r="P121" s="33">
        <v>2894333.1017909138</v>
      </c>
      <c r="Q121" s="33">
        <v>76565301.190032005</v>
      </c>
      <c r="R121" s="146">
        <v>-73670968.088241085</v>
      </c>
      <c r="S121" s="31">
        <v>67353.248490756945</v>
      </c>
      <c r="T121" s="31">
        <v>7025.5702897027477</v>
      </c>
      <c r="U121" s="142">
        <v>60327.678201054194</v>
      </c>
      <c r="AE121" s="137">
        <f t="shared" si="9"/>
        <v>0.73513268094001349</v>
      </c>
      <c r="AF121" s="131">
        <f t="shared" ca="1" si="5"/>
        <v>-100805821.95066221</v>
      </c>
      <c r="AG121" s="131">
        <f t="shared" ca="1" si="6"/>
        <v>-17690217.764880981</v>
      </c>
      <c r="AI121" s="131">
        <f t="shared" si="7"/>
        <v>-73670968.088241085</v>
      </c>
      <c r="AJ121" s="31">
        <f t="shared" si="8"/>
        <v>60327.678201054194</v>
      </c>
    </row>
    <row r="122" spans="15:36">
      <c r="O122" s="15">
        <v>119</v>
      </c>
      <c r="P122" s="33">
        <v>3178693.9921191609</v>
      </c>
      <c r="Q122" s="33">
        <v>77931646.99675104</v>
      </c>
      <c r="R122" s="146">
        <v>-74752953.004631877</v>
      </c>
      <c r="S122" s="31">
        <v>29991.569199442645</v>
      </c>
      <c r="T122" s="31">
        <v>23816.981013302684</v>
      </c>
      <c r="U122" s="142">
        <v>6174.5881861399612</v>
      </c>
      <c r="AE122" s="137">
        <f t="shared" si="9"/>
        <v>0.74141586624719313</v>
      </c>
      <c r="AF122" s="131">
        <f t="shared" ca="1" si="5"/>
        <v>-100704885.95903103</v>
      </c>
      <c r="AG122" s="131">
        <f t="shared" ca="1" si="6"/>
        <v>-17589767.927122593</v>
      </c>
      <c r="AI122" s="131">
        <f t="shared" si="7"/>
        <v>-74752953.004631877</v>
      </c>
      <c r="AJ122" s="31">
        <f t="shared" si="8"/>
        <v>6174.5881861399612</v>
      </c>
    </row>
    <row r="123" spans="15:36">
      <c r="O123" s="15">
        <v>120</v>
      </c>
      <c r="P123" s="33">
        <v>3943493.5613049003</v>
      </c>
      <c r="Q123" s="33">
        <v>73058388.579275861</v>
      </c>
      <c r="R123" s="146">
        <v>-69114895.017970964</v>
      </c>
      <c r="S123" s="31">
        <v>51948.812668057202</v>
      </c>
      <c r="T123" s="31">
        <v>20058.674898849451</v>
      </c>
      <c r="U123" s="142">
        <v>31890.137769207751</v>
      </c>
      <c r="AE123" s="137">
        <f t="shared" si="9"/>
        <v>0.74769905155437277</v>
      </c>
      <c r="AF123" s="131">
        <f t="shared" ca="1" si="5"/>
        <v>-100603255.01723891</v>
      </c>
      <c r="AG123" s="131">
        <f t="shared" ca="1" si="6"/>
        <v>-17488620.350157805</v>
      </c>
      <c r="AI123" s="131">
        <f t="shared" si="7"/>
        <v>-69114895.017970964</v>
      </c>
      <c r="AJ123" s="31">
        <f t="shared" si="8"/>
        <v>31890.137769207751</v>
      </c>
    </row>
    <row r="124" spans="15:36">
      <c r="O124" s="15">
        <v>121</v>
      </c>
      <c r="P124" s="33">
        <v>3402236.4019577834</v>
      </c>
      <c r="Q124" s="33">
        <v>83412634.973514393</v>
      </c>
      <c r="R124" s="146">
        <v>-80010398.571556613</v>
      </c>
      <c r="S124" s="31">
        <v>89563.193211869235</v>
      </c>
      <c r="T124" s="31">
        <v>20030.734936078279</v>
      </c>
      <c r="U124" s="142">
        <v>69532.458275790952</v>
      </c>
      <c r="AE124" s="137">
        <f t="shared" si="9"/>
        <v>0.75398223686155241</v>
      </c>
      <c r="AF124" s="131">
        <f t="shared" ca="1" si="5"/>
        <v>-100500933.13750139</v>
      </c>
      <c r="AG124" s="131">
        <f t="shared" ca="1" si="6"/>
        <v>-17386779.027119759</v>
      </c>
      <c r="AI124" s="131">
        <f t="shared" si="7"/>
        <v>-80010398.571556613</v>
      </c>
      <c r="AJ124" s="31">
        <f t="shared" si="8"/>
        <v>69532.458275790952</v>
      </c>
    </row>
    <row r="125" spans="15:36">
      <c r="O125" s="15">
        <v>122</v>
      </c>
      <c r="P125" s="33">
        <v>2441552.0006387234</v>
      </c>
      <c r="Q125" s="33">
        <v>101176719.20547464</v>
      </c>
      <c r="R125" s="146">
        <v>-98735167.204835922</v>
      </c>
      <c r="S125" s="31">
        <v>80016.26576458168</v>
      </c>
      <c r="T125" s="31">
        <v>9138.9141919016784</v>
      </c>
      <c r="U125" s="142">
        <v>70877.351572679996</v>
      </c>
      <c r="AE125" s="137">
        <f t="shared" si="9"/>
        <v>0.76026542216873205</v>
      </c>
      <c r="AF125" s="131">
        <f t="shared" ca="1" si="5"/>
        <v>-100397924.3593111</v>
      </c>
      <c r="AG125" s="131">
        <f t="shared" ca="1" si="6"/>
        <v>-17284247.978529517</v>
      </c>
      <c r="AI125" s="131">
        <f t="shared" si="7"/>
        <v>-98735167.204835922</v>
      </c>
      <c r="AJ125" s="31">
        <f t="shared" si="8"/>
        <v>70877.351572679996</v>
      </c>
    </row>
    <row r="126" spans="15:36">
      <c r="O126" s="15">
        <v>123</v>
      </c>
      <c r="P126" s="33">
        <v>2797138.2938544527</v>
      </c>
      <c r="Q126" s="33">
        <v>90452385.051279768</v>
      </c>
      <c r="R126" s="146">
        <v>-87655246.757425308</v>
      </c>
      <c r="S126" s="31">
        <v>88874.164532709983</v>
      </c>
      <c r="T126" s="31">
        <v>10739.588162053113</v>
      </c>
      <c r="U126" s="142">
        <v>78134.576370656869</v>
      </c>
      <c r="AE126" s="137">
        <f t="shared" si="9"/>
        <v>0.76654860747591169</v>
      </c>
      <c r="AF126" s="131">
        <f t="shared" ca="1" si="5"/>
        <v>-100294232.74927819</v>
      </c>
      <c r="AG126" s="131">
        <f t="shared" ca="1" si="6"/>
        <v>-17181031.252137303</v>
      </c>
      <c r="AI126" s="131">
        <f t="shared" si="7"/>
        <v>-87655246.757425308</v>
      </c>
      <c r="AJ126" s="31">
        <f t="shared" si="8"/>
        <v>78134.576370656869</v>
      </c>
    </row>
    <row r="127" spans="15:36">
      <c r="O127" s="15">
        <v>124</v>
      </c>
      <c r="P127" s="33">
        <v>3281404.4521787926</v>
      </c>
      <c r="Q127" s="33">
        <v>86297374.793840304</v>
      </c>
      <c r="R127" s="146">
        <v>-83015970.341661513</v>
      </c>
      <c r="S127" s="31">
        <v>131922.89558399297</v>
      </c>
      <c r="T127" s="31">
        <v>11277.234877643365</v>
      </c>
      <c r="U127" s="142">
        <v>120645.6607063496</v>
      </c>
      <c r="AE127" s="137">
        <f t="shared" si="9"/>
        <v>0.77283179278309133</v>
      </c>
      <c r="AF127" s="131">
        <f t="shared" ca="1" si="5"/>
        <v>-100189862.40096992</v>
      </c>
      <c r="AG127" s="131">
        <f t="shared" ca="1" si="6"/>
        <v>-17077132.922762755</v>
      </c>
      <c r="AI127" s="131">
        <f t="shared" si="7"/>
        <v>-83015970.341661513</v>
      </c>
      <c r="AJ127" s="31">
        <f t="shared" si="8"/>
        <v>120645.6607063496</v>
      </c>
    </row>
    <row r="128" spans="15:36">
      <c r="O128" s="15">
        <v>125</v>
      </c>
      <c r="P128" s="33">
        <v>3810054.7019507829</v>
      </c>
      <c r="Q128" s="33">
        <v>81751104.653344512</v>
      </c>
      <c r="R128" s="146">
        <v>-77941049.951393723</v>
      </c>
      <c r="S128" s="31">
        <v>111140.93063606601</v>
      </c>
      <c r="T128" s="31">
        <v>8921.7312066058803</v>
      </c>
      <c r="U128" s="142">
        <v>102219.19942946013</v>
      </c>
      <c r="AE128" s="137">
        <f t="shared" si="9"/>
        <v>0.77911497809027097</v>
      </c>
      <c r="AF128" s="131">
        <f t="shared" ca="1" si="5"/>
        <v>-100084817.43474889</v>
      </c>
      <c r="AG128" s="131">
        <f t="shared" ca="1" si="6"/>
        <v>-16972557.092134003</v>
      </c>
      <c r="AI128" s="131">
        <f t="shared" si="7"/>
        <v>-77941049.951393723</v>
      </c>
      <c r="AJ128" s="31">
        <f t="shared" si="8"/>
        <v>102219.19942946013</v>
      </c>
    </row>
    <row r="129" spans="15:36">
      <c r="O129" s="15">
        <v>126</v>
      </c>
      <c r="P129" s="33">
        <v>2969887.8533067405</v>
      </c>
      <c r="Q129" s="33">
        <v>97882457.496358439</v>
      </c>
      <c r="R129" s="146">
        <v>-94912569.643051699</v>
      </c>
      <c r="S129" s="31">
        <v>91936.932879983215</v>
      </c>
      <c r="T129" s="31">
        <v>18267.161151531658</v>
      </c>
      <c r="U129" s="142">
        <v>73669.771728451553</v>
      </c>
      <c r="AE129" s="137">
        <f t="shared" si="9"/>
        <v>0.78539816339745061</v>
      </c>
      <c r="AF129" s="131">
        <f t="shared" ca="1" si="5"/>
        <v>-99979101.997610524</v>
      </c>
      <c r="AG129" s="131">
        <f t="shared" ca="1" si="6"/>
        <v>-16867307.88872578</v>
      </c>
      <c r="AI129" s="131">
        <f t="shared" si="7"/>
        <v>-94912569.643051699</v>
      </c>
      <c r="AJ129" s="31">
        <f t="shared" si="8"/>
        <v>73669.771728451553</v>
      </c>
    </row>
    <row r="130" spans="15:36">
      <c r="O130" s="15">
        <v>127</v>
      </c>
      <c r="P130" s="33">
        <v>2937719.0258889124</v>
      </c>
      <c r="Q130" s="33">
        <v>83163017.728892431</v>
      </c>
      <c r="R130" s="146">
        <v>-80225298.703003526</v>
      </c>
      <c r="S130" s="31">
        <v>120769.50000444302</v>
      </c>
      <c r="T130" s="31">
        <v>12069.265664794377</v>
      </c>
      <c r="U130" s="142">
        <v>108700.23433964864</v>
      </c>
      <c r="AE130" s="137">
        <f t="shared" si="9"/>
        <v>0.79168134870463025</v>
      </c>
      <c r="AF130" s="131">
        <f t="shared" ca="1" si="5"/>
        <v>-99872720.263019264</v>
      </c>
      <c r="AG130" s="131">
        <f t="shared" ca="1" si="6"/>
        <v>-16761389.467596427</v>
      </c>
      <c r="AI130" s="131">
        <f t="shared" si="7"/>
        <v>-80225298.703003526</v>
      </c>
      <c r="AJ130" s="31">
        <f t="shared" si="8"/>
        <v>108700.23433964864</v>
      </c>
    </row>
    <row r="131" spans="15:36">
      <c r="O131" s="15">
        <v>128</v>
      </c>
      <c r="P131" s="33">
        <v>3518285.8987180688</v>
      </c>
      <c r="Q131" s="33">
        <v>87049509.863341421</v>
      </c>
      <c r="R131" s="146">
        <v>-83531223.964623347</v>
      </c>
      <c r="S131" s="31">
        <v>44430.463074852596</v>
      </c>
      <c r="T131" s="31">
        <v>8598.7212105523922</v>
      </c>
      <c r="U131" s="142">
        <v>35831.741864300202</v>
      </c>
      <c r="AE131" s="137">
        <f t="shared" si="9"/>
        <v>0.79796453401180989</v>
      </c>
      <c r="AF131" s="131">
        <f t="shared" ca="1" si="5"/>
        <v>-99765676.430743828</v>
      </c>
      <c r="AG131" s="131">
        <f t="shared" ca="1" si="6"/>
        <v>-16654806.010223839</v>
      </c>
      <c r="AI131" s="131">
        <f t="shared" si="7"/>
        <v>-83531223.964623347</v>
      </c>
      <c r="AJ131" s="31">
        <f t="shared" si="8"/>
        <v>35831.741864300202</v>
      </c>
    </row>
    <row r="132" spans="15:36">
      <c r="O132" s="15">
        <v>129</v>
      </c>
      <c r="P132" s="33">
        <v>3314131.8334814776</v>
      </c>
      <c r="Q132" s="33">
        <v>83039326.355867267</v>
      </c>
      <c r="R132" s="146">
        <v>-79725194.522385791</v>
      </c>
      <c r="S132" s="31">
        <v>90282.459180814418</v>
      </c>
      <c r="T132" s="31">
        <v>5033.2862239506476</v>
      </c>
      <c r="U132" s="142">
        <v>85249.172956863767</v>
      </c>
      <c r="AE132" s="137">
        <f t="shared" si="9"/>
        <v>0.80424771931898953</v>
      </c>
      <c r="AF132" s="131">
        <f t="shared" ca="1" si="5"/>
        <v>-99657974.726691425</v>
      </c>
      <c r="AG132" s="131">
        <f t="shared" ca="1" si="6"/>
        <v>-16547561.72434042</v>
      </c>
      <c r="AI132" s="131">
        <f t="shared" si="7"/>
        <v>-79725194.522385791</v>
      </c>
      <c r="AJ132" s="31">
        <f t="shared" si="8"/>
        <v>85249.172956863767</v>
      </c>
    </row>
    <row r="133" spans="15:36">
      <c r="O133" s="15">
        <v>130</v>
      </c>
      <c r="P133" s="33">
        <v>3768463.9080279483</v>
      </c>
      <c r="Q133" s="33">
        <v>78183453.527714878</v>
      </c>
      <c r="R133" s="146">
        <v>-74414989.619686931</v>
      </c>
      <c r="S133" s="31">
        <v>125954.37941361658</v>
      </c>
      <c r="T133" s="31">
        <v>11257.670855675477</v>
      </c>
      <c r="U133" s="142">
        <v>114696.70855794111</v>
      </c>
      <c r="AE133" s="137">
        <f t="shared" si="9"/>
        <v>0.81053090462616917</v>
      </c>
      <c r="AF133" s="131">
        <f t="shared" ref="AF133:AF196" ca="1" si="10">(AB$25*AC$19*COS(AE133)+AC$25*AC$20*SIN(AE133))+X$9</f>
        <v>-99549619.40274094</v>
      </c>
      <c r="AG133" s="131">
        <f t="shared" ref="AG133:AG196" ca="1" si="11">(AC$26*AC$19*COS(AE133)+AC$26*AC$20*SIN(AE133))+Y$9</f>
        <v>-16439660.843766944</v>
      </c>
      <c r="AI133" s="131">
        <f t="shared" ref="AI133:AI196" si="12">R133</f>
        <v>-74414989.619686931</v>
      </c>
      <c r="AJ133" s="31">
        <f t="shared" ref="AJ133:AJ196" si="13">U133</f>
        <v>114696.70855794111</v>
      </c>
    </row>
    <row r="134" spans="15:36">
      <c r="O134" s="15">
        <v>131</v>
      </c>
      <c r="P134" s="33">
        <v>3160127.995130525</v>
      </c>
      <c r="Q134" s="33">
        <v>69426390.255676925</v>
      </c>
      <c r="R134" s="146">
        <v>-66266262.260546401</v>
      </c>
      <c r="S134" s="31">
        <v>96779.445603728527</v>
      </c>
      <c r="T134" s="31">
        <v>10689.642002235876</v>
      </c>
      <c r="U134" s="142">
        <v>86089.803601492647</v>
      </c>
      <c r="AE134" s="137">
        <f t="shared" si="9"/>
        <v>0.81681408993334881</v>
      </c>
      <c r="AF134" s="131">
        <f t="shared" ca="1" si="10"/>
        <v>-99440614.736575007</v>
      </c>
      <c r="AG134" s="131">
        <f t="shared" ca="1" si="11"/>
        <v>-16331107.628245423</v>
      </c>
      <c r="AI134" s="131">
        <f t="shared" si="12"/>
        <v>-66266262.260546401</v>
      </c>
      <c r="AJ134" s="31">
        <f t="shared" si="13"/>
        <v>86089.803601492647</v>
      </c>
    </row>
    <row r="135" spans="15:36">
      <c r="O135" s="15">
        <v>132</v>
      </c>
      <c r="P135" s="33">
        <v>3381532.7618788425</v>
      </c>
      <c r="Q135" s="33">
        <v>76807429.000682876</v>
      </c>
      <c r="R135" s="146">
        <v>-73425896.238804027</v>
      </c>
      <c r="S135" s="31">
        <v>183264.38900458658</v>
      </c>
      <c r="T135" s="31">
        <v>9977.0752057422997</v>
      </c>
      <c r="U135" s="142">
        <v>173287.31379884429</v>
      </c>
      <c r="AE135" s="137">
        <f t="shared" ref="AE135:AE198" si="14">AE134+AE$5</f>
        <v>0.82309727524052845</v>
      </c>
      <c r="AF135" s="131">
        <f t="shared" ca="1" si="10"/>
        <v>-99330965.031511188</v>
      </c>
      <c r="AG135" s="131">
        <f t="shared" ca="1" si="11"/>
        <v>-16221906.363270923</v>
      </c>
      <c r="AI135" s="131">
        <f t="shared" si="12"/>
        <v>-73425896.238804027</v>
      </c>
      <c r="AJ135" s="31">
        <f t="shared" si="13"/>
        <v>173287.31379884429</v>
      </c>
    </row>
    <row r="136" spans="15:36">
      <c r="O136" s="15">
        <v>133</v>
      </c>
      <c r="P136" s="33">
        <v>3351307.4937793943</v>
      </c>
      <c r="Q136" s="33">
        <v>79317634.802821919</v>
      </c>
      <c r="R136" s="146">
        <v>-75966327.309042528</v>
      </c>
      <c r="S136" s="31">
        <v>104045.11420241633</v>
      </c>
      <c r="T136" s="31">
        <v>10773.100747889566</v>
      </c>
      <c r="U136" s="142">
        <v>93272.013454526765</v>
      </c>
      <c r="AE136" s="137">
        <f t="shared" si="14"/>
        <v>0.82938046054770809</v>
      </c>
      <c r="AF136" s="131">
        <f t="shared" ca="1" si="10"/>
        <v>-99220674.616332114</v>
      </c>
      <c r="AG136" s="131">
        <f t="shared" ca="1" si="11"/>
        <v>-16112061.359922415</v>
      </c>
      <c r="AI136" s="131">
        <f t="shared" si="12"/>
        <v>-75966327.309042528</v>
      </c>
      <c r="AJ136" s="31">
        <f t="shared" si="13"/>
        <v>93272.013454526765</v>
      </c>
    </row>
    <row r="137" spans="15:36">
      <c r="O137" s="15">
        <v>134</v>
      </c>
      <c r="P137" s="33">
        <v>3315281.5697396374</v>
      </c>
      <c r="Q137" s="33">
        <v>70507695.215954214</v>
      </c>
      <c r="R137" s="146">
        <v>-67192413.646214575</v>
      </c>
      <c r="S137" s="31">
        <v>88112.26143377088</v>
      </c>
      <c r="T137" s="31">
        <v>5756.0450620210522</v>
      </c>
      <c r="U137" s="142">
        <v>82356.216371749833</v>
      </c>
      <c r="AE137" s="137">
        <f t="shared" si="14"/>
        <v>0.83566364585488773</v>
      </c>
      <c r="AF137" s="131">
        <f t="shared" ca="1" si="10"/>
        <v>-99109747.845114529</v>
      </c>
      <c r="AG137" s="131">
        <f t="shared" ca="1" si="11"/>
        <v>-16001576.954692537</v>
      </c>
      <c r="AI137" s="131">
        <f t="shared" si="12"/>
        <v>-67192413.646214575</v>
      </c>
      <c r="AJ137" s="31">
        <f t="shared" si="13"/>
        <v>82356.216371749833</v>
      </c>
    </row>
    <row r="138" spans="15:36">
      <c r="O138" s="15">
        <v>135</v>
      </c>
      <c r="P138" s="33">
        <v>3776355.8952223035</v>
      </c>
      <c r="Q138" s="33">
        <v>100339355.80675912</v>
      </c>
      <c r="R138" s="146">
        <v>-96562999.911536813</v>
      </c>
      <c r="S138" s="31">
        <v>55090.577476461243</v>
      </c>
      <c r="T138" s="31">
        <v>6402.5412746731636</v>
      </c>
      <c r="U138" s="142">
        <v>48688.036201788083</v>
      </c>
      <c r="AE138" s="137">
        <f t="shared" si="14"/>
        <v>0.84194683116206737</v>
      </c>
      <c r="AF138" s="131">
        <f t="shared" ca="1" si="10"/>
        <v>-98998189.097057402</v>
      </c>
      <c r="AG138" s="131">
        <f t="shared" ca="1" si="11"/>
        <v>-15890457.509316431</v>
      </c>
      <c r="AI138" s="131">
        <f t="shared" si="12"/>
        <v>-96562999.911536813</v>
      </c>
      <c r="AJ138" s="31">
        <f t="shared" si="13"/>
        <v>48688.036201788083</v>
      </c>
    </row>
    <row r="139" spans="15:36">
      <c r="O139" s="15">
        <v>136</v>
      </c>
      <c r="P139" s="33">
        <v>3341239.4007598427</v>
      </c>
      <c r="Q139" s="33">
        <v>96206965.65575029</v>
      </c>
      <c r="R139" s="146">
        <v>-92865726.254990444</v>
      </c>
      <c r="S139" s="31">
        <v>45062.162743743414</v>
      </c>
      <c r="T139" s="31">
        <v>6513.8998016342757</v>
      </c>
      <c r="U139" s="142">
        <v>38548.262942109141</v>
      </c>
      <c r="AE139" s="137">
        <f t="shared" si="14"/>
        <v>0.84823001646924701</v>
      </c>
      <c r="AF139" s="131">
        <f t="shared" ca="1" si="10"/>
        <v>-98886002.776309103</v>
      </c>
      <c r="AG139" s="131">
        <f t="shared" ca="1" si="11"/>
        <v>-15778707.410599533</v>
      </c>
      <c r="AI139" s="131">
        <f t="shared" si="12"/>
        <v>-92865726.254990444</v>
      </c>
      <c r="AJ139" s="31">
        <f t="shared" si="13"/>
        <v>38548.262942109141</v>
      </c>
    </row>
    <row r="140" spans="15:36">
      <c r="O140" s="15">
        <v>137</v>
      </c>
      <c r="P140" s="33">
        <v>3201610.5090447464</v>
      </c>
      <c r="Q140" s="33">
        <v>89660153.616211221</v>
      </c>
      <c r="R140" s="146">
        <v>-86458543.107166469</v>
      </c>
      <c r="S140" s="31">
        <v>113946.90038793118</v>
      </c>
      <c r="T140" s="31">
        <v>7156.3729531768286</v>
      </c>
      <c r="U140" s="142">
        <v>106790.52743475435</v>
      </c>
      <c r="AE140" s="137">
        <f t="shared" si="14"/>
        <v>0.85451320177642665</v>
      </c>
      <c r="AF140" s="131">
        <f t="shared" ca="1" si="10"/>
        <v>-98773193.311793491</v>
      </c>
      <c r="AG140" s="131">
        <f t="shared" ca="1" si="11"/>
        <v>-15666331.0702444</v>
      </c>
      <c r="AI140" s="131">
        <f t="shared" si="12"/>
        <v>-86458543.107166469</v>
      </c>
      <c r="AJ140" s="31">
        <f t="shared" si="13"/>
        <v>106790.52743475435</v>
      </c>
    </row>
    <row r="141" spans="15:36">
      <c r="O141" s="15">
        <v>138</v>
      </c>
      <c r="P141" s="33">
        <v>2949719.5081771198</v>
      </c>
      <c r="Q141" s="33">
        <v>84171651.110333532</v>
      </c>
      <c r="R141" s="146">
        <v>-81221931.602156416</v>
      </c>
      <c r="S141" s="31">
        <v>96059.474987100373</v>
      </c>
      <c r="T141" s="31">
        <v>21397.014232142334</v>
      </c>
      <c r="U141" s="142">
        <v>74662.46075495804</v>
      </c>
      <c r="AE141" s="137">
        <f t="shared" si="14"/>
        <v>0.86079638708360628</v>
      </c>
      <c r="AF141" s="131">
        <f t="shared" ca="1" si="10"/>
        <v>-98659765.157035038</v>
      </c>
      <c r="AG141" s="131">
        <f t="shared" ca="1" si="11"/>
        <v>-15553332.924676519</v>
      </c>
      <c r="AI141" s="131">
        <f t="shared" si="12"/>
        <v>-81221931.602156416</v>
      </c>
      <c r="AJ141" s="31">
        <f t="shared" si="13"/>
        <v>74662.46075495804</v>
      </c>
    </row>
    <row r="142" spans="15:36">
      <c r="O142" s="15">
        <v>139</v>
      </c>
      <c r="P142" s="33">
        <v>2804383.3367534224</v>
      </c>
      <c r="Q142" s="33">
        <v>103117384.43257016</v>
      </c>
      <c r="R142" s="146">
        <v>-100313001.09581673</v>
      </c>
      <c r="S142" s="31">
        <v>89063.012590235274</v>
      </c>
      <c r="T142" s="31">
        <v>10394.876973675095</v>
      </c>
      <c r="U142" s="142">
        <v>78668.135616560176</v>
      </c>
      <c r="AE142" s="137">
        <f t="shared" si="14"/>
        <v>0.86707957239078592</v>
      </c>
      <c r="AF142" s="131">
        <f t="shared" ca="1" si="10"/>
        <v>-98545722.789983079</v>
      </c>
      <c r="AG142" s="131">
        <f t="shared" ca="1" si="11"/>
        <v>-15439717.4348692</v>
      </c>
      <c r="AI142" s="131">
        <f t="shared" si="12"/>
        <v>-100313001.09581673</v>
      </c>
      <c r="AJ142" s="31">
        <f t="shared" si="13"/>
        <v>78668.135616560176</v>
      </c>
    </row>
    <row r="143" spans="15:36">
      <c r="O143" s="15">
        <v>140</v>
      </c>
      <c r="P143" s="33">
        <v>3416595.8662798563</v>
      </c>
      <c r="Q143" s="33">
        <v>92227544.202038363</v>
      </c>
      <c r="R143" s="146">
        <v>-88810948.335758507</v>
      </c>
      <c r="S143" s="31">
        <v>114854.77707169231</v>
      </c>
      <c r="T143" s="31">
        <v>4700.3011238208182</v>
      </c>
      <c r="U143" s="142">
        <v>110154.4759478715</v>
      </c>
      <c r="AE143" s="137">
        <f t="shared" si="14"/>
        <v>0.87336275769796556</v>
      </c>
      <c r="AF143" s="131">
        <f t="shared" ca="1" si="10"/>
        <v>-98431070.712835014</v>
      </c>
      <c r="AG143" s="131">
        <f t="shared" ca="1" si="11"/>
        <v>-15325489.08616744</v>
      </c>
      <c r="AI143" s="131">
        <f t="shared" si="12"/>
        <v>-88810948.335758507</v>
      </c>
      <c r="AJ143" s="31">
        <f t="shared" si="13"/>
        <v>110154.4759478715</v>
      </c>
    </row>
    <row r="144" spans="15:36">
      <c r="O144" s="15">
        <v>141</v>
      </c>
      <c r="P144" s="33">
        <v>3751793.5776358498</v>
      </c>
      <c r="Q144" s="33">
        <v>82947555.609575659</v>
      </c>
      <c r="R144" s="146">
        <v>-79195762.031939805</v>
      </c>
      <c r="S144" s="31">
        <v>143882.89020248846</v>
      </c>
      <c r="T144" s="31">
        <v>2575.6266153279598</v>
      </c>
      <c r="U144" s="142">
        <v>141307.2635871605</v>
      </c>
      <c r="AE144" s="137">
        <f t="shared" si="14"/>
        <v>0.8796459430051452</v>
      </c>
      <c r="AF144" s="131">
        <f t="shared" ca="1" si="10"/>
        <v>-98315813.451858521</v>
      </c>
      <c r="AG144" s="131">
        <f t="shared" ca="1" si="11"/>
        <v>-15210652.38811085</v>
      </c>
      <c r="AI144" s="131">
        <f t="shared" si="12"/>
        <v>-79195762.031939805</v>
      </c>
      <c r="AJ144" s="31">
        <f t="shared" si="13"/>
        <v>141307.2635871605</v>
      </c>
    </row>
    <row r="145" spans="15:36">
      <c r="O145" s="15">
        <v>142</v>
      </c>
      <c r="P145" s="33">
        <v>3183585.1922321841</v>
      </c>
      <c r="Q145" s="33">
        <v>81956107.897366405</v>
      </c>
      <c r="R145" s="146">
        <v>-78772522.705134213</v>
      </c>
      <c r="S145" s="31">
        <v>60717.608705589257</v>
      </c>
      <c r="T145" s="31">
        <v>8831.4367357167939</v>
      </c>
      <c r="U145" s="142">
        <v>51886.171969872463</v>
      </c>
      <c r="AE145" s="137">
        <f t="shared" si="14"/>
        <v>0.88592912831232484</v>
      </c>
      <c r="AF145" s="131">
        <f t="shared" ca="1" si="10"/>
        <v>-98199955.557212904</v>
      </c>
      <c r="AG145" s="131">
        <f t="shared" ca="1" si="11"/>
        <v>-15095211.874255646</v>
      </c>
      <c r="AI145" s="131">
        <f t="shared" si="12"/>
        <v>-78772522.705134213</v>
      </c>
      <c r="AJ145" s="31">
        <f t="shared" si="13"/>
        <v>51886.171969872463</v>
      </c>
    </row>
    <row r="146" spans="15:36">
      <c r="O146" s="15">
        <v>143</v>
      </c>
      <c r="P146" s="33">
        <v>3276170.9119986426</v>
      </c>
      <c r="Q146" s="33">
        <v>76444680.835454538</v>
      </c>
      <c r="R146" s="146">
        <v>-73168509.923455894</v>
      </c>
      <c r="S146" s="31">
        <v>54471.074470299027</v>
      </c>
      <c r="T146" s="31">
        <v>16982.554698323955</v>
      </c>
      <c r="U146" s="142">
        <v>37488.519771975072</v>
      </c>
      <c r="AE146" s="137">
        <f t="shared" si="14"/>
        <v>0.89221231361950448</v>
      </c>
      <c r="AF146" s="131">
        <f t="shared" ca="1" si="10"/>
        <v>-98083501.602769479</v>
      </c>
      <c r="AG146" s="131">
        <f t="shared" ca="1" si="11"/>
        <v>-14979172.101995641</v>
      </c>
      <c r="AI146" s="131">
        <f t="shared" si="12"/>
        <v>-73168509.923455894</v>
      </c>
      <c r="AJ146" s="31">
        <f t="shared" si="13"/>
        <v>37488.519771975072</v>
      </c>
    </row>
    <row r="147" spans="15:36">
      <c r="O147" s="15">
        <v>144</v>
      </c>
      <c r="P147" s="33">
        <v>3801798.1422995138</v>
      </c>
      <c r="Q147" s="33">
        <v>101792142.55930023</v>
      </c>
      <c r="R147" s="146">
        <v>-97990344.417000711</v>
      </c>
      <c r="S147" s="31">
        <v>88819.131607408228</v>
      </c>
      <c r="T147" s="31">
        <v>12904.979703222005</v>
      </c>
      <c r="U147" s="142">
        <v>75914.151904186219</v>
      </c>
      <c r="AE147" s="137">
        <f t="shared" si="14"/>
        <v>0.89849549892668412</v>
      </c>
      <c r="AF147" s="131">
        <f t="shared" ca="1" si="10"/>
        <v>-97966456.185930952</v>
      </c>
      <c r="AG147" s="131">
        <f t="shared" ca="1" si="11"/>
        <v>-14862537.652382359</v>
      </c>
      <c r="AI147" s="131">
        <f t="shared" si="12"/>
        <v>-97990344.417000711</v>
      </c>
      <c r="AJ147" s="31">
        <f t="shared" si="13"/>
        <v>75914.151904186219</v>
      </c>
    </row>
    <row r="148" spans="15:36">
      <c r="O148" s="15">
        <v>145</v>
      </c>
      <c r="P148" s="33">
        <v>2971495.409924767</v>
      </c>
      <c r="Q148" s="33">
        <v>93916381.919259474</v>
      </c>
      <c r="R148" s="146">
        <v>-90944886.509334713</v>
      </c>
      <c r="S148" s="31">
        <v>58592.153535691847</v>
      </c>
      <c r="T148" s="31">
        <v>32902.833907517997</v>
      </c>
      <c r="U148" s="142">
        <v>25689.319628173849</v>
      </c>
      <c r="AE148" s="137">
        <f t="shared" si="14"/>
        <v>0.90477868423386376</v>
      </c>
      <c r="AF148" s="131">
        <f t="shared" ca="1" si="10"/>
        <v>-97848823.927449971</v>
      </c>
      <c r="AG148" s="131">
        <f t="shared" ca="1" si="11"/>
        <v>-14745313.129944153</v>
      </c>
      <c r="AI148" s="131">
        <f t="shared" si="12"/>
        <v>-90944886.509334713</v>
      </c>
      <c r="AJ148" s="31">
        <f t="shared" si="13"/>
        <v>25689.319628173849</v>
      </c>
    </row>
    <row r="149" spans="15:36">
      <c r="O149" s="15">
        <v>146</v>
      </c>
      <c r="P149" s="33">
        <v>3249978.2411673325</v>
      </c>
      <c r="Q149" s="33">
        <v>94533801.118160233</v>
      </c>
      <c r="R149" s="146">
        <v>-91283822.876992896</v>
      </c>
      <c r="S149" s="31">
        <v>70371.881651301737</v>
      </c>
      <c r="T149" s="31">
        <v>9344.1482836012437</v>
      </c>
      <c r="U149" s="142">
        <v>61027.733367700494</v>
      </c>
      <c r="AE149" s="137">
        <f t="shared" si="14"/>
        <v>0.9110618695410434</v>
      </c>
      <c r="AF149" s="131">
        <f t="shared" ca="1" si="10"/>
        <v>-97730609.471246675</v>
      </c>
      <c r="AG149" s="131">
        <f t="shared" ca="1" si="11"/>
        <v>-14627503.162504453</v>
      </c>
      <c r="AI149" s="131">
        <f t="shared" si="12"/>
        <v>-91283822.876992896</v>
      </c>
      <c r="AJ149" s="31">
        <f t="shared" si="13"/>
        <v>61027.733367700494</v>
      </c>
    </row>
    <row r="150" spans="15:36">
      <c r="O150" s="15">
        <v>147</v>
      </c>
      <c r="P150" s="33">
        <v>2900863.2951853015</v>
      </c>
      <c r="Q150" s="33">
        <v>72528115.616025329</v>
      </c>
      <c r="R150" s="146">
        <v>-69627252.320840031</v>
      </c>
      <c r="S150" s="31">
        <v>197142.95411297138</v>
      </c>
      <c r="T150" s="31">
        <v>6540.8814757825958</v>
      </c>
      <c r="U150" s="142">
        <v>190602.07263718877</v>
      </c>
      <c r="AE150" s="137">
        <f t="shared" si="14"/>
        <v>0.91734505484822304</v>
      </c>
      <c r="AF150" s="131">
        <f t="shared" ca="1" si="10"/>
        <v>-97611817.484225392</v>
      </c>
      <c r="AG150" s="131">
        <f t="shared" ca="1" si="11"/>
        <v>-14509112.400999051</v>
      </c>
      <c r="AI150" s="131">
        <f t="shared" si="12"/>
        <v>-69627252.320840031</v>
      </c>
      <c r="AJ150" s="31">
        <f t="shared" si="13"/>
        <v>190602.07263718877</v>
      </c>
    </row>
    <row r="151" spans="15:36">
      <c r="O151" s="15">
        <v>148</v>
      </c>
      <c r="P151" s="33">
        <v>3707842.3804490278</v>
      </c>
      <c r="Q151" s="33">
        <v>67744368.510252789</v>
      </c>
      <c r="R151" s="146">
        <v>-64036526.129803762</v>
      </c>
      <c r="S151" s="31">
        <v>63986.989569773243</v>
      </c>
      <c r="T151" s="31">
        <v>8161.5771861603516</v>
      </c>
      <c r="U151" s="142">
        <v>55825.412383612893</v>
      </c>
      <c r="AE151" s="137">
        <f t="shared" si="14"/>
        <v>0.92362824015540268</v>
      </c>
      <c r="AF151" s="131">
        <f t="shared" ca="1" si="10"/>
        <v>-97492452.656090349</v>
      </c>
      <c r="AG151" s="131">
        <f t="shared" ca="1" si="11"/>
        <v>-14390145.519292489</v>
      </c>
      <c r="AI151" s="131">
        <f t="shared" si="12"/>
        <v>-64036526.129803762</v>
      </c>
      <c r="AJ151" s="31">
        <f t="shared" si="13"/>
        <v>55825.412383612893</v>
      </c>
    </row>
    <row r="152" spans="15:36">
      <c r="O152" s="15">
        <v>149</v>
      </c>
      <c r="P152" s="33">
        <v>3120859.3634976796</v>
      </c>
      <c r="Q152" s="33">
        <v>81981892.40691933</v>
      </c>
      <c r="R152" s="146">
        <v>-78861033.043421656</v>
      </c>
      <c r="S152" s="31">
        <v>63638.176255128208</v>
      </c>
      <c r="T152" s="31">
        <v>7548.8197742133716</v>
      </c>
      <c r="U152" s="142">
        <v>56089.356480914837</v>
      </c>
      <c r="AE152" s="137">
        <f t="shared" si="14"/>
        <v>0.92991142546258232</v>
      </c>
      <c r="AF152" s="131">
        <f t="shared" ca="1" si="10"/>
        <v>-97372519.699160606</v>
      </c>
      <c r="AG152" s="131">
        <f t="shared" ca="1" si="11"/>
        <v>-14270607.213993562</v>
      </c>
      <c r="AI152" s="131">
        <f t="shared" si="12"/>
        <v>-78861033.043421656</v>
      </c>
      <c r="AJ152" s="31">
        <f t="shared" si="13"/>
        <v>56089.356480914837</v>
      </c>
    </row>
    <row r="153" spans="15:36">
      <c r="O153" s="15">
        <v>150</v>
      </c>
      <c r="P153" s="33">
        <v>3231901.6575407223</v>
      </c>
      <c r="Q153" s="33">
        <v>81879057.155927658</v>
      </c>
      <c r="R153" s="146">
        <v>-78647155.498386934</v>
      </c>
      <c r="S153" s="31">
        <v>107022.53938190402</v>
      </c>
      <c r="T153" s="31">
        <v>10167.006907302344</v>
      </c>
      <c r="U153" s="142">
        <v>96855.53247460167</v>
      </c>
      <c r="AE153" s="137">
        <f t="shared" si="14"/>
        <v>0.93619461076976196</v>
      </c>
      <c r="AF153" s="131">
        <f t="shared" ca="1" si="10"/>
        <v>-97252023.348183915</v>
      </c>
      <c r="AG153" s="131">
        <f t="shared" ca="1" si="11"/>
        <v>-14150502.204269871</v>
      </c>
      <c r="AI153" s="131">
        <f t="shared" si="12"/>
        <v>-78647155.498386934</v>
      </c>
      <c r="AJ153" s="31">
        <f t="shared" si="13"/>
        <v>96855.53247460167</v>
      </c>
    </row>
    <row r="154" spans="15:36">
      <c r="O154" s="15">
        <v>151</v>
      </c>
      <c r="P154" s="33">
        <v>3092996.8313760976</v>
      </c>
      <c r="Q154" s="33">
        <v>98451051.597382218</v>
      </c>
      <c r="R154" s="146">
        <v>-95358054.766006127</v>
      </c>
      <c r="S154" s="31">
        <v>54269.024421424358</v>
      </c>
      <c r="T154" s="31">
        <v>14195.882750377274</v>
      </c>
      <c r="U154" s="142">
        <v>40073.14167104708</v>
      </c>
      <c r="AE154" s="137">
        <f t="shared" si="14"/>
        <v>0.9424777960769416</v>
      </c>
      <c r="AF154" s="131">
        <f t="shared" ca="1" si="10"/>
        <v>-97130968.360149905</v>
      </c>
      <c r="AG154" s="131">
        <f t="shared" ca="1" si="11"/>
        <v>-14029835.231661553</v>
      </c>
      <c r="AI154" s="131">
        <f t="shared" si="12"/>
        <v>-95358054.766006127</v>
      </c>
      <c r="AJ154" s="31">
        <f t="shared" si="13"/>
        <v>40073.14167104708</v>
      </c>
    </row>
    <row r="155" spans="15:36">
      <c r="O155" s="15">
        <v>152</v>
      </c>
      <c r="P155" s="33">
        <v>3263453.3733161972</v>
      </c>
      <c r="Q155" s="33">
        <v>102368231.30543204</v>
      </c>
      <c r="R155" s="146">
        <v>-99104777.932115838</v>
      </c>
      <c r="S155" s="31">
        <v>36223.81011601659</v>
      </c>
      <c r="T155" s="31">
        <v>8437.5049924378091</v>
      </c>
      <c r="U155" s="142">
        <v>27786.305123578779</v>
      </c>
      <c r="AE155" s="137">
        <f t="shared" si="14"/>
        <v>0.94876098138412124</v>
      </c>
      <c r="AF155" s="131">
        <f t="shared" ca="1" si="10"/>
        <v>-97009359.514102206</v>
      </c>
      <c r="AG155" s="131">
        <f t="shared" ca="1" si="11"/>
        <v>-13908611.059894072</v>
      </c>
      <c r="AI155" s="131">
        <f t="shared" si="12"/>
        <v>-99104777.932115838</v>
      </c>
      <c r="AJ155" s="31">
        <f t="shared" si="13"/>
        <v>27786.305123578779</v>
      </c>
    </row>
    <row r="156" spans="15:36">
      <c r="O156" s="15">
        <v>153</v>
      </c>
      <c r="P156" s="33">
        <v>3290536.5338596595</v>
      </c>
      <c r="Q156" s="33">
        <v>75722159.556572661</v>
      </c>
      <c r="R156" s="146">
        <v>-72431623.022713006</v>
      </c>
      <c r="S156" s="31">
        <v>121736.82988064671</v>
      </c>
      <c r="T156" s="31">
        <v>15118.758149375704</v>
      </c>
      <c r="U156" s="142">
        <v>106618.071731271</v>
      </c>
      <c r="AE156" s="137">
        <f t="shared" si="14"/>
        <v>0.95504416669130088</v>
      </c>
      <c r="AF156" s="131">
        <f t="shared" ca="1" si="10"/>
        <v>-96887201.610949859</v>
      </c>
      <c r="AG156" s="131">
        <f t="shared" ca="1" si="11"/>
        <v>-13786834.474690152</v>
      </c>
      <c r="AI156" s="131">
        <f t="shared" si="12"/>
        <v>-72431623.022713006</v>
      </c>
      <c r="AJ156" s="31">
        <f t="shared" si="13"/>
        <v>106618.071731271</v>
      </c>
    </row>
    <row r="157" spans="15:36">
      <c r="O157" s="15">
        <v>154</v>
      </c>
      <c r="P157" s="33">
        <v>3852133.3148968462</v>
      </c>
      <c r="Q157" s="33">
        <v>103446670.43489474</v>
      </c>
      <c r="R157" s="146">
        <v>-99594537.119997889</v>
      </c>
      <c r="S157" s="31">
        <v>119052.88371286819</v>
      </c>
      <c r="T157" s="31">
        <v>11347.876066223829</v>
      </c>
      <c r="U157" s="142">
        <v>107705.00764664436</v>
      </c>
      <c r="AE157" s="137">
        <f t="shared" si="14"/>
        <v>0.96132735199848052</v>
      </c>
      <c r="AF157" s="131">
        <f t="shared" ca="1" si="10"/>
        <v>-96764499.473277688</v>
      </c>
      <c r="AG157" s="131">
        <f t="shared" ca="1" si="11"/>
        <v>-13664510.283580875</v>
      </c>
      <c r="AI157" s="131">
        <f t="shared" si="12"/>
        <v>-99594537.119997889</v>
      </c>
      <c r="AJ157" s="31">
        <f t="shared" si="13"/>
        <v>107705.00764664436</v>
      </c>
    </row>
    <row r="158" spans="15:36">
      <c r="O158" s="15">
        <v>155</v>
      </c>
      <c r="P158" s="33">
        <v>3316375.1342247459</v>
      </c>
      <c r="Q158" s="33">
        <v>65868027.705932178</v>
      </c>
      <c r="R158" s="146">
        <v>-62551652.571707435</v>
      </c>
      <c r="S158" s="31">
        <v>41859.872703399589</v>
      </c>
      <c r="T158" s="31">
        <v>17306.83339080093</v>
      </c>
      <c r="U158" s="142">
        <v>24553.039312598659</v>
      </c>
      <c r="AE158" s="137">
        <f t="shared" si="14"/>
        <v>0.96761053730566016</v>
      </c>
      <c r="AF158" s="131">
        <f t="shared" ca="1" si="10"/>
        <v>-96641257.945156008</v>
      </c>
      <c r="AG158" s="131">
        <f t="shared" ca="1" si="11"/>
        <v>-13541643.315715842</v>
      </c>
      <c r="AI158" s="131">
        <f t="shared" si="12"/>
        <v>-62551652.571707435</v>
      </c>
      <c r="AJ158" s="31">
        <f t="shared" si="13"/>
        <v>24553.039312598659</v>
      </c>
    </row>
    <row r="159" spans="15:36">
      <c r="O159" s="15">
        <v>156</v>
      </c>
      <c r="P159" s="33">
        <v>3992508.4245799053</v>
      </c>
      <c r="Q159" s="33">
        <v>83553123.432981342</v>
      </c>
      <c r="R159" s="146">
        <v>-79560615.008401439</v>
      </c>
      <c r="S159" s="31">
        <v>84123.981700706208</v>
      </c>
      <c r="T159" s="31">
        <v>6520.6570189845552</v>
      </c>
      <c r="U159" s="142">
        <v>77603.324681721657</v>
      </c>
      <c r="AE159" s="137">
        <f t="shared" si="14"/>
        <v>0.9738937226128398</v>
      </c>
      <c r="AF159" s="131">
        <f t="shared" ca="1" si="10"/>
        <v>-96517481.891949311</v>
      </c>
      <c r="AG159" s="131">
        <f t="shared" ca="1" si="11"/>
        <v>-13418238.421672571</v>
      </c>
      <c r="AI159" s="131">
        <f t="shared" si="12"/>
        <v>-79560615.008401439</v>
      </c>
      <c r="AJ159" s="31">
        <f t="shared" si="13"/>
        <v>77603.324681721657</v>
      </c>
    </row>
    <row r="160" spans="15:36">
      <c r="O160" s="15">
        <v>157</v>
      </c>
      <c r="P160" s="33">
        <v>3917126.81980763</v>
      </c>
      <c r="Q160" s="33">
        <v>87532166.703874201</v>
      </c>
      <c r="R160" s="146">
        <v>-83615039.884066567</v>
      </c>
      <c r="S160" s="31">
        <v>133180.51739621544</v>
      </c>
      <c r="T160" s="31">
        <v>6194.6105985643153</v>
      </c>
      <c r="U160" s="142">
        <v>126985.90679765111</v>
      </c>
      <c r="AE160" s="137">
        <f t="shared" si="14"/>
        <v>0.98017690792001944</v>
      </c>
      <c r="AF160" s="131">
        <f t="shared" ca="1" si="10"/>
        <v>-96393176.200124234</v>
      </c>
      <c r="AG160" s="131">
        <f t="shared" ca="1" si="11"/>
        <v>-13294300.47326497</v>
      </c>
      <c r="AI160" s="131">
        <f t="shared" si="12"/>
        <v>-83615039.884066567</v>
      </c>
      <c r="AJ160" s="31">
        <f t="shared" si="13"/>
        <v>126985.90679765111</v>
      </c>
    </row>
    <row r="161" spans="15:36">
      <c r="O161" s="15">
        <v>158</v>
      </c>
      <c r="P161" s="33">
        <v>2781909.0760110682</v>
      </c>
      <c r="Q161" s="33">
        <v>92514633.921940252</v>
      </c>
      <c r="R161" s="146">
        <v>-89732724.845929191</v>
      </c>
      <c r="S161" s="31">
        <v>65520.62762693371</v>
      </c>
      <c r="T161" s="31">
        <v>7490.0168915186505</v>
      </c>
      <c r="U161" s="142">
        <v>58030.610735415059</v>
      </c>
      <c r="AE161" s="137">
        <f t="shared" si="14"/>
        <v>0.98646009322719908</v>
      </c>
      <c r="AF161" s="131">
        <f t="shared" ca="1" si="10"/>
        <v>-96268345.777056679</v>
      </c>
      <c r="AG161" s="131">
        <f t="shared" ca="1" si="11"/>
        <v>-13169834.363351027</v>
      </c>
      <c r="AI161" s="131">
        <f t="shared" si="12"/>
        <v>-89732724.845929191</v>
      </c>
      <c r="AJ161" s="31">
        <f t="shared" si="13"/>
        <v>58030.610735415059</v>
      </c>
    </row>
    <row r="162" spans="15:36">
      <c r="O162" s="15">
        <v>159</v>
      </c>
      <c r="P162" s="33">
        <v>3291829.3770465087</v>
      </c>
      <c r="Q162" s="33">
        <v>89663043.552395776</v>
      </c>
      <c r="R162" s="146">
        <v>-86371214.175349265</v>
      </c>
      <c r="S162" s="31">
        <v>65422.568622520761</v>
      </c>
      <c r="T162" s="31">
        <v>7360.680085451726</v>
      </c>
      <c r="U162" s="142">
        <v>58061.888537069033</v>
      </c>
      <c r="AE162" s="137">
        <f t="shared" si="14"/>
        <v>0.99274327853437871</v>
      </c>
      <c r="AF162" s="131">
        <f t="shared" ca="1" si="10"/>
        <v>-96142995.550837964</v>
      </c>
      <c r="AG162" s="131">
        <f t="shared" ca="1" si="11"/>
        <v>-13044845.005639644</v>
      </c>
      <c r="AI162" s="131">
        <f t="shared" si="12"/>
        <v>-86371214.175349265</v>
      </c>
      <c r="AJ162" s="31">
        <f t="shared" si="13"/>
        <v>58061.888537069033</v>
      </c>
    </row>
    <row r="163" spans="15:36">
      <c r="O163" s="15">
        <v>160</v>
      </c>
      <c r="P163" s="33">
        <v>3226626.4200693206</v>
      </c>
      <c r="Q163" s="33">
        <v>88130669.624299943</v>
      </c>
      <c r="R163" s="146">
        <v>-84904043.204230621</v>
      </c>
      <c r="S163" s="31">
        <v>59536.154757629396</v>
      </c>
      <c r="T163" s="31">
        <v>21536.984983099996</v>
      </c>
      <c r="U163" s="142">
        <v>37999.1697745294</v>
      </c>
      <c r="AE163" s="137">
        <f t="shared" si="14"/>
        <v>0.99902646384155835</v>
      </c>
      <c r="AF163" s="131">
        <f t="shared" ca="1" si="10"/>
        <v>-96017130.470080405</v>
      </c>
      <c r="AG163" s="131">
        <f t="shared" ca="1" si="11"/>
        <v>-12919337.334496647</v>
      </c>
      <c r="AI163" s="131">
        <f t="shared" si="12"/>
        <v>-84904043.204230621</v>
      </c>
      <c r="AJ163" s="31">
        <f t="shared" si="13"/>
        <v>37999.1697745294</v>
      </c>
    </row>
    <row r="164" spans="15:36">
      <c r="O164" s="15">
        <v>161</v>
      </c>
      <c r="P164" s="33">
        <v>3618378.0895044357</v>
      </c>
      <c r="Q164" s="33">
        <v>85049648.490773484</v>
      </c>
      <c r="R164" s="146">
        <v>-81431270.401269048</v>
      </c>
      <c r="S164" s="31">
        <v>121302.12337156871</v>
      </c>
      <c r="T164" s="31">
        <v>14012.822682764487</v>
      </c>
      <c r="U164" s="142">
        <v>107289.30068880423</v>
      </c>
      <c r="AE164" s="137">
        <f t="shared" si="14"/>
        <v>1.0053096491487379</v>
      </c>
      <c r="AF164" s="131">
        <f t="shared" ca="1" si="10"/>
        <v>-95890755.503721893</v>
      </c>
      <c r="AG164" s="131">
        <f t="shared" ca="1" si="11"/>
        <v>-12793316.30474999</v>
      </c>
      <c r="AI164" s="131">
        <f t="shared" si="12"/>
        <v>-81431270.401269048</v>
      </c>
      <c r="AJ164" s="31">
        <f t="shared" si="13"/>
        <v>107289.30068880423</v>
      </c>
    </row>
    <row r="165" spans="15:36">
      <c r="O165" s="15">
        <v>162</v>
      </c>
      <c r="P165" s="33">
        <v>3324701.4448544495</v>
      </c>
      <c r="Q165" s="33">
        <v>87965610.057231039</v>
      </c>
      <c r="R165" s="146">
        <v>-84640908.612376586</v>
      </c>
      <c r="S165" s="31">
        <v>66655.620396828861</v>
      </c>
      <c r="T165" s="31">
        <v>6915.4745691880216</v>
      </c>
      <c r="U165" s="142">
        <v>59740.145827640838</v>
      </c>
      <c r="AE165" s="137">
        <f t="shared" si="14"/>
        <v>1.0115928344559175</v>
      </c>
      <c r="AF165" s="131">
        <f t="shared" ca="1" si="10"/>
        <v>-95763875.640829682</v>
      </c>
      <c r="AG165" s="131">
        <f t="shared" ca="1" si="11"/>
        <v>-12666786.891494142</v>
      </c>
      <c r="AI165" s="131">
        <f t="shared" si="12"/>
        <v>-84640908.612376586</v>
      </c>
      <c r="AJ165" s="31">
        <f t="shared" si="13"/>
        <v>59740.145827640838</v>
      </c>
    </row>
    <row r="166" spans="15:36">
      <c r="O166" s="15">
        <v>163</v>
      </c>
      <c r="P166" s="33">
        <v>3519200.819813712</v>
      </c>
      <c r="Q166" s="33">
        <v>82453175.79986167</v>
      </c>
      <c r="R166" s="146">
        <v>-78933974.980047956</v>
      </c>
      <c r="S166" s="31">
        <v>39590.868649131175</v>
      </c>
      <c r="T166" s="31">
        <v>10258.437027888105</v>
      </c>
      <c r="U166" s="142">
        <v>29332.431621243071</v>
      </c>
      <c r="AE166" s="137">
        <f t="shared" si="14"/>
        <v>1.0178760197630972</v>
      </c>
      <c r="AF166" s="131">
        <f t="shared" ca="1" si="10"/>
        <v>-95636495.890403509</v>
      </c>
      <c r="AG166" s="131">
        <f t="shared" ca="1" si="11"/>
        <v>-12539754.089893682</v>
      </c>
      <c r="AI166" s="131">
        <f t="shared" si="12"/>
        <v>-78933974.980047956</v>
      </c>
      <c r="AJ166" s="31">
        <f t="shared" si="13"/>
        <v>29332.431621243071</v>
      </c>
    </row>
    <row r="167" spans="15:36">
      <c r="O167" s="15">
        <v>164</v>
      </c>
      <c r="P167" s="33">
        <v>3501649.9043250824</v>
      </c>
      <c r="Q167" s="33">
        <v>91929097.521103188</v>
      </c>
      <c r="R167" s="146">
        <v>-88427447.616778105</v>
      </c>
      <c r="S167" s="31">
        <v>122764.16571529589</v>
      </c>
      <c r="T167" s="31">
        <v>4196.2138861425647</v>
      </c>
      <c r="U167" s="142">
        <v>118567.95182915333</v>
      </c>
      <c r="AE167" s="137">
        <f t="shared" si="14"/>
        <v>1.0241592050702768</v>
      </c>
      <c r="AF167" s="131">
        <f t="shared" ca="1" si="10"/>
        <v>-95508621.281177819</v>
      </c>
      <c r="AG167" s="131">
        <f t="shared" ca="1" si="11"/>
        <v>-12412222.914986107</v>
      </c>
      <c r="AI167" s="131">
        <f t="shared" si="12"/>
        <v>-88427447.616778105</v>
      </c>
      <c r="AJ167" s="31">
        <f t="shared" si="13"/>
        <v>118567.95182915333</v>
      </c>
    </row>
    <row r="168" spans="15:36">
      <c r="O168" s="15">
        <v>165</v>
      </c>
      <c r="P168" s="33">
        <v>4112159.3515917249</v>
      </c>
      <c r="Q168" s="33">
        <v>100008677.63015492</v>
      </c>
      <c r="R168" s="146">
        <v>-95896518.278563201</v>
      </c>
      <c r="S168" s="31">
        <v>52534.958625498686</v>
      </c>
      <c r="T168" s="31">
        <v>10037.587509749181</v>
      </c>
      <c r="U168" s="142">
        <v>42497.371115749505</v>
      </c>
      <c r="AE168" s="137">
        <f t="shared" si="14"/>
        <v>1.0304423903774564</v>
      </c>
      <c r="AF168" s="131">
        <f t="shared" ca="1" si="10"/>
        <v>-95380256.861423224</v>
      </c>
      <c r="AG168" s="131">
        <f t="shared" ca="1" si="11"/>
        <v>-12284198.401483836</v>
      </c>
      <c r="AI168" s="131">
        <f t="shared" si="12"/>
        <v>-95896518.278563201</v>
      </c>
      <c r="AJ168" s="31">
        <f t="shared" si="13"/>
        <v>42497.371115749505</v>
      </c>
    </row>
    <row r="169" spans="15:36">
      <c r="O169" s="15">
        <v>166</v>
      </c>
      <c r="P169" s="33">
        <v>3099112.2166509475</v>
      </c>
      <c r="Q169" s="33">
        <v>79485385.371041715</v>
      </c>
      <c r="R169" s="146">
        <v>-76386273.154390767</v>
      </c>
      <c r="S169" s="31">
        <v>78461.281645977608</v>
      </c>
      <c r="T169" s="31">
        <v>22696.240988692138</v>
      </c>
      <c r="U169" s="142">
        <v>55765.04065728547</v>
      </c>
      <c r="AE169" s="137">
        <f t="shared" si="14"/>
        <v>1.0367255756846361</v>
      </c>
      <c r="AF169" s="131">
        <f t="shared" ca="1" si="10"/>
        <v>-95251407.698747233</v>
      </c>
      <c r="AG169" s="131">
        <f t="shared" ca="1" si="11"/>
        <v>-12155685.603575444</v>
      </c>
      <c r="AI169" s="131">
        <f t="shared" si="12"/>
        <v>-76386273.154390767</v>
      </c>
      <c r="AJ169" s="31">
        <f t="shared" si="13"/>
        <v>55765.04065728547</v>
      </c>
    </row>
    <row r="170" spans="15:36">
      <c r="O170" s="15">
        <v>167</v>
      </c>
      <c r="P170" s="33">
        <v>3427278.636830972</v>
      </c>
      <c r="Q170" s="33">
        <v>98776654.813193187</v>
      </c>
      <c r="R170" s="146">
        <v>-95349376.176362216</v>
      </c>
      <c r="S170" s="31">
        <v>83371.773766112572</v>
      </c>
      <c r="T170" s="31">
        <v>7505.590676853195</v>
      </c>
      <c r="U170" s="142">
        <v>75866.183089259372</v>
      </c>
      <c r="AE170" s="137">
        <f t="shared" si="14"/>
        <v>1.0430087609918157</v>
      </c>
      <c r="AF170" s="131">
        <f t="shared" ca="1" si="10"/>
        <v>-95122078.879894152</v>
      </c>
      <c r="AG170" s="131">
        <f t="shared" ca="1" si="11"/>
        <v>-12026689.594726149</v>
      </c>
      <c r="AI170" s="131">
        <f t="shared" si="12"/>
        <v>-95349376.176362216</v>
      </c>
      <c r="AJ170" s="31">
        <f t="shared" si="13"/>
        <v>75866.183089259372</v>
      </c>
    </row>
    <row r="171" spans="15:36">
      <c r="O171" s="15">
        <v>168</v>
      </c>
      <c r="P171" s="33">
        <v>3456142.2047394216</v>
      </c>
      <c r="Q171" s="33">
        <v>89349876.940418676</v>
      </c>
      <c r="R171" s="146">
        <v>-85893734.735679254</v>
      </c>
      <c r="S171" s="31">
        <v>61517.139839386073</v>
      </c>
      <c r="T171" s="31">
        <v>9259.4841527550725</v>
      </c>
      <c r="U171" s="142">
        <v>52257.655686630998</v>
      </c>
      <c r="AE171" s="137">
        <f t="shared" si="14"/>
        <v>1.0492919462989954</v>
      </c>
      <c r="AF171" s="131">
        <f t="shared" ca="1" si="10"/>
        <v>-94992275.5105443</v>
      </c>
      <c r="AG171" s="131">
        <f t="shared" ca="1" si="11"/>
        <v>-11897215.467477499</v>
      </c>
      <c r="AI171" s="131">
        <f t="shared" si="12"/>
        <v>-85893734.735679254</v>
      </c>
      <c r="AJ171" s="31">
        <f t="shared" si="13"/>
        <v>52257.655686630998</v>
      </c>
    </row>
    <row r="172" spans="15:36">
      <c r="O172" s="15">
        <v>169</v>
      </c>
      <c r="P172" s="33">
        <v>3073905.7301197867</v>
      </c>
      <c r="Q172" s="33">
        <v>93717912.451502919</v>
      </c>
      <c r="R172" s="146">
        <v>-90644006.721383139</v>
      </c>
      <c r="S172" s="31">
        <v>116038.81126565101</v>
      </c>
      <c r="T172" s="31">
        <v>12515.276518539569</v>
      </c>
      <c r="U172" s="142">
        <v>103523.53474711144</v>
      </c>
      <c r="AE172" s="137">
        <f t="shared" si="14"/>
        <v>1.055575131606175</v>
      </c>
      <c r="AF172" s="131">
        <f t="shared" ca="1" si="10"/>
        <v>-94862002.715112448</v>
      </c>
      <c r="AG172" s="131">
        <f t="shared" ca="1" si="11"/>
        <v>-11767268.333246345</v>
      </c>
      <c r="AI172" s="131">
        <f t="shared" si="12"/>
        <v>-90644006.721383139</v>
      </c>
      <c r="AJ172" s="31">
        <f t="shared" si="13"/>
        <v>103523.53474711144</v>
      </c>
    </row>
    <row r="173" spans="15:36">
      <c r="O173" s="15">
        <v>170</v>
      </c>
      <c r="P173" s="33">
        <v>3828753.244364867</v>
      </c>
      <c r="Q173" s="33">
        <v>86902617.760808215</v>
      </c>
      <c r="R173" s="146">
        <v>-83073864.516443342</v>
      </c>
      <c r="S173" s="31">
        <v>113770.61232919799</v>
      </c>
      <c r="T173" s="31">
        <v>7291.7842341322203</v>
      </c>
      <c r="U173" s="142">
        <v>106478.82809506576</v>
      </c>
      <c r="AE173" s="137">
        <f t="shared" si="14"/>
        <v>1.0618583169133546</v>
      </c>
      <c r="AF173" s="131">
        <f t="shared" ca="1" si="10"/>
        <v>-94731265.636545494</v>
      </c>
      <c r="AG173" s="131">
        <f t="shared" ca="1" si="11"/>
        <v>-11636853.322123038</v>
      </c>
      <c r="AI173" s="131">
        <f t="shared" si="12"/>
        <v>-83073864.516443342</v>
      </c>
      <c r="AJ173" s="31">
        <f t="shared" si="13"/>
        <v>106478.82809506576</v>
      </c>
    </row>
    <row r="174" spans="15:36">
      <c r="O174" s="15">
        <v>171</v>
      </c>
      <c r="P174" s="33">
        <v>3339626.6201774436</v>
      </c>
      <c r="Q174" s="33">
        <v>87683577.099283263</v>
      </c>
      <c r="R174" s="146">
        <v>-84343950.479105815</v>
      </c>
      <c r="S174" s="31">
        <v>145756.7257610141</v>
      </c>
      <c r="T174" s="31">
        <v>9280.9062726142693</v>
      </c>
      <c r="U174" s="142">
        <v>136475.81948839984</v>
      </c>
      <c r="AE174" s="137">
        <f t="shared" si="14"/>
        <v>1.0681415022205343</v>
      </c>
      <c r="AF174" s="131">
        <f t="shared" ca="1" si="10"/>
        <v>-94600069.436119437</v>
      </c>
      <c r="AG174" s="131">
        <f t="shared" ca="1" si="11"/>
        <v>-11505975.582668914</v>
      </c>
      <c r="AI174" s="131">
        <f t="shared" si="12"/>
        <v>-84343950.479105815</v>
      </c>
      <c r="AJ174" s="31">
        <f t="shared" si="13"/>
        <v>136475.81948839984</v>
      </c>
    </row>
    <row r="175" spans="15:36">
      <c r="O175" s="15">
        <v>172</v>
      </c>
      <c r="P175" s="33">
        <v>2809545.5894938484</v>
      </c>
      <c r="Q175" s="33">
        <v>99889131.30291234</v>
      </c>
      <c r="R175" s="146">
        <v>-97079585.713418484</v>
      </c>
      <c r="S175" s="31">
        <v>39426.773308799107</v>
      </c>
      <c r="T175" s="31">
        <v>10907.057728930848</v>
      </c>
      <c r="U175" s="142">
        <v>28519.715579868258</v>
      </c>
      <c r="AE175" s="137">
        <f t="shared" si="14"/>
        <v>1.0744246875277139</v>
      </c>
      <c r="AF175" s="131">
        <f t="shared" ca="1" si="10"/>
        <v>-94468419.293235645</v>
      </c>
      <c r="AG175" s="131">
        <f t="shared" ca="1" si="11"/>
        <v>-11374640.281713029</v>
      </c>
      <c r="AI175" s="131">
        <f t="shared" si="12"/>
        <v>-97079585.713418484</v>
      </c>
      <c r="AJ175" s="31">
        <f t="shared" si="13"/>
        <v>28519.715579868258</v>
      </c>
    </row>
    <row r="176" spans="15:36">
      <c r="O176" s="15">
        <v>173</v>
      </c>
      <c r="P176" s="33">
        <v>3533799.6463060328</v>
      </c>
      <c r="Q176" s="33">
        <v>89582655.310816735</v>
      </c>
      <c r="R176" s="146">
        <v>-86048855.664510697</v>
      </c>
      <c r="S176" s="31">
        <v>114510.11680031562</v>
      </c>
      <c r="T176" s="31">
        <v>7149.4876143728243</v>
      </c>
      <c r="U176" s="142">
        <v>107360.6291859428</v>
      </c>
      <c r="AE176" s="137">
        <f t="shared" si="14"/>
        <v>1.0807078728348936</v>
      </c>
      <c r="AF176" s="131">
        <f t="shared" ca="1" si="10"/>
        <v>-94336320.405216306</v>
      </c>
      <c r="AG176" s="131">
        <f t="shared" ca="1" si="11"/>
        <v>-11242852.604148177</v>
      </c>
      <c r="AI176" s="131">
        <f t="shared" si="12"/>
        <v>-86048855.664510697</v>
      </c>
      <c r="AJ176" s="31">
        <f t="shared" si="13"/>
        <v>107360.6291859428</v>
      </c>
    </row>
    <row r="177" spans="15:36">
      <c r="O177" s="15">
        <v>174</v>
      </c>
      <c r="P177" s="33">
        <v>3329042.9353687684</v>
      </c>
      <c r="Q177" s="33">
        <v>94576145.949086711</v>
      </c>
      <c r="R177" s="146">
        <v>-91247103.013717949</v>
      </c>
      <c r="S177" s="31">
        <v>75477.858277432941</v>
      </c>
      <c r="T177" s="31">
        <v>11589.860872934181</v>
      </c>
      <c r="U177" s="142">
        <v>63887.997404498761</v>
      </c>
      <c r="AE177" s="137">
        <f t="shared" si="14"/>
        <v>1.0869910581420732</v>
      </c>
      <c r="AF177" s="131">
        <f t="shared" ca="1" si="10"/>
        <v>-94203777.987099364</v>
      </c>
      <c r="AG177" s="131">
        <f t="shared" ca="1" si="11"/>
        <v>-11110617.75272622</v>
      </c>
      <c r="AI177" s="131">
        <f t="shared" si="12"/>
        <v>-91247103.013717949</v>
      </c>
      <c r="AJ177" s="31">
        <f t="shared" si="13"/>
        <v>63887.997404498761</v>
      </c>
    </row>
    <row r="178" spans="15:36">
      <c r="O178" s="15">
        <v>175</v>
      </c>
      <c r="P178" s="33">
        <v>3382459.4864953035</v>
      </c>
      <c r="Q178" s="33">
        <v>81729652.553898826</v>
      </c>
      <c r="R178" s="146">
        <v>-78347193.067403525</v>
      </c>
      <c r="S178" s="31">
        <v>80848.346863160492</v>
      </c>
      <c r="T178" s="31">
        <v>5944.9649749199671</v>
      </c>
      <c r="U178" s="142">
        <v>74903.381888240518</v>
      </c>
      <c r="AE178" s="137">
        <f t="shared" si="14"/>
        <v>1.0932742434492528</v>
      </c>
      <c r="AF178" s="131">
        <f t="shared" ca="1" si="10"/>
        <v>-94070797.271432519</v>
      </c>
      <c r="AG178" s="131">
        <f t="shared" ca="1" si="11"/>
        <v>-10977940.947852664</v>
      </c>
      <c r="AI178" s="131">
        <f t="shared" si="12"/>
        <v>-78347193.067403525</v>
      </c>
      <c r="AJ178" s="31">
        <f t="shared" si="13"/>
        <v>74903.381888240518</v>
      </c>
    </row>
    <row r="179" spans="15:36">
      <c r="O179" s="15">
        <v>176</v>
      </c>
      <c r="P179" s="33">
        <v>3594901.4145632642</v>
      </c>
      <c r="Q179" s="33">
        <v>92556559.82647039</v>
      </c>
      <c r="R179" s="146">
        <v>-88961658.411907122</v>
      </c>
      <c r="S179" s="31">
        <v>59358.171484132952</v>
      </c>
      <c r="T179" s="31">
        <v>8282.8759692569347</v>
      </c>
      <c r="U179" s="142">
        <v>51075.295514876016</v>
      </c>
      <c r="AE179" s="137">
        <f t="shared" si="14"/>
        <v>1.0995574287564325</v>
      </c>
      <c r="AF179" s="131">
        <f t="shared" ca="1" si="10"/>
        <v>-93937383.508066729</v>
      </c>
      <c r="AG179" s="131">
        <f t="shared" ca="1" si="11"/>
        <v>-10844827.427380588</v>
      </c>
      <c r="AI179" s="131">
        <f t="shared" si="12"/>
        <v>-88961658.411907122</v>
      </c>
      <c r="AJ179" s="31">
        <f t="shared" si="13"/>
        <v>51075.295514876016</v>
      </c>
    </row>
    <row r="180" spans="15:36">
      <c r="O180" s="15">
        <v>177</v>
      </c>
      <c r="P180" s="33">
        <v>3619232.8293982809</v>
      </c>
      <c r="Q180" s="33">
        <v>91677520.185849607</v>
      </c>
      <c r="R180" s="146">
        <v>-88058287.356451333</v>
      </c>
      <c r="S180" s="31">
        <v>75287.167092644202</v>
      </c>
      <c r="T180" s="31">
        <v>17622.825413196009</v>
      </c>
      <c r="U180" s="142">
        <v>57664.341679448189</v>
      </c>
      <c r="AE180" s="137">
        <f t="shared" si="14"/>
        <v>1.1058406140636121</v>
      </c>
      <c r="AF180" s="131">
        <f t="shared" ca="1" si="10"/>
        <v>-93803541.96394892</v>
      </c>
      <c r="AG180" s="131">
        <f t="shared" ca="1" si="11"/>
        <v>-10711282.446403852</v>
      </c>
      <c r="AI180" s="131">
        <f t="shared" si="12"/>
        <v>-88058287.356451333</v>
      </c>
      <c r="AJ180" s="31">
        <f t="shared" si="13"/>
        <v>57664.341679448189</v>
      </c>
    </row>
    <row r="181" spans="15:36">
      <c r="O181" s="15">
        <v>178</v>
      </c>
      <c r="P181" s="33">
        <v>3678893.5286731459</v>
      </c>
      <c r="Q181" s="33">
        <v>86261908.077397972</v>
      </c>
      <c r="R181" s="146">
        <v>-82583014.54872483</v>
      </c>
      <c r="S181" s="31">
        <v>82116.139441439358</v>
      </c>
      <c r="T181" s="31">
        <v>6390.086511312451</v>
      </c>
      <c r="U181" s="142">
        <v>75726.052930126913</v>
      </c>
      <c r="AE181" s="137">
        <f t="shared" si="14"/>
        <v>1.1121237993707918</v>
      </c>
      <c r="AF181" s="131">
        <f t="shared" ca="1" si="10"/>
        <v>-93669277.922914088</v>
      </c>
      <c r="AG181" s="131">
        <f t="shared" ca="1" si="11"/>
        <v>-10577311.27704964</v>
      </c>
      <c r="AI181" s="131">
        <f t="shared" si="12"/>
        <v>-82583014.54872483</v>
      </c>
      <c r="AJ181" s="31">
        <f t="shared" si="13"/>
        <v>75726.052930126913</v>
      </c>
    </row>
    <row r="182" spans="15:36">
      <c r="O182" s="15">
        <v>179</v>
      </c>
      <c r="P182" s="33">
        <v>3367008.0527070961</v>
      </c>
      <c r="Q182" s="33">
        <v>81253648.288065806</v>
      </c>
      <c r="R182" s="146">
        <v>-77886640.235358715</v>
      </c>
      <c r="S182" s="31">
        <v>104118.71506511983</v>
      </c>
      <c r="T182" s="31">
        <v>6650.9162568621996</v>
      </c>
      <c r="U182" s="142">
        <v>97467.798808257634</v>
      </c>
      <c r="AE182" s="137">
        <f t="shared" si="14"/>
        <v>1.1184069846779714</v>
      </c>
      <c r="AF182" s="131">
        <f t="shared" ca="1" si="10"/>
        <v>-93534596.685476691</v>
      </c>
      <c r="AG182" s="131">
        <f t="shared" ca="1" si="11"/>
        <v>-10442919.208270324</v>
      </c>
      <c r="AI182" s="131">
        <f t="shared" si="12"/>
        <v>-77886640.235358715</v>
      </c>
      <c r="AJ182" s="31">
        <f t="shared" si="13"/>
        <v>97467.798808257634</v>
      </c>
    </row>
    <row r="183" spans="15:36">
      <c r="O183" s="15">
        <v>180</v>
      </c>
      <c r="P183" s="33">
        <v>3019698.4750173441</v>
      </c>
      <c r="Q183" s="33">
        <v>87663353.684702218</v>
      </c>
      <c r="R183" s="146">
        <v>-84643655.209684879</v>
      </c>
      <c r="S183" s="31">
        <v>236207.10528118053</v>
      </c>
      <c r="T183" s="31">
        <v>6947.58871226052</v>
      </c>
      <c r="U183" s="142">
        <v>229259.51656891999</v>
      </c>
      <c r="AE183" s="137">
        <f t="shared" si="14"/>
        <v>1.124690169985151</v>
      </c>
      <c r="AF183" s="131">
        <f t="shared" ca="1" si="10"/>
        <v>-93399503.568621352</v>
      </c>
      <c r="AG183" s="131">
        <f t="shared" ca="1" si="11"/>
        <v>-10308111.545634665</v>
      </c>
      <c r="AI183" s="131">
        <f t="shared" si="12"/>
        <v>-84643655.209684879</v>
      </c>
      <c r="AJ183" s="31">
        <f t="shared" si="13"/>
        <v>229259.51656891999</v>
      </c>
    </row>
    <row r="184" spans="15:36">
      <c r="O184" s="15">
        <v>181</v>
      </c>
      <c r="P184" s="33">
        <v>3671644.4797034292</v>
      </c>
      <c r="Q184" s="33">
        <v>83224825.190693274</v>
      </c>
      <c r="R184" s="146">
        <v>-79553180.710989848</v>
      </c>
      <c r="S184" s="31">
        <v>26466.326798238246</v>
      </c>
      <c r="T184" s="31">
        <v>11043.432582451858</v>
      </c>
      <c r="U184" s="142">
        <v>15422.894215786388</v>
      </c>
      <c r="AE184" s="137">
        <f t="shared" si="14"/>
        <v>1.1309733552923307</v>
      </c>
      <c r="AF184" s="131">
        <f t="shared" ca="1" si="10"/>
        <v>-93264003.905593008</v>
      </c>
      <c r="AG184" s="131">
        <f t="shared" ca="1" si="11"/>
        <v>-10172893.61111835</v>
      </c>
      <c r="AI184" s="131">
        <f t="shared" si="12"/>
        <v>-79553180.710989848</v>
      </c>
      <c r="AJ184" s="31">
        <f t="shared" si="13"/>
        <v>15422.894215786388</v>
      </c>
    </row>
    <row r="185" spans="15:36">
      <c r="O185" s="15">
        <v>182</v>
      </c>
      <c r="P185" s="33">
        <v>3436809.5267803101</v>
      </c>
      <c r="Q185" s="33">
        <v>71744163.303195968</v>
      </c>
      <c r="R185" s="146">
        <v>-68307353.776415661</v>
      </c>
      <c r="S185" s="31">
        <v>94542.624159994506</v>
      </c>
      <c r="T185" s="31">
        <v>19063.421626713654</v>
      </c>
      <c r="U185" s="142">
        <v>75479.202533280855</v>
      </c>
      <c r="AE185" s="137">
        <f t="shared" si="14"/>
        <v>1.1372565405995103</v>
      </c>
      <c r="AF185" s="131">
        <f t="shared" ca="1" si="10"/>
        <v>-93128103.045686364</v>
      </c>
      <c r="AG185" s="131">
        <f t="shared" ca="1" si="11"/>
        <v>-10037270.74289391</v>
      </c>
      <c r="AI185" s="131">
        <f t="shared" si="12"/>
        <v>-68307353.776415661</v>
      </c>
      <c r="AJ185" s="31">
        <f t="shared" si="13"/>
        <v>75479.202533280855</v>
      </c>
    </row>
    <row r="186" spans="15:36">
      <c r="O186" s="15">
        <v>183</v>
      </c>
      <c r="P186" s="33">
        <v>2988029.9171358305</v>
      </c>
      <c r="Q186" s="33">
        <v>86413581.347945258</v>
      </c>
      <c r="R186" s="146">
        <v>-83425551.430809423</v>
      </c>
      <c r="S186" s="31">
        <v>76470.924932810769</v>
      </c>
      <c r="T186" s="31">
        <v>5062.9791370509693</v>
      </c>
      <c r="U186" s="142">
        <v>71407.945795759806</v>
      </c>
      <c r="AE186" s="137">
        <f t="shared" si="14"/>
        <v>1.14353972590669</v>
      </c>
      <c r="AF186" s="131">
        <f t="shared" ca="1" si="10"/>
        <v>-92991806.354034647</v>
      </c>
      <c r="AG186" s="131">
        <f t="shared" ca="1" si="11"/>
        <v>-9901248.2951199524</v>
      </c>
      <c r="AI186" s="131">
        <f t="shared" si="12"/>
        <v>-83425551.430809423</v>
      </c>
      <c r="AJ186" s="31">
        <f t="shared" si="13"/>
        <v>71407.945795759806</v>
      </c>
    </row>
    <row r="187" spans="15:36">
      <c r="O187" s="15">
        <v>184</v>
      </c>
      <c r="P187" s="33">
        <v>3171262.6449813382</v>
      </c>
      <c r="Q187" s="33">
        <v>85848898.492651135</v>
      </c>
      <c r="R187" s="146">
        <v>-82677635.847669795</v>
      </c>
      <c r="S187" s="31">
        <v>74463.835216815438</v>
      </c>
      <c r="T187" s="31">
        <v>13308.896108907287</v>
      </c>
      <c r="U187" s="142">
        <v>61154.939107908154</v>
      </c>
      <c r="AE187" s="137">
        <f t="shared" si="14"/>
        <v>1.1498229112138696</v>
      </c>
      <c r="AF187" s="131">
        <f t="shared" ca="1" si="10"/>
        <v>-92855119.211397886</v>
      </c>
      <c r="AG187" s="131">
        <f t="shared" ca="1" si="11"/>
        <v>-9764831.6377298143</v>
      </c>
      <c r="AI187" s="131">
        <f t="shared" si="12"/>
        <v>-82677635.847669795</v>
      </c>
      <c r="AJ187" s="31">
        <f t="shared" si="13"/>
        <v>61154.939107908154</v>
      </c>
    </row>
    <row r="188" spans="15:36">
      <c r="O188" s="15">
        <v>185</v>
      </c>
      <c r="P188" s="33">
        <v>3639364.9552118005</v>
      </c>
      <c r="Q188" s="33">
        <v>99942730.760206357</v>
      </c>
      <c r="R188" s="146">
        <v>-96303365.804994553</v>
      </c>
      <c r="S188" s="31">
        <v>80235.84724230101</v>
      </c>
      <c r="T188" s="31">
        <v>18650.947166659134</v>
      </c>
      <c r="U188" s="142">
        <v>61584.900075641875</v>
      </c>
      <c r="AE188" s="137">
        <f t="shared" si="14"/>
        <v>1.1561060965210492</v>
      </c>
      <c r="AF188" s="131">
        <f t="shared" ca="1" si="10"/>
        <v>-92718047.013950393</v>
      </c>
      <c r="AG188" s="131">
        <f t="shared" ca="1" si="11"/>
        <v>-9628026.1562195439</v>
      </c>
      <c r="AI188" s="131">
        <f t="shared" si="12"/>
        <v>-96303365.804994553</v>
      </c>
      <c r="AJ188" s="31">
        <f t="shared" si="13"/>
        <v>61584.900075641875</v>
      </c>
    </row>
    <row r="189" spans="15:36">
      <c r="O189" s="15">
        <v>186</v>
      </c>
      <c r="P189" s="33">
        <v>3306702.9896656619</v>
      </c>
      <c r="Q189" s="33">
        <v>104559008.37631339</v>
      </c>
      <c r="R189" s="146">
        <v>-101252305.38664773</v>
      </c>
      <c r="S189" s="31">
        <v>45773.094325879312</v>
      </c>
      <c r="T189" s="31">
        <v>8085.4890350588284</v>
      </c>
      <c r="U189" s="142">
        <v>37687.605290820487</v>
      </c>
      <c r="AE189" s="137">
        <f t="shared" si="14"/>
        <v>1.1623892818282289</v>
      </c>
      <c r="AF189" s="131">
        <f t="shared" ca="1" si="10"/>
        <v>-92580595.173067853</v>
      </c>
      <c r="AG189" s="131">
        <f t="shared" ca="1" si="11"/>
        <v>-9490837.2514353022</v>
      </c>
      <c r="AI189" s="131">
        <f t="shared" si="12"/>
        <v>-101252305.38664773</v>
      </c>
      <c r="AJ189" s="31">
        <f t="shared" si="13"/>
        <v>37687.605290820487</v>
      </c>
    </row>
    <row r="190" spans="15:36">
      <c r="O190" s="15">
        <v>187</v>
      </c>
      <c r="P190" s="33">
        <v>3266359.2869624812</v>
      </c>
      <c r="Q190" s="33">
        <v>78459727.846029162</v>
      </c>
      <c r="R190" s="146">
        <v>-75193368.559066683</v>
      </c>
      <c r="S190" s="31">
        <v>111691.07798518836</v>
      </c>
      <c r="T190" s="31">
        <v>10564.318660894129</v>
      </c>
      <c r="U190" s="142">
        <v>101126.75932429422</v>
      </c>
      <c r="AE190" s="137">
        <f t="shared" si="14"/>
        <v>1.1686724671354085</v>
      </c>
      <c r="AF190" s="131">
        <f t="shared" ca="1" si="10"/>
        <v>-92442769.115113586</v>
      </c>
      <c r="AG190" s="131">
        <f t="shared" ca="1" si="11"/>
        <v>-9353270.3393601459</v>
      </c>
      <c r="AI190" s="131">
        <f t="shared" si="12"/>
        <v>-75193368.559066683</v>
      </c>
      <c r="AJ190" s="31">
        <f t="shared" si="13"/>
        <v>101126.75932429422</v>
      </c>
    </row>
    <row r="191" spans="15:36">
      <c r="O191" s="15">
        <v>188</v>
      </c>
      <c r="P191" s="33">
        <v>3005813.1207042444</v>
      </c>
      <c r="Q191" s="33">
        <v>78608004.104125232</v>
      </c>
      <c r="R191" s="146">
        <v>-75602190.983420983</v>
      </c>
      <c r="S191" s="31">
        <v>185033.98712529716</v>
      </c>
      <c r="T191" s="31">
        <v>4653.5406648690514</v>
      </c>
      <c r="U191" s="142">
        <v>180380.44646042812</v>
      </c>
      <c r="AE191" s="137">
        <f t="shared" si="14"/>
        <v>1.1749556524425881</v>
      </c>
      <c r="AF191" s="131">
        <f t="shared" ca="1" si="10"/>
        <v>-92304574.28122434</v>
      </c>
      <c r="AG191" s="131">
        <f t="shared" ca="1" si="11"/>
        <v>-9215330.8509002104</v>
      </c>
      <c r="AI191" s="131">
        <f t="shared" si="12"/>
        <v>-75602190.983420983</v>
      </c>
      <c r="AJ191" s="31">
        <f t="shared" si="13"/>
        <v>180380.44646042812</v>
      </c>
    </row>
    <row r="192" spans="15:36">
      <c r="O192" s="15">
        <v>189</v>
      </c>
      <c r="P192" s="33">
        <v>3536468.0530421496</v>
      </c>
      <c r="Q192" s="33">
        <v>76161984.56048885</v>
      </c>
      <c r="R192" s="146">
        <v>-72625516.507446706</v>
      </c>
      <c r="S192" s="31">
        <v>76067.673536553659</v>
      </c>
      <c r="T192" s="31">
        <v>6322.7638097651125</v>
      </c>
      <c r="U192" s="142">
        <v>69744.909726788552</v>
      </c>
      <c r="AE192" s="137">
        <f t="shared" si="14"/>
        <v>1.1812388377497678</v>
      </c>
      <c r="AF192" s="131">
        <f t="shared" ca="1" si="10"/>
        <v>-92166016.127095535</v>
      </c>
      <c r="AG192" s="131">
        <f t="shared" ca="1" si="11"/>
        <v>-9077024.2316703089</v>
      </c>
      <c r="AI192" s="131">
        <f t="shared" si="12"/>
        <v>-72625516.507446706</v>
      </c>
      <c r="AJ192" s="31">
        <f t="shared" si="13"/>
        <v>69744.909726788552</v>
      </c>
    </row>
    <row r="193" spans="15:36">
      <c r="O193" s="15">
        <v>190</v>
      </c>
      <c r="P193" s="33">
        <v>3739223.647837149</v>
      </c>
      <c r="Q193" s="33">
        <v>100194464.60917626</v>
      </c>
      <c r="R193" s="146">
        <v>-96455240.961339116</v>
      </c>
      <c r="S193" s="31">
        <v>194956.41743315975</v>
      </c>
      <c r="T193" s="31">
        <v>7240.4037475446166</v>
      </c>
      <c r="U193" s="142">
        <v>187716.01368561512</v>
      </c>
      <c r="AE193" s="137">
        <f t="shared" si="14"/>
        <v>1.1875220230569474</v>
      </c>
      <c r="AF193" s="131">
        <f t="shared" ca="1" si="10"/>
        <v>-92027100.122765869</v>
      </c>
      <c r="AG193" s="131">
        <f t="shared" ca="1" si="11"/>
        <v>-8938355.9417789523</v>
      </c>
      <c r="AI193" s="131">
        <f t="shared" si="12"/>
        <v>-96455240.961339116</v>
      </c>
      <c r="AJ193" s="31">
        <f t="shared" si="13"/>
        <v>187716.01368561512</v>
      </c>
    </row>
    <row r="194" spans="15:36">
      <c r="O194" s="15">
        <v>191</v>
      </c>
      <c r="P194" s="33">
        <v>3770328.4129035641</v>
      </c>
      <c r="Q194" s="33">
        <v>92839714.137641892</v>
      </c>
      <c r="R194" s="146">
        <v>-89069385.72473833</v>
      </c>
      <c r="S194" s="31">
        <v>54240.463561953395</v>
      </c>
      <c r="T194" s="31">
        <v>7447.0608284108257</v>
      </c>
      <c r="U194" s="142">
        <v>46793.402733542571</v>
      </c>
      <c r="AE194" s="137">
        <f t="shared" si="14"/>
        <v>1.1938052083641271</v>
      </c>
      <c r="AF194" s="131">
        <f t="shared" ca="1" si="10"/>
        <v>-91887831.752401307</v>
      </c>
      <c r="AG194" s="131">
        <f t="shared" ca="1" si="11"/>
        <v>-8799331.4556127861</v>
      </c>
      <c r="AI194" s="131">
        <f t="shared" si="12"/>
        <v>-89069385.72473833</v>
      </c>
      <c r="AJ194" s="31">
        <f t="shared" si="13"/>
        <v>46793.402733542571</v>
      </c>
    </row>
    <row r="195" spans="15:36">
      <c r="O195" s="15">
        <v>192</v>
      </c>
      <c r="P195" s="33">
        <v>3628131.2824738338</v>
      </c>
      <c r="Q195" s="33">
        <v>95380550.091647506</v>
      </c>
      <c r="R195" s="146">
        <v>-91752418.809173673</v>
      </c>
      <c r="S195" s="31">
        <v>133307.29497908204</v>
      </c>
      <c r="T195" s="31">
        <v>12068.475421794616</v>
      </c>
      <c r="U195" s="142">
        <v>121238.81955728742</v>
      </c>
      <c r="AE195" s="137">
        <f t="shared" si="14"/>
        <v>1.2000883936713067</v>
      </c>
      <c r="AF195" s="131">
        <f t="shared" ca="1" si="10"/>
        <v>-91748216.514078662</v>
      </c>
      <c r="AG195" s="131">
        <f t="shared" ca="1" si="11"/>
        <v>-8659956.2616204787</v>
      </c>
      <c r="AI195" s="131">
        <f t="shared" si="12"/>
        <v>-91752418.809173673</v>
      </c>
      <c r="AJ195" s="31">
        <f t="shared" si="13"/>
        <v>121238.81955728742</v>
      </c>
    </row>
    <row r="196" spans="15:36">
      <c r="O196" s="15">
        <v>193</v>
      </c>
      <c r="P196" s="33">
        <v>3330318.1211498976</v>
      </c>
      <c r="Q196" s="33">
        <v>91508986.39741382</v>
      </c>
      <c r="R196" s="146">
        <v>-88178668.276263922</v>
      </c>
      <c r="S196" s="31">
        <v>80342.452677870227</v>
      </c>
      <c r="T196" s="31">
        <v>14252.882441047395</v>
      </c>
      <c r="U196" s="142">
        <v>66089.570236822838</v>
      </c>
      <c r="AE196" s="137">
        <f t="shared" si="14"/>
        <v>1.2063715789784863</v>
      </c>
      <c r="AF196" s="131">
        <f t="shared" ca="1" si="10"/>
        <v>-91608259.919568479</v>
      </c>
      <c r="AG196" s="131">
        <f t="shared" ca="1" si="11"/>
        <v>-8520235.8620960359</v>
      </c>
      <c r="AI196" s="131">
        <f t="shared" si="12"/>
        <v>-88178668.276263922</v>
      </c>
      <c r="AJ196" s="31">
        <f t="shared" si="13"/>
        <v>66089.570236822838</v>
      </c>
    </row>
    <row r="197" spans="15:36">
      <c r="O197" s="15">
        <v>194</v>
      </c>
      <c r="P197" s="33">
        <v>3965388.7777070678</v>
      </c>
      <c r="Q197" s="33">
        <v>78790209.756467313</v>
      </c>
      <c r="R197" s="146">
        <v>-74824820.978760242</v>
      </c>
      <c r="S197" s="31">
        <v>95742.28511606509</v>
      </c>
      <c r="T197" s="31">
        <v>14342.498024954055</v>
      </c>
      <c r="U197" s="142">
        <v>81399.787091111037</v>
      </c>
      <c r="AE197" s="137">
        <f t="shared" si="14"/>
        <v>1.212654764285666</v>
      </c>
      <c r="AF197" s="131">
        <f t="shared" ref="AF197:AF260" ca="1" si="15">(AB$25*AC$19*COS(AE197)+AC$25*AC$20*SIN(AE197))+X$9</f>
        <v>-91467967.494117454</v>
      </c>
      <c r="AG197" s="131">
        <f t="shared" ref="AG197:AG260" ca="1" si="16">(AC$26*AC$19*COS(AE197)+AC$26*AC$20*SIN(AE197))+Y$9</f>
        <v>-8380175.7729615951</v>
      </c>
      <c r="AI197" s="131">
        <f t="shared" ref="AI197:AI260" si="17">R197</f>
        <v>-74824820.978760242</v>
      </c>
      <c r="AJ197" s="31">
        <f t="shared" ref="AJ197:AJ260" si="18">U197</f>
        <v>81399.787091111037</v>
      </c>
    </row>
    <row r="198" spans="15:36">
      <c r="O198" s="15">
        <v>195</v>
      </c>
      <c r="P198" s="33">
        <v>3476501.8889119918</v>
      </c>
      <c r="Q198" s="33">
        <v>87183746.847131982</v>
      </c>
      <c r="R198" s="146">
        <v>-83707244.95821999</v>
      </c>
      <c r="S198" s="31">
        <v>157033.01877479049</v>
      </c>
      <c r="T198" s="31">
        <v>7679.5184389382466</v>
      </c>
      <c r="U198" s="142">
        <v>149353.50033585224</v>
      </c>
      <c r="AE198" s="137">
        <f t="shared" si="14"/>
        <v>1.2189379495928456</v>
      </c>
      <c r="AF198" s="131">
        <f t="shared" ca="1" si="15"/>
        <v>-91327344.776230335</v>
      </c>
      <c r="AG198" s="131">
        <f t="shared" ca="1" si="16"/>
        <v>-8239781.5235496508</v>
      </c>
      <c r="AI198" s="131">
        <f t="shared" si="17"/>
        <v>-83707244.95821999</v>
      </c>
      <c r="AJ198" s="31">
        <f t="shared" si="18"/>
        <v>149353.50033585224</v>
      </c>
    </row>
    <row r="199" spans="15:36">
      <c r="O199" s="15">
        <v>196</v>
      </c>
      <c r="P199" s="33">
        <v>3326171.5814082148</v>
      </c>
      <c r="Q199" s="33">
        <v>76653889.912511006</v>
      </c>
      <c r="R199" s="146">
        <v>-73327718.331102788</v>
      </c>
      <c r="S199" s="31">
        <v>20846.293358342162</v>
      </c>
      <c r="T199" s="31">
        <v>24919.295641531673</v>
      </c>
      <c r="U199" s="142">
        <v>-4073.0022831895112</v>
      </c>
      <c r="AE199" s="137">
        <f t="shared" ref="AE199:AE262" si="19">AE198+AE$5</f>
        <v>1.2252211349000253</v>
      </c>
      <c r="AF199" s="131">
        <f t="shared" ca="1" si="15"/>
        <v>-91186397.317451239</v>
      </c>
      <c r="AG199" s="131">
        <f t="shared" ca="1" si="16"/>
        <v>-8099058.6563847782</v>
      </c>
      <c r="AI199" s="131">
        <f t="shared" si="17"/>
        <v>-73327718.331102788</v>
      </c>
      <c r="AJ199" s="31">
        <f t="shared" si="18"/>
        <v>-4073.0022831895112</v>
      </c>
    </row>
    <row r="200" spans="15:36">
      <c r="O200" s="15">
        <v>197</v>
      </c>
      <c r="P200" s="33">
        <v>3109932.6554406788</v>
      </c>
      <c r="Q200" s="33">
        <v>95815818.047929943</v>
      </c>
      <c r="R200" s="146">
        <v>-92705885.392489269</v>
      </c>
      <c r="S200" s="31">
        <v>63519.570005785194</v>
      </c>
      <c r="T200" s="31">
        <v>6369.1383695977729</v>
      </c>
      <c r="U200" s="142">
        <v>57150.431636187423</v>
      </c>
      <c r="AE200" s="137">
        <f t="shared" si="19"/>
        <v>1.2315043202072049</v>
      </c>
      <c r="AF200" s="131">
        <f t="shared" ca="1" si="15"/>
        <v>-91045130.682144493</v>
      </c>
      <c r="AG200" s="131">
        <f t="shared" ca="1" si="16"/>
        <v>-7958012.7269648155</v>
      </c>
      <c r="AI200" s="131">
        <f t="shared" si="17"/>
        <v>-92705885.392489269</v>
      </c>
      <c r="AJ200" s="31">
        <f t="shared" si="18"/>
        <v>57150.431636187423</v>
      </c>
    </row>
    <row r="201" spans="15:36">
      <c r="O201" s="15">
        <v>198</v>
      </c>
      <c r="P201" s="33">
        <v>3858927.4340285021</v>
      </c>
      <c r="Q201" s="33">
        <v>87917667.887261838</v>
      </c>
      <c r="R201" s="146">
        <v>-84058740.453233331</v>
      </c>
      <c r="S201" s="31">
        <v>120181.64095670707</v>
      </c>
      <c r="T201" s="31">
        <v>12767.135875297537</v>
      </c>
      <c r="U201" s="142">
        <v>107414.50508140953</v>
      </c>
      <c r="AE201" s="137">
        <f t="shared" si="19"/>
        <v>1.2377875055143845</v>
      </c>
      <c r="AF201" s="131">
        <f t="shared" ca="1" si="15"/>
        <v>-90903550.447274983</v>
      </c>
      <c r="AG201" s="131">
        <f t="shared" ca="1" si="16"/>
        <v>-7816649.3035415495</v>
      </c>
      <c r="AI201" s="131">
        <f t="shared" si="17"/>
        <v>-84058740.453233331</v>
      </c>
      <c r="AJ201" s="31">
        <f t="shared" si="18"/>
        <v>107414.50508140953</v>
      </c>
    </row>
    <row r="202" spans="15:36">
      <c r="O202" s="15">
        <v>199</v>
      </c>
      <c r="P202" s="33">
        <v>3191954.7475230936</v>
      </c>
      <c r="Q202" s="33">
        <v>81246454.626317039</v>
      </c>
      <c r="R202" s="146">
        <v>-78054499.87879394</v>
      </c>
      <c r="S202" s="31">
        <v>110392.31268253754</v>
      </c>
      <c r="T202" s="31">
        <v>6652.6079761113097</v>
      </c>
      <c r="U202" s="142">
        <v>103739.70470642623</v>
      </c>
      <c r="AE202" s="137">
        <f t="shared" si="19"/>
        <v>1.2440706908215642</v>
      </c>
      <c r="AF202" s="131">
        <f t="shared" ca="1" si="15"/>
        <v>-90761662.20218794</v>
      </c>
      <c r="AG202" s="131">
        <f t="shared" ca="1" si="16"/>
        <v>-7674973.9669008814</v>
      </c>
      <c r="AI202" s="131">
        <f t="shared" si="17"/>
        <v>-78054499.87879394</v>
      </c>
      <c r="AJ202" s="31">
        <f t="shared" si="18"/>
        <v>103739.70470642623</v>
      </c>
    </row>
    <row r="203" spans="15:36">
      <c r="O203" s="15">
        <v>200</v>
      </c>
      <c r="P203" s="33">
        <v>2984867.5175347081</v>
      </c>
      <c r="Q203" s="33">
        <v>68661141.600784153</v>
      </c>
      <c r="R203" s="146">
        <v>-65676274.083249442</v>
      </c>
      <c r="S203" s="31">
        <v>63486.589605205118</v>
      </c>
      <c r="T203" s="31">
        <v>11946.159330939327</v>
      </c>
      <c r="U203" s="142">
        <v>51540.430274265789</v>
      </c>
      <c r="AE203" s="137">
        <f t="shared" si="19"/>
        <v>1.2503538761287438</v>
      </c>
      <c r="AF203" s="131">
        <f t="shared" ca="1" si="15"/>
        <v>-90619471.548388347</v>
      </c>
      <c r="AG203" s="131">
        <f t="shared" ca="1" si="16"/>
        <v>-7532992.3101425152</v>
      </c>
      <c r="AI203" s="131">
        <f t="shared" si="17"/>
        <v>-65676274.083249442</v>
      </c>
      <c r="AJ203" s="31">
        <f t="shared" si="18"/>
        <v>51540.430274265789</v>
      </c>
    </row>
    <row r="204" spans="15:36">
      <c r="O204" s="15">
        <v>201</v>
      </c>
      <c r="P204" s="33">
        <v>4028719.0274316277</v>
      </c>
      <c r="Q204" s="33">
        <v>81031040.765000597</v>
      </c>
      <c r="R204" s="146">
        <v>-77002321.737568974</v>
      </c>
      <c r="S204" s="31">
        <v>76937.876405290794</v>
      </c>
      <c r="T204" s="31">
        <v>12596.754086468491</v>
      </c>
      <c r="U204" s="142">
        <v>64341.122318822301</v>
      </c>
      <c r="AE204" s="137">
        <f t="shared" si="19"/>
        <v>1.2566370614359235</v>
      </c>
      <c r="AF204" s="131">
        <f t="shared" ca="1" si="15"/>
        <v>-90476984.099319741</v>
      </c>
      <c r="AG204" s="131">
        <f t="shared" ca="1" si="16"/>
        <v>-7390709.9384591496</v>
      </c>
      <c r="AI204" s="131">
        <f t="shared" si="17"/>
        <v>-77002321.737568974</v>
      </c>
      <c r="AJ204" s="31">
        <f t="shared" si="18"/>
        <v>64341.122318822301</v>
      </c>
    </row>
    <row r="205" spans="15:36">
      <c r="O205" s="15">
        <v>202</v>
      </c>
      <c r="P205" s="33">
        <v>3355316.5834168042</v>
      </c>
      <c r="Q205" s="33">
        <v>104689385.18671583</v>
      </c>
      <c r="R205" s="146">
        <v>-101334068.60329902</v>
      </c>
      <c r="S205" s="31">
        <v>122306.72845128558</v>
      </c>
      <c r="T205" s="31">
        <v>18590.769339912935</v>
      </c>
      <c r="U205" s="142">
        <v>103715.95911137265</v>
      </c>
      <c r="AE205" s="137">
        <f t="shared" si="19"/>
        <v>1.2629202467431031</v>
      </c>
      <c r="AF205" s="131">
        <f t="shared" ca="1" si="15"/>
        <v>-90334205.480142623</v>
      </c>
      <c r="AG205" s="131">
        <f t="shared" ca="1" si="16"/>
        <v>-7248132.4689151915</v>
      </c>
      <c r="AI205" s="131">
        <f t="shared" si="17"/>
        <v>-101334068.60329902</v>
      </c>
      <c r="AJ205" s="31">
        <f t="shared" si="18"/>
        <v>103715.95911137265</v>
      </c>
    </row>
    <row r="206" spans="15:36">
      <c r="O206" s="15">
        <v>203</v>
      </c>
      <c r="P206" s="33">
        <v>3622868.0706127398</v>
      </c>
      <c r="Q206" s="33">
        <v>69507306.043484107</v>
      </c>
      <c r="R206" s="146">
        <v>-65884437.972871363</v>
      </c>
      <c r="S206" s="31">
        <v>85733.184906247378</v>
      </c>
      <c r="T206" s="31">
        <v>10692.777654966225</v>
      </c>
      <c r="U206" s="142">
        <v>75040.407251281154</v>
      </c>
      <c r="AE206" s="137">
        <f t="shared" si="19"/>
        <v>1.2692034320502827</v>
      </c>
      <c r="AF206" s="131">
        <f t="shared" ca="1" si="15"/>
        <v>-90191141.327512398</v>
      </c>
      <c r="AG206" s="131">
        <f t="shared" ca="1" si="16"/>
        <v>-7105265.530225005</v>
      </c>
      <c r="AI206" s="131">
        <f t="shared" si="17"/>
        <v>-65884437.972871363</v>
      </c>
      <c r="AJ206" s="31">
        <f t="shared" si="18"/>
        <v>75040.407251281154</v>
      </c>
    </row>
    <row r="207" spans="15:36">
      <c r="O207" s="15">
        <v>204</v>
      </c>
      <c r="P207" s="33">
        <v>3313826.9681586553</v>
      </c>
      <c r="Q207" s="33">
        <v>89029343.265129805</v>
      </c>
      <c r="R207" s="146">
        <v>-85715516.296971142</v>
      </c>
      <c r="S207" s="31">
        <v>28225.821267405656</v>
      </c>
      <c r="T207" s="31">
        <v>5070.187468495471</v>
      </c>
      <c r="U207" s="142">
        <v>23155.633798910185</v>
      </c>
      <c r="AE207" s="137">
        <f t="shared" si="19"/>
        <v>1.2754866173574624</v>
      </c>
      <c r="AF207" s="131">
        <f t="shared" ca="1" si="15"/>
        <v>-90047797.289356872</v>
      </c>
      <c r="AG207" s="131">
        <f t="shared" ca="1" si="16"/>
        <v>-6962114.762530705</v>
      </c>
      <c r="AI207" s="131">
        <f t="shared" si="17"/>
        <v>-85715516.296971142</v>
      </c>
      <c r="AJ207" s="31">
        <f t="shared" si="18"/>
        <v>23155.633798910185</v>
      </c>
    </row>
    <row r="208" spans="15:36">
      <c r="O208" s="15">
        <v>205</v>
      </c>
      <c r="P208" s="33">
        <v>2851260.1348262043</v>
      </c>
      <c r="Q208" s="33">
        <v>89467195.627159849</v>
      </c>
      <c r="R208" s="146">
        <v>-86615935.492333651</v>
      </c>
      <c r="S208" s="31">
        <v>180148.19896378522</v>
      </c>
      <c r="T208" s="31">
        <v>11661.895318600475</v>
      </c>
      <c r="U208" s="142">
        <v>168486.30364518476</v>
      </c>
      <c r="AE208" s="137">
        <f t="shared" si="19"/>
        <v>1.281769802664642</v>
      </c>
      <c r="AF208" s="131">
        <f t="shared" ca="1" si="15"/>
        <v>-89904179.024653211</v>
      </c>
      <c r="AG208" s="131">
        <f t="shared" ca="1" si="16"/>
        <v>-6818685.8171794852</v>
      </c>
      <c r="AI208" s="131">
        <f t="shared" si="17"/>
        <v>-86615935.492333651</v>
      </c>
      <c r="AJ208" s="31">
        <f t="shared" si="18"/>
        <v>168486.30364518476</v>
      </c>
    </row>
    <row r="209" spans="15:36">
      <c r="O209" s="15">
        <v>206</v>
      </c>
      <c r="P209" s="33">
        <v>3722122.8317073807</v>
      </c>
      <c r="Q209" s="33">
        <v>87395232.55753997</v>
      </c>
      <c r="R209" s="146">
        <v>-83673109.725832582</v>
      </c>
      <c r="S209" s="31">
        <v>72600.989642762157</v>
      </c>
      <c r="T209" s="31">
        <v>7578.856729021184</v>
      </c>
      <c r="U209" s="142">
        <v>65022.13291374097</v>
      </c>
      <c r="AE209" s="137">
        <f t="shared" si="19"/>
        <v>1.2880529879718217</v>
      </c>
      <c r="AF209" s="131">
        <f t="shared" ca="1" si="15"/>
        <v>-89760292.203204587</v>
      </c>
      <c r="AG209" s="131">
        <f t="shared" ca="1" si="16"/>
        <v>-6674984.3565005185</v>
      </c>
      <c r="AI209" s="131">
        <f t="shared" si="17"/>
        <v>-83673109.725832582</v>
      </c>
      <c r="AJ209" s="31">
        <f t="shared" si="18"/>
        <v>65022.13291374097</v>
      </c>
    </row>
    <row r="210" spans="15:36">
      <c r="O210" s="15">
        <v>207</v>
      </c>
      <c r="P210" s="33">
        <v>3070843.2994707078</v>
      </c>
      <c r="Q210" s="33">
        <v>105345523.26963225</v>
      </c>
      <c r="R210" s="146">
        <v>-102274679.97016154</v>
      </c>
      <c r="S210" s="31">
        <v>63706.299765827236</v>
      </c>
      <c r="T210" s="31">
        <v>26173.296045620169</v>
      </c>
      <c r="U210" s="142">
        <v>37533.003720207067</v>
      </c>
      <c r="AE210" s="137">
        <f t="shared" si="19"/>
        <v>1.2943361732790013</v>
      </c>
      <c r="AF210" s="131">
        <f t="shared" ca="1" si="15"/>
        <v>-89616142.505416349</v>
      </c>
      <c r="AG210" s="131">
        <f t="shared" ca="1" si="16"/>
        <v>-6531016.0535814166</v>
      </c>
      <c r="AI210" s="131">
        <f t="shared" si="17"/>
        <v>-102274679.97016154</v>
      </c>
      <c r="AJ210" s="31">
        <f t="shared" si="18"/>
        <v>37533.003720207067</v>
      </c>
    </row>
    <row r="211" spans="15:36">
      <c r="O211" s="15">
        <v>208</v>
      </c>
      <c r="P211" s="33">
        <v>3378684.3959878008</v>
      </c>
      <c r="Q211" s="33">
        <v>93675794.004904836</v>
      </c>
      <c r="R211" s="146">
        <v>-90297109.608917043</v>
      </c>
      <c r="S211" s="31">
        <v>68609.144064665044</v>
      </c>
      <c r="T211" s="31">
        <v>10543.230784555048</v>
      </c>
      <c r="U211" s="142">
        <v>58065.913280109999</v>
      </c>
      <c r="AE211" s="137">
        <f t="shared" si="19"/>
        <v>1.3006193585861809</v>
      </c>
      <c r="AF211" s="131">
        <f t="shared" ca="1" si="15"/>
        <v>-89471735.622071743</v>
      </c>
      <c r="AG211" s="131">
        <f t="shared" ca="1" si="16"/>
        <v>-6386786.592044265</v>
      </c>
      <c r="AI211" s="131">
        <f t="shared" si="17"/>
        <v>-90297109.608917043</v>
      </c>
      <c r="AJ211" s="31">
        <f t="shared" si="18"/>
        <v>58065.913280109999</v>
      </c>
    </row>
    <row r="212" spans="15:36">
      <c r="O212" s="15">
        <v>209</v>
      </c>
      <c r="P212" s="33">
        <v>3094343.636427653</v>
      </c>
      <c r="Q212" s="33">
        <v>88188536.146892607</v>
      </c>
      <c r="R212" s="146">
        <v>-85094192.510464951</v>
      </c>
      <c r="S212" s="31">
        <v>80718.049040316648</v>
      </c>
      <c r="T212" s="31">
        <v>6076.1347442480255</v>
      </c>
      <c r="U212" s="142">
        <v>74641.914296068629</v>
      </c>
      <c r="AE212" s="137">
        <f t="shared" si="19"/>
        <v>1.3069025438933606</v>
      </c>
      <c r="AF212" s="131">
        <f t="shared" ca="1" si="15"/>
        <v>-89327077.254107237</v>
      </c>
      <c r="AG212" s="131">
        <f t="shared" ca="1" si="16"/>
        <v>-6242301.6658212449</v>
      </c>
      <c r="AI212" s="131">
        <f t="shared" si="17"/>
        <v>-85094192.510464951</v>
      </c>
      <c r="AJ212" s="31">
        <f t="shared" si="18"/>
        <v>74641.914296068629</v>
      </c>
    </row>
    <row r="213" spans="15:36">
      <c r="O213" s="15">
        <v>210</v>
      </c>
      <c r="P213" s="33">
        <v>3302563.3870217013</v>
      </c>
      <c r="Q213" s="33">
        <v>81315014.217298344</v>
      </c>
      <c r="R213" s="146">
        <v>-78012450.830276638</v>
      </c>
      <c r="S213" s="31">
        <v>122492.11254307273</v>
      </c>
      <c r="T213" s="31">
        <v>4995.9013883239131</v>
      </c>
      <c r="U213" s="142">
        <v>117496.21115474882</v>
      </c>
      <c r="AE213" s="137">
        <f t="shared" si="19"/>
        <v>1.3131857292005402</v>
      </c>
      <c r="AF213" s="131">
        <f t="shared" ca="1" si="15"/>
        <v>-89182173.112387538</v>
      </c>
      <c r="AG213" s="131">
        <f t="shared" ca="1" si="16"/>
        <v>-6097566.9789298465</v>
      </c>
      <c r="AI213" s="131">
        <f t="shared" si="17"/>
        <v>-78012450.830276638</v>
      </c>
      <c r="AJ213" s="31">
        <f t="shared" si="18"/>
        <v>117496.21115474882</v>
      </c>
    </row>
    <row r="214" spans="15:36">
      <c r="O214" s="15">
        <v>211</v>
      </c>
      <c r="P214" s="33">
        <v>3674133.6910550739</v>
      </c>
      <c r="Q214" s="33">
        <v>91232287.672966689</v>
      </c>
      <c r="R214" s="146">
        <v>-87558153.981911615</v>
      </c>
      <c r="S214" s="31">
        <v>97874.452859572877</v>
      </c>
      <c r="T214" s="31">
        <v>9717.7728991622898</v>
      </c>
      <c r="U214" s="142">
        <v>88156.679960410591</v>
      </c>
      <c r="AE214" s="137">
        <f t="shared" si="19"/>
        <v>1.3194689145077199</v>
      </c>
      <c r="AF214" s="131">
        <f t="shared" ca="1" si="15"/>
        <v>-89037028.917480007</v>
      </c>
      <c r="AG214" s="131">
        <f t="shared" ca="1" si="16"/>
        <v>-5952588.2452476826</v>
      </c>
      <c r="AI214" s="131">
        <f t="shared" si="17"/>
        <v>-87558153.981911615</v>
      </c>
      <c r="AJ214" s="31">
        <f t="shared" si="18"/>
        <v>88156.679960410591</v>
      </c>
    </row>
    <row r="215" spans="15:36">
      <c r="O215" s="15">
        <v>212</v>
      </c>
      <c r="P215" s="33">
        <v>3113738.7258308851</v>
      </c>
      <c r="Q215" s="33">
        <v>81730155.576879874</v>
      </c>
      <c r="R215" s="146">
        <v>-78616416.851048991</v>
      </c>
      <c r="S215" s="31">
        <v>48299.575825776701</v>
      </c>
      <c r="T215" s="31">
        <v>6583.975688598628</v>
      </c>
      <c r="U215" s="142">
        <v>41715.600137178073</v>
      </c>
      <c r="AE215" s="137">
        <f t="shared" si="19"/>
        <v>1.3257520998148995</v>
      </c>
      <c r="AF215" s="131">
        <f t="shared" ca="1" si="15"/>
        <v>-88891650.399428964</v>
      </c>
      <c r="AG215" s="131">
        <f t="shared" ca="1" si="16"/>
        <v>-5807371.1882869145</v>
      </c>
      <c r="AI215" s="131">
        <f t="shared" si="17"/>
        <v>-78616416.851048991</v>
      </c>
      <c r="AJ215" s="31">
        <f t="shared" si="18"/>
        <v>41715.600137178073</v>
      </c>
    </row>
    <row r="216" spans="15:36">
      <c r="O216" s="15">
        <v>213</v>
      </c>
      <c r="P216" s="33">
        <v>3230990.5148776071</v>
      </c>
      <c r="Q216" s="33">
        <v>91437301.410790578</v>
      </c>
      <c r="R216" s="146">
        <v>-88206310.895912975</v>
      </c>
      <c r="S216" s="31">
        <v>109442.17078865075</v>
      </c>
      <c r="T216" s="31">
        <v>19289.16578433615</v>
      </c>
      <c r="U216" s="142">
        <v>90153.005004314604</v>
      </c>
      <c r="AE216" s="137">
        <f t="shared" si="19"/>
        <v>1.3320352851220791</v>
      </c>
      <c r="AF216" s="131">
        <f t="shared" ca="1" si="15"/>
        <v>-88746043.297529355</v>
      </c>
      <c r="AG216" s="131">
        <f t="shared" ca="1" si="16"/>
        <v>-5661921.5409683008</v>
      </c>
      <c r="AI216" s="131">
        <f t="shared" si="17"/>
        <v>-88206310.895912975</v>
      </c>
      <c r="AJ216" s="31">
        <f t="shared" si="18"/>
        <v>90153.005004314604</v>
      </c>
    </row>
    <row r="217" spans="15:36">
      <c r="O217" s="15">
        <v>214</v>
      </c>
      <c r="P217" s="33">
        <v>3487604.3281186232</v>
      </c>
      <c r="Q217" s="33">
        <v>98999159.522256821</v>
      </c>
      <c r="R217" s="146">
        <v>-95511555.194138199</v>
      </c>
      <c r="S217" s="31">
        <v>49095.945936376935</v>
      </c>
      <c r="T217" s="31">
        <v>5849.2511446537219</v>
      </c>
      <c r="U217" s="142">
        <v>43246.69479172321</v>
      </c>
      <c r="AE217" s="137">
        <f t="shared" si="19"/>
        <v>1.3383184704292588</v>
      </c>
      <c r="AF217" s="131">
        <f t="shared" ca="1" si="15"/>
        <v>-88600213.360100254</v>
      </c>
      <c r="AG217" s="131">
        <f t="shared" ca="1" si="16"/>
        <v>-5516245.0453948667</v>
      </c>
      <c r="AI217" s="131">
        <f t="shared" si="17"/>
        <v>-95511555.194138199</v>
      </c>
      <c r="AJ217" s="31">
        <f t="shared" si="18"/>
        <v>43246.69479172321</v>
      </c>
    </row>
    <row r="218" spans="15:36">
      <c r="O218" s="15">
        <v>215</v>
      </c>
      <c r="P218" s="33">
        <v>3360637.7175706737</v>
      </c>
      <c r="Q218" s="33">
        <v>97689081.825964615</v>
      </c>
      <c r="R218" s="146">
        <v>-94328444.108393937</v>
      </c>
      <c r="S218" s="31">
        <v>114375.919974365</v>
      </c>
      <c r="T218" s="31">
        <v>7233.0562083227915</v>
      </c>
      <c r="U218" s="142">
        <v>107142.86376604221</v>
      </c>
      <c r="AE218" s="137">
        <f t="shared" si="19"/>
        <v>1.3446016557364384</v>
      </c>
      <c r="AF218" s="131">
        <f t="shared" ca="1" si="15"/>
        <v>-88454166.344257891</v>
      </c>
      <c r="AG218" s="131">
        <f t="shared" ca="1" si="16"/>
        <v>-5370347.4526252206</v>
      </c>
      <c r="AI218" s="131">
        <f t="shared" si="17"/>
        <v>-94328444.108393937</v>
      </c>
      <c r="AJ218" s="31">
        <f t="shared" si="18"/>
        <v>107142.86376604221</v>
      </c>
    </row>
    <row r="219" spans="15:36">
      <c r="O219" s="15">
        <v>216</v>
      </c>
      <c r="P219" s="33">
        <v>2989985.9838960334</v>
      </c>
      <c r="Q219" s="33">
        <v>90409068.306004986</v>
      </c>
      <c r="R219" s="146">
        <v>-87419082.322108954</v>
      </c>
      <c r="S219" s="31">
        <v>36540.419630885473</v>
      </c>
      <c r="T219" s="31">
        <v>17729.921792453482</v>
      </c>
      <c r="U219" s="142">
        <v>18810.497838431991</v>
      </c>
      <c r="AE219" s="137">
        <f t="shared" si="19"/>
        <v>1.3508848410436181</v>
      </c>
      <c r="AF219" s="131">
        <f t="shared" ca="1" si="15"/>
        <v>-88307908.015688375</v>
      </c>
      <c r="AG219" s="131">
        <f t="shared" ca="1" si="16"/>
        <v>-5224234.5224465076</v>
      </c>
      <c r="AI219" s="131">
        <f t="shared" si="17"/>
        <v>-87419082.322108954</v>
      </c>
      <c r="AJ219" s="31">
        <f t="shared" si="18"/>
        <v>18810.497838431991</v>
      </c>
    </row>
    <row r="220" spans="15:36">
      <c r="O220" s="15">
        <v>217</v>
      </c>
      <c r="P220" s="33">
        <v>3601862.7140000053</v>
      </c>
      <c r="Q220" s="33">
        <v>86951300.372045994</v>
      </c>
      <c r="R220" s="146">
        <v>-83349437.658045992</v>
      </c>
      <c r="S220" s="31">
        <v>88689.117420408176</v>
      </c>
      <c r="T220" s="31">
        <v>16514.8399305247</v>
      </c>
      <c r="U220" s="142">
        <v>72174.277489883476</v>
      </c>
      <c r="AE220" s="137">
        <f t="shared" si="19"/>
        <v>1.3571680263507977</v>
      </c>
      <c r="AF220" s="131">
        <f t="shared" ca="1" si="15"/>
        <v>-88161444.148420081</v>
      </c>
      <c r="AG220" s="131">
        <f t="shared" ca="1" si="16"/>
        <v>-5077912.0231470251</v>
      </c>
      <c r="AI220" s="131">
        <f t="shared" si="17"/>
        <v>-83349437.658045992</v>
      </c>
      <c r="AJ220" s="31">
        <f t="shared" si="18"/>
        <v>72174.277489883476</v>
      </c>
    </row>
    <row r="221" spans="15:36">
      <c r="O221" s="15">
        <v>218</v>
      </c>
      <c r="P221" s="33">
        <v>3037605.3367046183</v>
      </c>
      <c r="Q221" s="33">
        <v>102819282.54867874</v>
      </c>
      <c r="R221" s="146">
        <v>-99781677.211974129</v>
      </c>
      <c r="S221" s="31">
        <v>50217.585052606206</v>
      </c>
      <c r="T221" s="31">
        <v>13432.482522473314</v>
      </c>
      <c r="U221" s="142">
        <v>36785.102530132892</v>
      </c>
      <c r="AE221" s="137">
        <f t="shared" si="19"/>
        <v>1.3634512116579773</v>
      </c>
      <c r="AF221" s="131">
        <f t="shared" ca="1" si="15"/>
        <v>-88014780.524595693</v>
      </c>
      <c r="AG221" s="131">
        <f t="shared" ca="1" si="16"/>
        <v>-4931385.7312885039</v>
      </c>
      <c r="AI221" s="131">
        <f t="shared" si="17"/>
        <v>-99781677.211974129</v>
      </c>
      <c r="AJ221" s="31">
        <f t="shared" si="18"/>
        <v>36785.102530132892</v>
      </c>
    </row>
    <row r="222" spans="15:36">
      <c r="O222" s="15">
        <v>219</v>
      </c>
      <c r="P222" s="33">
        <v>3355868.4049672447</v>
      </c>
      <c r="Q222" s="33">
        <v>82733430.695202872</v>
      </c>
      <c r="R222" s="146">
        <v>-79377562.290235624</v>
      </c>
      <c r="S222" s="31">
        <v>20616.768970249403</v>
      </c>
      <c r="T222" s="31">
        <v>19159.148442888025</v>
      </c>
      <c r="U222" s="142">
        <v>1457.6205273613778</v>
      </c>
      <c r="AE222" s="137">
        <f t="shared" si="19"/>
        <v>1.369734396965157</v>
      </c>
      <c r="AF222" s="131">
        <f t="shared" ca="1" si="15"/>
        <v>-87867922.934243977</v>
      </c>
      <c r="AG222" s="131">
        <f t="shared" ca="1" si="16"/>
        <v>-4784661.4314780505</v>
      </c>
      <c r="AI222" s="131">
        <f t="shared" si="17"/>
        <v>-79377562.290235624</v>
      </c>
      <c r="AJ222" s="31">
        <f t="shared" si="18"/>
        <v>1457.6205273613778</v>
      </c>
    </row>
    <row r="223" spans="15:36">
      <c r="O223" s="15">
        <v>220</v>
      </c>
      <c r="P223" s="33">
        <v>3752532.0284338789</v>
      </c>
      <c r="Q223" s="33">
        <v>87663954.708924189</v>
      </c>
      <c r="R223" s="146">
        <v>-83911422.680490315</v>
      </c>
      <c r="S223" s="31">
        <v>188575.92817402113</v>
      </c>
      <c r="T223" s="31">
        <v>7496.6605731741165</v>
      </c>
      <c r="U223" s="142">
        <v>181079.267600847</v>
      </c>
      <c r="AE223" s="137">
        <f t="shared" si="19"/>
        <v>1.3760175822723366</v>
      </c>
      <c r="AF223" s="131">
        <f t="shared" ca="1" si="15"/>
        <v>-87720877.175051123</v>
      </c>
      <c r="AG223" s="131">
        <f t="shared" ca="1" si="16"/>
        <v>-4637744.9161397908</v>
      </c>
      <c r="AI223" s="131">
        <f t="shared" si="17"/>
        <v>-83911422.680490315</v>
      </c>
      <c r="AJ223" s="31">
        <f t="shared" si="18"/>
        <v>181079.267600847</v>
      </c>
    </row>
    <row r="224" spans="15:36">
      <c r="O224" s="15">
        <v>221</v>
      </c>
      <c r="P224" s="33">
        <v>2715841.5632722354</v>
      </c>
      <c r="Q224" s="33">
        <v>72200097.490479127</v>
      </c>
      <c r="R224" s="146">
        <v>-69484255.927206889</v>
      </c>
      <c r="S224" s="31">
        <v>97824.540928885806</v>
      </c>
      <c r="T224" s="31">
        <v>4959.7319285024651</v>
      </c>
      <c r="U224" s="142">
        <v>92864.809000383335</v>
      </c>
      <c r="AE224" s="137">
        <f t="shared" si="19"/>
        <v>1.3823007675795163</v>
      </c>
      <c r="AF224" s="131">
        <f t="shared" ca="1" si="15"/>
        <v>-87573649.052131921</v>
      </c>
      <c r="AG224" s="131">
        <f t="shared" ca="1" si="16"/>
        <v>-4490641.9852861874</v>
      </c>
      <c r="AI224" s="131">
        <f t="shared" si="17"/>
        <v>-69484255.927206889</v>
      </c>
      <c r="AJ224" s="31">
        <f t="shared" si="18"/>
        <v>92864.809000383335</v>
      </c>
    </row>
    <row r="225" spans="15:36">
      <c r="O225" s="15">
        <v>222</v>
      </c>
      <c r="P225" s="33">
        <v>3308070.358834981</v>
      </c>
      <c r="Q225" s="33">
        <v>87134947.803531691</v>
      </c>
      <c r="R225" s="146">
        <v>-83826877.44469671</v>
      </c>
      <c r="S225" s="31">
        <v>38263.153407126185</v>
      </c>
      <c r="T225" s="31">
        <v>9105.1980078780471</v>
      </c>
      <c r="U225" s="142">
        <v>29157.955399248138</v>
      </c>
      <c r="AE225" s="137">
        <f t="shared" si="19"/>
        <v>1.3885839528866959</v>
      </c>
      <c r="AF225" s="131">
        <f t="shared" ca="1" si="15"/>
        <v>-87426244.377800569</v>
      </c>
      <c r="AG225" s="131">
        <f t="shared" ca="1" si="16"/>
        <v>-4343358.4462890718</v>
      </c>
      <c r="AI225" s="131">
        <f t="shared" si="17"/>
        <v>-83826877.44469671</v>
      </c>
      <c r="AJ225" s="31">
        <f t="shared" si="18"/>
        <v>29157.955399248138</v>
      </c>
    </row>
    <row r="226" spans="15:36">
      <c r="O226" s="15">
        <v>223</v>
      </c>
      <c r="P226" s="33">
        <v>3284561.0299094464</v>
      </c>
      <c r="Q226" s="33">
        <v>89733773.706182092</v>
      </c>
      <c r="R226" s="146">
        <v>-86449212.676272646</v>
      </c>
      <c r="S226" s="31">
        <v>65701.938668331975</v>
      </c>
      <c r="T226" s="31">
        <v>13323.891506159141</v>
      </c>
      <c r="U226" s="142">
        <v>52378.047162172836</v>
      </c>
      <c r="AE226" s="137">
        <f t="shared" si="19"/>
        <v>1.3948671381938755</v>
      </c>
      <c r="AF226" s="131">
        <f t="shared" ca="1" si="15"/>
        <v>-87278668.971341208</v>
      </c>
      <c r="AG226" s="131">
        <f t="shared" ca="1" si="16"/>
        <v>-4195900.1136503723</v>
      </c>
      <c r="AI226" s="131">
        <f t="shared" si="17"/>
        <v>-86449212.676272646</v>
      </c>
      <c r="AJ226" s="31">
        <f t="shared" si="18"/>
        <v>52378.047162172836</v>
      </c>
    </row>
    <row r="227" spans="15:36">
      <c r="O227" s="15">
        <v>224</v>
      </c>
      <c r="P227" s="33">
        <v>3717488.0450924574</v>
      </c>
      <c r="Q227" s="33">
        <v>103337330.74097639</v>
      </c>
      <c r="R227" s="146">
        <v>-99619842.69588393</v>
      </c>
      <c r="S227" s="31">
        <v>97020.999044040538</v>
      </c>
      <c r="T227" s="31">
        <v>8732.6663847590444</v>
      </c>
      <c r="U227" s="142">
        <v>88288.332659281499</v>
      </c>
      <c r="AE227" s="137">
        <f t="shared" si="19"/>
        <v>1.4011503235010552</v>
      </c>
      <c r="AF227" s="131">
        <f t="shared" ca="1" si="15"/>
        <v>-87130928.658778206</v>
      </c>
      <c r="AG227" s="131">
        <f t="shared" ca="1" si="16"/>
        <v>-4048272.8087725732</v>
      </c>
      <c r="AI227" s="131">
        <f t="shared" si="17"/>
        <v>-99619842.69588393</v>
      </c>
      <c r="AJ227" s="31">
        <f t="shared" si="18"/>
        <v>88288.332659281499</v>
      </c>
    </row>
    <row r="228" spans="15:36">
      <c r="O228" s="15">
        <v>225</v>
      </c>
      <c r="P228" s="33">
        <v>3511940.6825250336</v>
      </c>
      <c r="Q228" s="33">
        <v>80772129.277143776</v>
      </c>
      <c r="R228" s="146">
        <v>-77260188.594618738</v>
      </c>
      <c r="S228" s="31">
        <v>84830.095198816038</v>
      </c>
      <c r="T228" s="31">
        <v>17983.530716425485</v>
      </c>
      <c r="U228" s="142">
        <v>66846.56448239056</v>
      </c>
      <c r="AE228" s="137">
        <f t="shared" si="19"/>
        <v>1.4074335088082348</v>
      </c>
      <c r="AF228" s="131">
        <f t="shared" ca="1" si="15"/>
        <v>-86983029.272646129</v>
      </c>
      <c r="AG228" s="131">
        <f t="shared" ca="1" si="16"/>
        <v>-3900482.3597288919</v>
      </c>
      <c r="AI228" s="131">
        <f t="shared" si="17"/>
        <v>-77260188.594618738</v>
      </c>
      <c r="AJ228" s="31">
        <f t="shared" si="18"/>
        <v>66846.56448239056</v>
      </c>
    </row>
    <row r="229" spans="15:36">
      <c r="O229" s="15">
        <v>226</v>
      </c>
      <c r="P229" s="33">
        <v>3376872.5461261417</v>
      </c>
      <c r="Q229" s="33">
        <v>83553369.717726946</v>
      </c>
      <c r="R229" s="146">
        <v>-80176497.171600804</v>
      </c>
      <c r="S229" s="31">
        <v>49036.604676722665</v>
      </c>
      <c r="T229" s="31">
        <v>13954.644221166782</v>
      </c>
      <c r="U229" s="142">
        <v>35081.960455555884</v>
      </c>
      <c r="AE229" s="137">
        <f t="shared" si="19"/>
        <v>1.4137166941154145</v>
      </c>
      <c r="AF229" s="131">
        <f t="shared" ca="1" si="15"/>
        <v>-86834976.651759505</v>
      </c>
      <c r="AG229" s="131">
        <f t="shared" ca="1" si="16"/>
        <v>-3752534.6010332</v>
      </c>
      <c r="AI229" s="131">
        <f t="shared" si="17"/>
        <v>-80176497.171600804</v>
      </c>
      <c r="AJ229" s="31">
        <f t="shared" si="18"/>
        <v>35081.960455555884</v>
      </c>
    </row>
    <row r="230" spans="15:36">
      <c r="O230" s="15">
        <v>227</v>
      </c>
      <c r="P230" s="33">
        <v>3310368.4805702027</v>
      </c>
      <c r="Q230" s="33">
        <v>87928018.008719206</v>
      </c>
      <c r="R230" s="146">
        <v>-84617649.528149009</v>
      </c>
      <c r="S230" s="31">
        <v>111450.29032041418</v>
      </c>
      <c r="T230" s="31">
        <v>7644.3833306976503</v>
      </c>
      <c r="U230" s="142">
        <v>103805.90698971653</v>
      </c>
      <c r="AE230" s="137">
        <f t="shared" si="19"/>
        <v>1.4199998794225941</v>
      </c>
      <c r="AF230" s="131">
        <f t="shared" ca="1" si="15"/>
        <v>-86686776.640982285</v>
      </c>
      <c r="AG230" s="131">
        <f t="shared" ca="1" si="16"/>
        <v>-3604435.3734096829</v>
      </c>
      <c r="AI230" s="131">
        <f t="shared" si="17"/>
        <v>-84617649.528149009</v>
      </c>
      <c r="AJ230" s="31">
        <f t="shared" si="18"/>
        <v>103805.90698971653</v>
      </c>
    </row>
    <row r="231" spans="15:36">
      <c r="O231" s="15">
        <v>228</v>
      </c>
      <c r="P231" s="33">
        <v>3202893.422423535</v>
      </c>
      <c r="Q231" s="33">
        <v>86179557.914963633</v>
      </c>
      <c r="R231" s="146">
        <v>-82976664.492540091</v>
      </c>
      <c r="S231" s="31">
        <v>86304.781937624037</v>
      </c>
      <c r="T231" s="31">
        <v>9272.544455178624</v>
      </c>
      <c r="U231" s="142">
        <v>77032.237482445416</v>
      </c>
      <c r="AE231" s="137">
        <f t="shared" si="19"/>
        <v>1.4262830647297737</v>
      </c>
      <c r="AF231" s="131">
        <f t="shared" ca="1" si="15"/>
        <v>-86538435.09099713</v>
      </c>
      <c r="AG231" s="131">
        <f t="shared" ca="1" si="16"/>
        <v>-3456190.5235622609</v>
      </c>
      <c r="AI231" s="131">
        <f t="shared" si="17"/>
        <v>-82976664.492540091</v>
      </c>
      <c r="AJ231" s="31">
        <f t="shared" si="18"/>
        <v>77032.237482445416</v>
      </c>
    </row>
    <row r="232" spans="15:36">
      <c r="O232" s="15">
        <v>229</v>
      </c>
      <c r="P232" s="33">
        <v>3019466.0302261072</v>
      </c>
      <c r="Q232" s="33">
        <v>76469909.840165973</v>
      </c>
      <c r="R232" s="146">
        <v>-73450443.809939861</v>
      </c>
      <c r="S232" s="31">
        <v>171811.10460581054</v>
      </c>
      <c r="T232" s="31">
        <v>15067.339137238057</v>
      </c>
      <c r="U232" s="142">
        <v>156743.7654685725</v>
      </c>
      <c r="AE232" s="137">
        <f t="shared" si="19"/>
        <v>1.4325662500369534</v>
      </c>
      <c r="AF232" s="131">
        <f t="shared" ca="1" si="15"/>
        <v>-86389957.858074456</v>
      </c>
      <c r="AG232" s="131">
        <f t="shared" ca="1" si="16"/>
        <v>-3307805.9039437692</v>
      </c>
      <c r="AI232" s="131">
        <f t="shared" si="17"/>
        <v>-73450443.809939861</v>
      </c>
      <c r="AJ232" s="31">
        <f t="shared" si="18"/>
        <v>156743.7654685725</v>
      </c>
    </row>
    <row r="233" spans="15:36">
      <c r="O233" s="15">
        <v>230</v>
      </c>
      <c r="P233" s="33">
        <v>2940504.3934031255</v>
      </c>
      <c r="Q233" s="33">
        <v>98215761.234383672</v>
      </c>
      <c r="R233" s="146">
        <v>-95275256.840980545</v>
      </c>
      <c r="S233" s="31">
        <v>34834.531516074341</v>
      </c>
      <c r="T233" s="31">
        <v>6294.4381634488782</v>
      </c>
      <c r="U233" s="142">
        <v>28540.093352625463</v>
      </c>
      <c r="AE233" s="137">
        <f t="shared" si="19"/>
        <v>1.438849435344133</v>
      </c>
      <c r="AF233" s="131">
        <f t="shared" ca="1" si="15"/>
        <v>-86241350.803841159</v>
      </c>
      <c r="AG233" s="131">
        <f t="shared" ca="1" si="16"/>
        <v>-3159287.3725249167</v>
      </c>
      <c r="AI233" s="131">
        <f t="shared" si="17"/>
        <v>-95275256.840980545</v>
      </c>
      <c r="AJ233" s="31">
        <f t="shared" si="18"/>
        <v>28540.093352625463</v>
      </c>
    </row>
    <row r="234" spans="15:36">
      <c r="O234" s="15">
        <v>231</v>
      </c>
      <c r="P234" s="33">
        <v>3054741.5568658812</v>
      </c>
      <c r="Q234" s="33">
        <v>81231085.794271544</v>
      </c>
      <c r="R234" s="146">
        <v>-78176344.237405658</v>
      </c>
      <c r="S234" s="31">
        <v>100975.49823889778</v>
      </c>
      <c r="T234" s="31">
        <v>10084.970850933587</v>
      </c>
      <c r="U234" s="142">
        <v>90890.52738796419</v>
      </c>
      <c r="AE234" s="137">
        <f t="shared" si="19"/>
        <v>1.4451326206513126</v>
      </c>
      <c r="AF234" s="131">
        <f t="shared" ca="1" si="15"/>
        <v>-86092619.79504931</v>
      </c>
      <c r="AG234" s="131">
        <f t="shared" ca="1" si="16"/>
        <v>-3010640.7925630184</v>
      </c>
      <c r="AI234" s="131">
        <f t="shared" si="17"/>
        <v>-78176344.237405658</v>
      </c>
      <c r="AJ234" s="31">
        <f t="shared" si="18"/>
        <v>90890.52738796419</v>
      </c>
    </row>
    <row r="235" spans="15:36">
      <c r="O235" s="15">
        <v>232</v>
      </c>
      <c r="P235" s="33">
        <v>3255905.4977963679</v>
      </c>
      <c r="Q235" s="33">
        <v>73629687.050597072</v>
      </c>
      <c r="R235" s="146">
        <v>-70373781.5528007</v>
      </c>
      <c r="S235" s="31">
        <v>67445.521725921091</v>
      </c>
      <c r="T235" s="31">
        <v>15757.11332491412</v>
      </c>
      <c r="U235" s="142">
        <v>51688.408401006971</v>
      </c>
      <c r="AE235" s="137">
        <f t="shared" si="19"/>
        <v>1.4514158059584923</v>
      </c>
      <c r="AF235" s="131">
        <f t="shared" ca="1" si="15"/>
        <v>-85943770.703344449</v>
      </c>
      <c r="AG235" s="131">
        <f t="shared" ca="1" si="16"/>
        <v>-2861872.0323705282</v>
      </c>
      <c r="AI235" s="131">
        <f t="shared" si="17"/>
        <v>-70373781.5528007</v>
      </c>
      <c r="AJ235" s="31">
        <f t="shared" si="18"/>
        <v>51688.408401006971</v>
      </c>
    </row>
    <row r="236" spans="15:36">
      <c r="O236" s="15">
        <v>233</v>
      </c>
      <c r="P236" s="33">
        <v>3159500.0241078059</v>
      </c>
      <c r="Q236" s="33">
        <v>88829144.01166378</v>
      </c>
      <c r="R236" s="146">
        <v>-85669643.987555981</v>
      </c>
      <c r="S236" s="31">
        <v>89081.049860651183</v>
      </c>
      <c r="T236" s="31">
        <v>11744.197473954191</v>
      </c>
      <c r="U236" s="142">
        <v>77336.852386696992</v>
      </c>
      <c r="AE236" s="137">
        <f t="shared" si="19"/>
        <v>1.4576989912656719</v>
      </c>
      <c r="AF236" s="131">
        <f t="shared" ca="1" si="15"/>
        <v>-85794809.405033842</v>
      </c>
      <c r="AG236" s="131">
        <f t="shared" ca="1" si="16"/>
        <v>-2712986.9650833644</v>
      </c>
      <c r="AI236" s="131">
        <f t="shared" si="17"/>
        <v>-85669643.987555981</v>
      </c>
      <c r="AJ236" s="31">
        <f t="shared" si="18"/>
        <v>77336.852386696992</v>
      </c>
    </row>
    <row r="237" spans="15:36">
      <c r="O237" s="15">
        <v>234</v>
      </c>
      <c r="P237" s="33">
        <v>3310449.5056764223</v>
      </c>
      <c r="Q237" s="33">
        <v>84921816.804782361</v>
      </c>
      <c r="R237" s="146">
        <v>-81611367.299105942</v>
      </c>
      <c r="S237" s="31">
        <v>52013.514426459529</v>
      </c>
      <c r="T237" s="31">
        <v>9041.9173756541459</v>
      </c>
      <c r="U237" s="142">
        <v>42971.597050805387</v>
      </c>
      <c r="AE237" s="137">
        <f t="shared" si="19"/>
        <v>1.4639821765728516</v>
      </c>
      <c r="AF237" s="131">
        <f t="shared" ca="1" si="15"/>
        <v>-85645741.780854508</v>
      </c>
      <c r="AG237" s="131">
        <f t="shared" ca="1" si="16"/>
        <v>-2563991.4684290527</v>
      </c>
      <c r="AI237" s="131">
        <f t="shared" si="17"/>
        <v>-81611367.299105942</v>
      </c>
      <c r="AJ237" s="31">
        <f t="shared" si="18"/>
        <v>42971.597050805387</v>
      </c>
    </row>
    <row r="238" spans="15:36">
      <c r="O238" s="15">
        <v>235</v>
      </c>
      <c r="P238" s="33">
        <v>3488049.4493695903</v>
      </c>
      <c r="Q238" s="33">
        <v>77955424.090056285</v>
      </c>
      <c r="R238" s="146">
        <v>-74467374.640686691</v>
      </c>
      <c r="S238" s="31">
        <v>40360.688903736605</v>
      </c>
      <c r="T238" s="31">
        <v>9981.7194430067502</v>
      </c>
      <c r="U238" s="142">
        <v>30378.969460729855</v>
      </c>
      <c r="AE238" s="137">
        <f t="shared" si="19"/>
        <v>1.4702653618800312</v>
      </c>
      <c r="AF238" s="131">
        <f t="shared" ca="1" si="15"/>
        <v>-85496573.715740979</v>
      </c>
      <c r="AG238" s="131">
        <f t="shared" ca="1" si="16"/>
        <v>-2414891.4244946786</v>
      </c>
      <c r="AI238" s="131">
        <f t="shared" si="17"/>
        <v>-74467374.640686691</v>
      </c>
      <c r="AJ238" s="31">
        <f t="shared" si="18"/>
        <v>30378.969460729855</v>
      </c>
    </row>
    <row r="239" spans="15:36">
      <c r="O239" s="15">
        <v>236</v>
      </c>
      <c r="P239" s="33">
        <v>3036115.0934863752</v>
      </c>
      <c r="Q239" s="33">
        <v>93702694.754245952</v>
      </c>
      <c r="R239" s="146">
        <v>-90666579.660759583</v>
      </c>
      <c r="S239" s="31">
        <v>182016.79019286207</v>
      </c>
      <c r="T239" s="31">
        <v>10927.377221945737</v>
      </c>
      <c r="U239" s="142">
        <v>171089.41297091634</v>
      </c>
      <c r="AE239" s="137">
        <f t="shared" si="19"/>
        <v>1.4765485471872108</v>
      </c>
      <c r="AF239" s="131">
        <f t="shared" ca="1" si="15"/>
        <v>-85347311.098593071</v>
      </c>
      <c r="AG239" s="131">
        <f t="shared" ca="1" si="16"/>
        <v>-2265692.7194946781</v>
      </c>
      <c r="AI239" s="131">
        <f t="shared" si="17"/>
        <v>-90666579.660759583</v>
      </c>
      <c r="AJ239" s="31">
        <f t="shared" si="18"/>
        <v>171089.41297091634</v>
      </c>
    </row>
    <row r="240" spans="15:36">
      <c r="O240" s="15">
        <v>237</v>
      </c>
      <c r="P240" s="33">
        <v>4249112.4146447508</v>
      </c>
      <c r="Q240" s="33">
        <v>100589885.76605161</v>
      </c>
      <c r="R240" s="146">
        <v>-96340773.351406857</v>
      </c>
      <c r="S240" s="31">
        <v>67678.56872602622</v>
      </c>
      <c r="T240" s="31">
        <v>13011.789276213633</v>
      </c>
      <c r="U240" s="142">
        <v>54666.779449812588</v>
      </c>
      <c r="AE240" s="137">
        <f t="shared" si="19"/>
        <v>1.4828317324943905</v>
      </c>
      <c r="AF240" s="131">
        <f t="shared" ca="1" si="15"/>
        <v>-85197959.822043315</v>
      </c>
      <c r="AG240" s="131">
        <f t="shared" ca="1" si="16"/>
        <v>-2116401.2435384542</v>
      </c>
      <c r="AI240" s="131">
        <f t="shared" si="17"/>
        <v>-96340773.351406857</v>
      </c>
      <c r="AJ240" s="31">
        <f t="shared" si="18"/>
        <v>54666.779449812588</v>
      </c>
    </row>
    <row r="241" spans="15:36">
      <c r="O241" s="15">
        <v>238</v>
      </c>
      <c r="P241" s="33">
        <v>3418150.837454488</v>
      </c>
      <c r="Q241" s="33">
        <v>79201097.482015461</v>
      </c>
      <c r="R241" s="146">
        <v>-75782946.644560978</v>
      </c>
      <c r="S241" s="31">
        <v>99510.501208484595</v>
      </c>
      <c r="T241" s="31">
        <v>12252.35526969949</v>
      </c>
      <c r="U241" s="142">
        <v>87258.145938785106</v>
      </c>
      <c r="AE241" s="137">
        <f t="shared" si="19"/>
        <v>1.4891149178015701</v>
      </c>
      <c r="AF241" s="131">
        <f t="shared" ca="1" si="15"/>
        <v>-85048525.782224387</v>
      </c>
      <c r="AG241" s="131">
        <f t="shared" ca="1" si="16"/>
        <v>-1967022.8903978497</v>
      </c>
      <c r="AI241" s="131">
        <f t="shared" si="17"/>
        <v>-75782946.644560978</v>
      </c>
      <c r="AJ241" s="31">
        <f t="shared" si="18"/>
        <v>87258.145938785106</v>
      </c>
    </row>
    <row r="242" spans="15:36">
      <c r="O242" s="15">
        <v>239</v>
      </c>
      <c r="P242" s="33">
        <v>3350278.781518661</v>
      </c>
      <c r="Q242" s="33">
        <v>86644734.250929132</v>
      </c>
      <c r="R242" s="146">
        <v>-83294455.469410464</v>
      </c>
      <c r="S242" s="31">
        <v>66444.912839370169</v>
      </c>
      <c r="T242" s="31">
        <v>11636.651080082545</v>
      </c>
      <c r="U242" s="142">
        <v>54808.261759287619</v>
      </c>
      <c r="AE242" s="137">
        <f t="shared" si="19"/>
        <v>1.4953981031087498</v>
      </c>
      <c r="AF242" s="131">
        <f t="shared" ca="1" si="15"/>
        <v>-84899014.878536299</v>
      </c>
      <c r="AG242" s="131">
        <f t="shared" ca="1" si="16"/>
        <v>-1817563.5572744703</v>
      </c>
      <c r="AI242" s="131">
        <f t="shared" si="17"/>
        <v>-83294455.469410464</v>
      </c>
      <c r="AJ242" s="31">
        <f t="shared" si="18"/>
        <v>54808.261759287619</v>
      </c>
    </row>
    <row r="243" spans="15:36">
      <c r="O243" s="15">
        <v>240</v>
      </c>
      <c r="P243" s="33">
        <v>3343085.1237915517</v>
      </c>
      <c r="Q243" s="33">
        <v>84338927.555775091</v>
      </c>
      <c r="R243" s="146">
        <v>-80995842.431983545</v>
      </c>
      <c r="S243" s="31">
        <v>42117.404240517855</v>
      </c>
      <c r="T243" s="31">
        <v>12544.184125170363</v>
      </c>
      <c r="U243" s="142">
        <v>29573.220115347493</v>
      </c>
      <c r="AE243" s="137">
        <f t="shared" si="19"/>
        <v>1.5016812884159294</v>
      </c>
      <c r="AF243" s="131">
        <f t="shared" ca="1" si="15"/>
        <v>-84749433.013413534</v>
      </c>
      <c r="AG243" s="131">
        <f t="shared" ca="1" si="16"/>
        <v>-1668029.1445668724</v>
      </c>
      <c r="AI243" s="131">
        <f t="shared" si="17"/>
        <v>-80995842.431983545</v>
      </c>
      <c r="AJ243" s="31">
        <f t="shared" si="18"/>
        <v>29573.220115347493</v>
      </c>
    </row>
    <row r="244" spans="15:36">
      <c r="O244" s="15">
        <v>241</v>
      </c>
      <c r="P244" s="33">
        <v>3233359.1913130847</v>
      </c>
      <c r="Q244" s="33">
        <v>95390794.03442511</v>
      </c>
      <c r="R244" s="146">
        <v>-92157434.843112022</v>
      </c>
      <c r="S244" s="31">
        <v>117499.04602452996</v>
      </c>
      <c r="T244" s="31">
        <v>9961.8870315483055</v>
      </c>
      <c r="U244" s="142">
        <v>107537.15899298165</v>
      </c>
      <c r="AE244" s="137">
        <f t="shared" si="19"/>
        <v>1.507964473723109</v>
      </c>
      <c r="AF244" s="131">
        <f t="shared" ca="1" si="15"/>
        <v>-84599786.092091992</v>
      </c>
      <c r="AG244" s="131">
        <f t="shared" ca="1" si="16"/>
        <v>-1518425.5556376257</v>
      </c>
      <c r="AI244" s="131">
        <f t="shared" si="17"/>
        <v>-92157434.843112022</v>
      </c>
      <c r="AJ244" s="31">
        <f t="shared" si="18"/>
        <v>107537.15899298165</v>
      </c>
    </row>
    <row r="245" spans="15:36">
      <c r="O245" s="15">
        <v>242</v>
      </c>
      <c r="P245" s="33">
        <v>3580371.1069521676</v>
      </c>
      <c r="Q245" s="33">
        <v>103421759.30817223</v>
      </c>
      <c r="R245" s="146">
        <v>-99841388.201220065</v>
      </c>
      <c r="S245" s="31">
        <v>124928.78038157139</v>
      </c>
      <c r="T245" s="31">
        <v>6625.4047720726549</v>
      </c>
      <c r="U245" s="142">
        <v>118303.37560949873</v>
      </c>
      <c r="AE245" s="137">
        <f t="shared" si="19"/>
        <v>1.5142476590302887</v>
      </c>
      <c r="AF245" s="131">
        <f t="shared" ca="1" si="15"/>
        <v>-84450080.022375897</v>
      </c>
      <c r="AG245" s="131">
        <f t="shared" ca="1" si="16"/>
        <v>-1368758.6965802587</v>
      </c>
      <c r="AI245" s="131">
        <f t="shared" si="17"/>
        <v>-99841388.201220065</v>
      </c>
      <c r="AJ245" s="31">
        <f t="shared" si="18"/>
        <v>118303.37560949873</v>
      </c>
    </row>
    <row r="246" spans="15:36">
      <c r="O246" s="15">
        <v>243</v>
      </c>
      <c r="P246" s="33">
        <v>3860902.6845899029</v>
      </c>
      <c r="Q246" s="33">
        <v>76016896.22279571</v>
      </c>
      <c r="R246" s="146">
        <v>-72155993.538205802</v>
      </c>
      <c r="S246" s="31">
        <v>105930.08122757779</v>
      </c>
      <c r="T246" s="31">
        <v>21655.271847151307</v>
      </c>
      <c r="U246" s="142">
        <v>84274.809380426479</v>
      </c>
      <c r="AE246" s="137">
        <f t="shared" si="19"/>
        <v>1.5205308443374683</v>
      </c>
      <c r="AF246" s="131">
        <f t="shared" ca="1" si="15"/>
        <v>-84300320.714404538</v>
      </c>
      <c r="AG246" s="131">
        <f t="shared" ca="1" si="16"/>
        <v>-1219034.4759860963</v>
      </c>
      <c r="AI246" s="131">
        <f t="shared" si="17"/>
        <v>-72155993.538205802</v>
      </c>
      <c r="AJ246" s="31">
        <f t="shared" si="18"/>
        <v>84274.809380426479</v>
      </c>
    </row>
    <row r="247" spans="15:36">
      <c r="O247" s="15">
        <v>244</v>
      </c>
      <c r="P247" s="33">
        <v>3490704.2422358827</v>
      </c>
      <c r="Q247" s="33">
        <v>86950484.241630912</v>
      </c>
      <c r="R247" s="146">
        <v>-83459779.999395028</v>
      </c>
      <c r="S247" s="31">
        <v>38489.687958512484</v>
      </c>
      <c r="T247" s="31">
        <v>15923.49713708992</v>
      </c>
      <c r="U247" s="142">
        <v>22566.190821422562</v>
      </c>
      <c r="AE247" s="137">
        <f t="shared" si="19"/>
        <v>1.526814029644648</v>
      </c>
      <c r="AF247" s="131">
        <f t="shared" ca="1" si="15"/>
        <v>-84150514.080418974</v>
      </c>
      <c r="AG247" s="131">
        <f t="shared" ca="1" si="16"/>
        <v>-1069258.8047109984</v>
      </c>
      <c r="AI247" s="131">
        <f t="shared" si="17"/>
        <v>-83459779.999395028</v>
      </c>
      <c r="AJ247" s="31">
        <f t="shared" si="18"/>
        <v>22566.190821422562</v>
      </c>
    </row>
    <row r="248" spans="15:36">
      <c r="O248" s="15">
        <v>245</v>
      </c>
      <c r="P248" s="33">
        <v>2886734.3249039669</v>
      </c>
      <c r="Q248" s="33">
        <v>93256692.270534113</v>
      </c>
      <c r="R248" s="146">
        <v>-90369957.945630148</v>
      </c>
      <c r="S248" s="31">
        <v>126576.76901928101</v>
      </c>
      <c r="T248" s="31">
        <v>7988.3805908554377</v>
      </c>
      <c r="U248" s="142">
        <v>118588.38842842558</v>
      </c>
      <c r="AE248" s="137">
        <f t="shared" si="19"/>
        <v>1.5330972149518276</v>
      </c>
      <c r="AF248" s="131">
        <f t="shared" ca="1" si="15"/>
        <v>-84000666.034528598</v>
      </c>
      <c r="AG248" s="131">
        <f t="shared" ca="1" si="16"/>
        <v>-919437.59564201033</v>
      </c>
      <c r="AI248" s="131">
        <f t="shared" si="17"/>
        <v>-90369957.945630148</v>
      </c>
      <c r="AJ248" s="31">
        <f t="shared" si="18"/>
        <v>118588.38842842558</v>
      </c>
    </row>
    <row r="249" spans="15:36">
      <c r="O249" s="15">
        <v>246</v>
      </c>
      <c r="P249" s="33">
        <v>3060213.6892572115</v>
      </c>
      <c r="Q249" s="33">
        <v>89657545.503700033</v>
      </c>
      <c r="R249" s="146">
        <v>-86597331.814442828</v>
      </c>
      <c r="S249" s="31">
        <v>183883.32796416379</v>
      </c>
      <c r="T249" s="31">
        <v>5436.7615222126278</v>
      </c>
      <c r="U249" s="142">
        <v>178446.56644195117</v>
      </c>
      <c r="AE249" s="137">
        <f t="shared" si="19"/>
        <v>1.5393804002590072</v>
      </c>
      <c r="AF249" s="131">
        <f t="shared" ca="1" si="15"/>
        <v>-83850782.492477685</v>
      </c>
      <c r="AG249" s="131">
        <f t="shared" ca="1" si="16"/>
        <v>-769576.76346393104</v>
      </c>
      <c r="AI249" s="131">
        <f t="shared" si="17"/>
        <v>-86597331.814442828</v>
      </c>
      <c r="AJ249" s="31">
        <f t="shared" si="18"/>
        <v>178446.56644195117</v>
      </c>
    </row>
    <row r="250" spans="15:36">
      <c r="O250" s="15">
        <v>247</v>
      </c>
      <c r="P250" s="33">
        <v>3160381.1614713445</v>
      </c>
      <c r="Q250" s="33">
        <v>88289430.523886994</v>
      </c>
      <c r="R250" s="146">
        <v>-85129049.362415642</v>
      </c>
      <c r="S250" s="31">
        <v>179035.83983437897</v>
      </c>
      <c r="T250" s="31">
        <v>8069.4892768356276</v>
      </c>
      <c r="U250" s="142">
        <v>170966.35055754334</v>
      </c>
      <c r="AE250" s="137">
        <f t="shared" si="19"/>
        <v>1.5456635855661869</v>
      </c>
      <c r="AF250" s="131">
        <f t="shared" ca="1" si="15"/>
        <v>-83700869.37141183</v>
      </c>
      <c r="AG250" s="131">
        <f t="shared" ca="1" si="16"/>
        <v>-619682.22442581155</v>
      </c>
      <c r="AI250" s="131">
        <f t="shared" si="17"/>
        <v>-85129049.362415642</v>
      </c>
      <c r="AJ250" s="31">
        <f t="shared" si="18"/>
        <v>170966.35055754334</v>
      </c>
    </row>
    <row r="251" spans="15:36">
      <c r="O251" s="15">
        <v>248</v>
      </c>
      <c r="P251" s="33">
        <v>3943874.6587287551</v>
      </c>
      <c r="Q251" s="33">
        <v>100531010.95235619</v>
      </c>
      <c r="R251" s="146">
        <v>-96587136.293627441</v>
      </c>
      <c r="S251" s="31">
        <v>31190.197383279843</v>
      </c>
      <c r="T251" s="31">
        <v>12307.413554412973</v>
      </c>
      <c r="U251" s="142">
        <v>18882.783828866872</v>
      </c>
      <c r="AE251" s="137">
        <f t="shared" si="19"/>
        <v>1.5519467708733665</v>
      </c>
      <c r="AF251" s="131">
        <f t="shared" ca="1" si="15"/>
        <v>-83550932.589644372</v>
      </c>
      <c r="AG251" s="131">
        <f t="shared" ca="1" si="16"/>
        <v>-469759.8961073932</v>
      </c>
      <c r="AI251" s="131">
        <f t="shared" si="17"/>
        <v>-96587136.293627441</v>
      </c>
      <c r="AJ251" s="31">
        <f t="shared" si="18"/>
        <v>18882.783828866872</v>
      </c>
    </row>
    <row r="252" spans="15:36">
      <c r="O252" s="15">
        <v>249</v>
      </c>
      <c r="P252" s="33">
        <v>3052752.0920158816</v>
      </c>
      <c r="Q252" s="33">
        <v>87733438.886529595</v>
      </c>
      <c r="R252" s="146">
        <v>-84680686.794513717</v>
      </c>
      <c r="S252" s="31">
        <v>49302.646312493889</v>
      </c>
      <c r="T252" s="31">
        <v>13796.391887079566</v>
      </c>
      <c r="U252" s="142">
        <v>35506.254425414321</v>
      </c>
      <c r="AE252" s="137">
        <f t="shared" si="19"/>
        <v>1.5582299561805462</v>
      </c>
      <c r="AF252" s="131">
        <f t="shared" ca="1" si="15"/>
        <v>-83400978.066422701</v>
      </c>
      <c r="AG252" s="131">
        <f t="shared" ca="1" si="16"/>
        <v>-319815.69718548958</v>
      </c>
      <c r="AI252" s="131">
        <f t="shared" si="17"/>
        <v>-84680686.794513717</v>
      </c>
      <c r="AJ252" s="31">
        <f t="shared" si="18"/>
        <v>35506.254425414321</v>
      </c>
    </row>
    <row r="253" spans="15:36">
      <c r="O253" s="15">
        <v>250</v>
      </c>
      <c r="P253" s="33">
        <v>3002251.5393187972</v>
      </c>
      <c r="Q253" s="33">
        <v>85075614.686700895</v>
      </c>
      <c r="R253" s="146">
        <v>-82073363.147382095</v>
      </c>
      <c r="S253" s="31">
        <v>79492.936124815475</v>
      </c>
      <c r="T253" s="31">
        <v>8641.3395433057594</v>
      </c>
      <c r="U253" s="142">
        <v>70851.596581509715</v>
      </c>
      <c r="AE253" s="137">
        <f t="shared" si="19"/>
        <v>1.5645131414877258</v>
      </c>
      <c r="AF253" s="131">
        <f t="shared" ca="1" si="15"/>
        <v>-83251011.721694633</v>
      </c>
      <c r="AG253" s="131">
        <f t="shared" ca="1" si="16"/>
        <v>-169855.54720032847</v>
      </c>
      <c r="AI253" s="131">
        <f t="shared" si="17"/>
        <v>-82073363.147382095</v>
      </c>
      <c r="AJ253" s="31">
        <f t="shared" si="18"/>
        <v>70851.596581509715</v>
      </c>
    </row>
    <row r="254" spans="15:36">
      <c r="O254" s="15">
        <v>251</v>
      </c>
      <c r="P254" s="33">
        <v>3272553.9369148845</v>
      </c>
      <c r="Q254" s="33">
        <v>82204465.085426047</v>
      </c>
      <c r="R254" s="146">
        <v>-78931911.148511156</v>
      </c>
      <c r="S254" s="31">
        <v>124926.26077825081</v>
      </c>
      <c r="T254" s="31">
        <v>20864.642719330433</v>
      </c>
      <c r="U254" s="142">
        <v>104061.61805892037</v>
      </c>
      <c r="AE254" s="137">
        <f t="shared" si="19"/>
        <v>1.5707963267949054</v>
      </c>
      <c r="AF254" s="131">
        <f t="shared" ca="1" si="15"/>
        <v>-83101039.475874692</v>
      </c>
      <c r="AG254" s="131">
        <f t="shared" ca="1" si="16"/>
        <v>-19885.366321858484</v>
      </c>
      <c r="AI254" s="131">
        <f t="shared" si="17"/>
        <v>-78931911.148511156</v>
      </c>
      <c r="AJ254" s="31">
        <f t="shared" si="18"/>
        <v>104061.61805892037</v>
      </c>
    </row>
    <row r="255" spans="15:36">
      <c r="O255" s="15">
        <v>252</v>
      </c>
      <c r="P255" s="33">
        <v>3323910.5606954177</v>
      </c>
      <c r="Q255" s="33">
        <v>70435923.422061473</v>
      </c>
      <c r="R255" s="146">
        <v>-67112012.861366048</v>
      </c>
      <c r="S255" s="31">
        <v>66148.093916406244</v>
      </c>
      <c r="T255" s="31">
        <v>14015.132657363916</v>
      </c>
      <c r="U255" s="142">
        <v>52132.961259042328</v>
      </c>
      <c r="AE255" s="137">
        <f t="shared" si="19"/>
        <v>1.5770795121020851</v>
      </c>
      <c r="AF255" s="131">
        <f t="shared" ca="1" si="15"/>
        <v>-82951067.249610335</v>
      </c>
      <c r="AG255" s="131">
        <f t="shared" ca="1" si="16"/>
        <v>130088.9248839694</v>
      </c>
      <c r="AI255" s="131">
        <f t="shared" si="17"/>
        <v>-67112012.861366048</v>
      </c>
      <c r="AJ255" s="31">
        <f t="shared" si="18"/>
        <v>52132.961259042328</v>
      </c>
    </row>
    <row r="256" spans="15:36">
      <c r="O256" s="15">
        <v>253</v>
      </c>
      <c r="P256" s="33">
        <v>2989345.7483614325</v>
      </c>
      <c r="Q256" s="33">
        <v>91515257.079195723</v>
      </c>
      <c r="R256" s="146">
        <v>-88525911.330834284</v>
      </c>
      <c r="S256" s="31">
        <v>133363.18207684788</v>
      </c>
      <c r="T256" s="31">
        <v>9048.083936385945</v>
      </c>
      <c r="U256" s="142">
        <v>124315.09814046194</v>
      </c>
      <c r="AE256" s="137">
        <f t="shared" si="19"/>
        <v>1.5833626974092647</v>
      </c>
      <c r="AF256" s="131">
        <f t="shared" ca="1" si="15"/>
        <v>-82801100.963548273</v>
      </c>
      <c r="AG256" s="131">
        <f t="shared" ca="1" si="16"/>
        <v>280061.40568893554</v>
      </c>
      <c r="AI256" s="131">
        <f t="shared" si="17"/>
        <v>-88525911.330834284</v>
      </c>
      <c r="AJ256" s="31">
        <f t="shared" si="18"/>
        <v>124315.09814046194</v>
      </c>
    </row>
    <row r="257" spans="15:36">
      <c r="O257" s="15">
        <v>254</v>
      </c>
      <c r="P257" s="33">
        <v>3861525.9313745331</v>
      </c>
      <c r="Q257" s="33">
        <v>99702609.011114985</v>
      </c>
      <c r="R257" s="146">
        <v>-95841083.07974045</v>
      </c>
      <c r="S257" s="31">
        <v>122871.92689831978</v>
      </c>
      <c r="T257" s="31">
        <v>9203.0625584490317</v>
      </c>
      <c r="U257" s="142">
        <v>113668.86433987075</v>
      </c>
      <c r="AE257" s="137">
        <f t="shared" si="19"/>
        <v>1.5896458827164444</v>
      </c>
      <c r="AF257" s="131">
        <f t="shared" ca="1" si="15"/>
        <v>-82651146.538100675</v>
      </c>
      <c r="AG257" s="131">
        <f t="shared" ca="1" si="16"/>
        <v>430026.15543629171</v>
      </c>
      <c r="AI257" s="131">
        <f t="shared" si="17"/>
        <v>-95841083.07974045</v>
      </c>
      <c r="AJ257" s="31">
        <f t="shared" si="18"/>
        <v>113668.86433987075</v>
      </c>
    </row>
    <row r="258" spans="15:36">
      <c r="O258" s="15">
        <v>255</v>
      </c>
      <c r="P258" s="33">
        <v>3185814.0995469205</v>
      </c>
      <c r="Q258" s="33">
        <v>91929895.73536709</v>
      </c>
      <c r="R258" s="146">
        <v>-88744081.635820165</v>
      </c>
      <c r="S258" s="31">
        <v>106924.84483207708</v>
      </c>
      <c r="T258" s="31">
        <v>13307.417928954146</v>
      </c>
      <c r="U258" s="142">
        <v>93617.426903122934</v>
      </c>
      <c r="AE258" s="137">
        <f t="shared" si="19"/>
        <v>1.595929068023624</v>
      </c>
      <c r="AF258" s="131">
        <f t="shared" ca="1" si="15"/>
        <v>-82501209.893211529</v>
      </c>
      <c r="AG258" s="131">
        <f t="shared" ca="1" si="16"/>
        <v>579977.25377449871</v>
      </c>
      <c r="AI258" s="131">
        <f t="shared" si="17"/>
        <v>-88744081.635820165</v>
      </c>
      <c r="AJ258" s="31">
        <f t="shared" si="18"/>
        <v>93617.426903122934</v>
      </c>
    </row>
    <row r="259" spans="15:36">
      <c r="O259" s="15">
        <v>256</v>
      </c>
      <c r="P259" s="33">
        <v>3847513.3990525198</v>
      </c>
      <c r="Q259" s="33">
        <v>82953342.713836566</v>
      </c>
      <c r="R259" s="146">
        <v>-79105829.31478405</v>
      </c>
      <c r="S259" s="31">
        <v>77556.866229450665</v>
      </c>
      <c r="T259" s="31">
        <v>13130.715797878067</v>
      </c>
      <c r="U259" s="142">
        <v>64426.150431572598</v>
      </c>
      <c r="AE259" s="137">
        <f t="shared" si="19"/>
        <v>1.6022122533308036</v>
      </c>
      <c r="AF259" s="131">
        <f t="shared" ca="1" si="15"/>
        <v>-82351296.948122814</v>
      </c>
      <c r="AG259" s="131">
        <f t="shared" ca="1" si="16"/>
        <v>729908.78089095152</v>
      </c>
      <c r="AI259" s="131">
        <f t="shared" si="17"/>
        <v>-79105829.31478405</v>
      </c>
      <c r="AJ259" s="31">
        <f t="shared" si="18"/>
        <v>64426.150431572598</v>
      </c>
    </row>
    <row r="260" spans="15:36">
      <c r="O260" s="15">
        <v>257</v>
      </c>
      <c r="P260" s="33">
        <v>3585945.6112311343</v>
      </c>
      <c r="Q260" s="33">
        <v>79298909.0954808</v>
      </c>
      <c r="R260" s="146">
        <v>-75712963.484249666</v>
      </c>
      <c r="S260" s="31">
        <v>68900.513481121772</v>
      </c>
      <c r="T260" s="31">
        <v>15421.60395120035</v>
      </c>
      <c r="U260" s="142">
        <v>53478.909529921424</v>
      </c>
      <c r="AE260" s="137">
        <f t="shared" si="19"/>
        <v>1.6084954386379833</v>
      </c>
      <c r="AF260" s="131">
        <f t="shared" ca="1" si="15"/>
        <v>-82201413.621140912</v>
      </c>
      <c r="AG260" s="131">
        <f t="shared" ca="1" si="16"/>
        <v>879814.81774568348</v>
      </c>
      <c r="AI260" s="131">
        <f t="shared" si="17"/>
        <v>-75712963.484249666</v>
      </c>
      <c r="AJ260" s="31">
        <f t="shared" si="18"/>
        <v>53478.909529921424</v>
      </c>
    </row>
    <row r="261" spans="15:36">
      <c r="O261" s="15">
        <v>258</v>
      </c>
      <c r="P261" s="33">
        <v>3832644.6568106231</v>
      </c>
      <c r="Q261" s="33">
        <v>96888982.669438586</v>
      </c>
      <c r="R261" s="146">
        <v>-93056338.012627959</v>
      </c>
      <c r="S261" s="31">
        <v>49967.594503128988</v>
      </c>
      <c r="T261" s="31">
        <v>6496.4108431621553</v>
      </c>
      <c r="U261" s="142">
        <v>43471.183659966831</v>
      </c>
      <c r="AE261" s="137">
        <f t="shared" si="19"/>
        <v>1.6147786239451629</v>
      </c>
      <c r="AF261" s="131">
        <f t="shared" ref="AF261:AF324" ca="1" si="20">(AB$25*AC$19*COS(AE261)+AC$25*AC$20*SIN(AE261))+X$9</f>
        <v>-82051565.829402938</v>
      </c>
      <c r="AG261" s="131">
        <f t="shared" ref="AG261:AG324" ca="1" si="21">(AC$26*AC$19*COS(AE261)+AC$26*AC$20*SIN(AE261))+Y$9</f>
        <v>1029689.4463050398</v>
      </c>
      <c r="AI261" s="131">
        <f t="shared" ref="AI261:AI324" si="22">R261</f>
        <v>-93056338.012627959</v>
      </c>
      <c r="AJ261" s="31">
        <f t="shared" ref="AJ261:AJ324" si="23">U261</f>
        <v>43471.183659966831</v>
      </c>
    </row>
    <row r="262" spans="15:36">
      <c r="O262" s="15">
        <v>259</v>
      </c>
      <c r="P262" s="33">
        <v>2967361.7009679391</v>
      </c>
      <c r="Q262" s="33">
        <v>105236797.57484071</v>
      </c>
      <c r="R262" s="146">
        <v>-102269435.87387277</v>
      </c>
      <c r="S262" s="31">
        <v>94955.324809514554</v>
      </c>
      <c r="T262" s="31">
        <v>7126.9229789600777</v>
      </c>
      <c r="U262" s="142">
        <v>87828.401830554474</v>
      </c>
      <c r="AE262" s="137">
        <f t="shared" si="19"/>
        <v>1.6210618092523426</v>
      </c>
      <c r="AF262" s="131">
        <f t="shared" ca="1" si="20"/>
        <v>-81901759.48864314</v>
      </c>
      <c r="AG262" s="131">
        <f t="shared" ca="1" si="21"/>
        <v>1179526.7497753117</v>
      </c>
      <c r="AI262" s="131">
        <f t="shared" si="22"/>
        <v>-102269435.87387277</v>
      </c>
      <c r="AJ262" s="31">
        <f t="shared" si="23"/>
        <v>87828.401830554474</v>
      </c>
    </row>
    <row r="263" spans="15:36">
      <c r="O263" s="15">
        <v>260</v>
      </c>
      <c r="P263" s="33">
        <v>3478937.6084724949</v>
      </c>
      <c r="Q263" s="33">
        <v>89577959.732496083</v>
      </c>
      <c r="R263" s="146">
        <v>-86099022.124023587</v>
      </c>
      <c r="S263" s="31">
        <v>44340.494011926647</v>
      </c>
      <c r="T263" s="31">
        <v>22928.901826290567</v>
      </c>
      <c r="U263" s="142">
        <v>21411.59218563608</v>
      </c>
      <c r="AE263" s="137">
        <f t="shared" ref="AE263:AE326" si="24">AE262+AE$5</f>
        <v>1.6273449945595222</v>
      </c>
      <c r="AF263" s="131">
        <f t="shared" ca="1" si="20"/>
        <v>-81752000.512959316</v>
      </c>
      <c r="AG263" s="131">
        <f t="shared" ca="1" si="21"/>
        <v>1329320.8128363201</v>
      </c>
      <c r="AI263" s="131">
        <f t="shared" si="22"/>
        <v>-86099022.124023587</v>
      </c>
      <c r="AJ263" s="31">
        <f t="shared" si="23"/>
        <v>21411.59218563608</v>
      </c>
    </row>
    <row r="264" spans="15:36">
      <c r="O264" s="15">
        <v>261</v>
      </c>
      <c r="P264" s="33">
        <v>3365659.206937742</v>
      </c>
      <c r="Q264" s="33">
        <v>108958090.9967587</v>
      </c>
      <c r="R264" s="146">
        <v>-105592431.78982095</v>
      </c>
      <c r="S264" s="31">
        <v>80208.408572314831</v>
      </c>
      <c r="T264" s="31">
        <v>9428.3334492196427</v>
      </c>
      <c r="U264" s="142">
        <v>70780.075123095186</v>
      </c>
      <c r="AE264" s="137">
        <f t="shared" si="24"/>
        <v>1.6336281798667018</v>
      </c>
      <c r="AF264" s="131">
        <f t="shared" ca="1" si="20"/>
        <v>-81602294.814579427</v>
      </c>
      <c r="AG264" s="131">
        <f t="shared" ca="1" si="21"/>
        <v>1479065.7218749444</v>
      </c>
      <c r="AI264" s="131">
        <f t="shared" si="22"/>
        <v>-105592431.78982095</v>
      </c>
      <c r="AJ264" s="31">
        <f t="shared" si="23"/>
        <v>70780.075123095186</v>
      </c>
    </row>
    <row r="265" spans="15:36">
      <c r="O265" s="15">
        <v>262</v>
      </c>
      <c r="P265" s="33">
        <v>3796418.4884912758</v>
      </c>
      <c r="Q265" s="33">
        <v>89385855.552790806</v>
      </c>
      <c r="R265" s="146">
        <v>-85589437.064299524</v>
      </c>
      <c r="S265" s="31">
        <v>68812.263754331361</v>
      </c>
      <c r="T265" s="31">
        <v>11023.771109246058</v>
      </c>
      <c r="U265" s="142">
        <v>57788.492645085302</v>
      </c>
      <c r="AE265" s="137">
        <f t="shared" si="24"/>
        <v>1.6399113651738815</v>
      </c>
      <c r="AF265" s="131">
        <f t="shared" ca="1" si="20"/>
        <v>-81452648.303628072</v>
      </c>
      <c r="AG265" s="131">
        <f t="shared" ca="1" si="21"/>
        <v>1628755.56521858</v>
      </c>
      <c r="AI265" s="131">
        <f t="shared" si="22"/>
        <v>-85589437.064299524</v>
      </c>
      <c r="AJ265" s="31">
        <f t="shared" si="23"/>
        <v>57788.492645085302</v>
      </c>
    </row>
    <row r="266" spans="15:36">
      <c r="O266" s="15">
        <v>263</v>
      </c>
      <c r="P266" s="33">
        <v>3056918.2185444757</v>
      </c>
      <c r="Q266" s="33">
        <v>82090718.481071308</v>
      </c>
      <c r="R266" s="146">
        <v>-79033800.26252684</v>
      </c>
      <c r="S266" s="31">
        <v>112892.18262208498</v>
      </c>
      <c r="T266" s="31">
        <v>6238.6427161346028</v>
      </c>
      <c r="U266" s="142">
        <v>106653.53990595037</v>
      </c>
      <c r="AE266" s="137">
        <f t="shared" si="24"/>
        <v>1.6461945504810611</v>
      </c>
      <c r="AF266" s="131">
        <f t="shared" ca="1" si="20"/>
        <v>-81303066.887893304</v>
      </c>
      <c r="AG266" s="131">
        <f t="shared" ca="1" si="21"/>
        <v>1778384.433368522</v>
      </c>
      <c r="AI266" s="131">
        <f t="shared" si="22"/>
        <v>-79033800.26252684</v>
      </c>
      <c r="AJ266" s="31">
        <f t="shared" si="23"/>
        <v>106653.53990595037</v>
      </c>
    </row>
    <row r="267" spans="15:36">
      <c r="O267" s="15">
        <v>264</v>
      </c>
      <c r="P267" s="33">
        <v>3968017.5016091615</v>
      </c>
      <c r="Q267" s="33">
        <v>98234764.612449989</v>
      </c>
      <c r="R267" s="146">
        <v>-94266747.110840827</v>
      </c>
      <c r="S267" s="31">
        <v>28899.589090950649</v>
      </c>
      <c r="T267" s="31">
        <v>12850.117183999959</v>
      </c>
      <c r="U267" s="142">
        <v>16049.47190695069</v>
      </c>
      <c r="AE267" s="137">
        <f t="shared" si="24"/>
        <v>1.6524777357882408</v>
      </c>
      <c r="AF267" s="131">
        <f t="shared" ca="1" si="20"/>
        <v>-81153556.472593278</v>
      </c>
      <c r="AG267" s="131">
        <f t="shared" ca="1" si="21"/>
        <v>1927946.4192332607</v>
      </c>
      <c r="AI267" s="131">
        <f t="shared" si="22"/>
        <v>-94266747.110840827</v>
      </c>
      <c r="AJ267" s="31">
        <f t="shared" si="23"/>
        <v>16049.47190695069</v>
      </c>
    </row>
    <row r="268" spans="15:36">
      <c r="O268" s="15">
        <v>265</v>
      </c>
      <c r="P268" s="33">
        <v>3371821.2852042927</v>
      </c>
      <c r="Q268" s="33">
        <v>85202425.077926993</v>
      </c>
      <c r="R268" s="146">
        <v>-81830603.792722702</v>
      </c>
      <c r="S268" s="31">
        <v>76551.895277109521</v>
      </c>
      <c r="T268" s="31">
        <v>10056.541800229692</v>
      </c>
      <c r="U268" s="142">
        <v>66495.353476879827</v>
      </c>
      <c r="AE268" s="137">
        <f t="shared" si="24"/>
        <v>1.6587609210954204</v>
      </c>
      <c r="AF268" s="131">
        <f t="shared" ca="1" si="20"/>
        <v>-81004122.960143179</v>
      </c>
      <c r="AG268" s="131">
        <f t="shared" ca="1" si="21"/>
        <v>2077435.6183616859</v>
      </c>
      <c r="AI268" s="131">
        <f t="shared" si="22"/>
        <v>-81830603.792722702</v>
      </c>
      <c r="AJ268" s="31">
        <f t="shared" si="23"/>
        <v>66495.353476879827</v>
      </c>
    </row>
    <row r="269" spans="15:36">
      <c r="O269" s="15">
        <v>266</v>
      </c>
      <c r="P269" s="33">
        <v>3543723.1171721811</v>
      </c>
      <c r="Q269" s="33">
        <v>99171583.479019359</v>
      </c>
      <c r="R269" s="146">
        <v>-95627860.361847177</v>
      </c>
      <c r="S269" s="31">
        <v>68393.138916473268</v>
      </c>
      <c r="T269" s="31">
        <v>9282.1102418688715</v>
      </c>
      <c r="U269" s="142">
        <v>59111.0286746044</v>
      </c>
      <c r="AE269" s="137">
        <f t="shared" si="24"/>
        <v>1.6650441064026</v>
      </c>
      <c r="AF269" s="131">
        <f t="shared" ca="1" si="20"/>
        <v>-80854772.249922216</v>
      </c>
      <c r="AG269" s="131">
        <f t="shared" ca="1" si="21"/>
        <v>2226846.1291761822</v>
      </c>
      <c r="AI269" s="131">
        <f t="shared" si="22"/>
        <v>-95627860.361847177</v>
      </c>
      <c r="AJ269" s="31">
        <f t="shared" si="23"/>
        <v>59111.0286746044</v>
      </c>
    </row>
    <row r="270" spans="15:36">
      <c r="O270" s="15">
        <v>267</v>
      </c>
      <c r="P270" s="33">
        <v>3649988.2099212776</v>
      </c>
      <c r="Q270" s="33">
        <v>95104700.292609736</v>
      </c>
      <c r="R270" s="146">
        <v>-91454712.082688466</v>
      </c>
      <c r="S270" s="31">
        <v>169512.98457091252</v>
      </c>
      <c r="T270" s="31">
        <v>7618.5529134534681</v>
      </c>
      <c r="U270" s="142">
        <v>161894.43165745906</v>
      </c>
      <c r="AE270" s="137">
        <f t="shared" si="24"/>
        <v>1.6713272917097797</v>
      </c>
      <c r="AF270" s="131">
        <f t="shared" ca="1" si="20"/>
        <v>-80705510.238040686</v>
      </c>
      <c r="AG270" s="131">
        <f t="shared" ca="1" si="21"/>
        <v>2376172.0532056154</v>
      </c>
      <c r="AI270" s="131">
        <f t="shared" si="22"/>
        <v>-91454712.082688466</v>
      </c>
      <c r="AJ270" s="31">
        <f t="shared" si="23"/>
        <v>161894.43165745906</v>
      </c>
    </row>
    <row r="271" spans="15:36">
      <c r="O271" s="15">
        <v>268</v>
      </c>
      <c r="P271" s="33">
        <v>2794860.318583244</v>
      </c>
      <c r="Q271" s="33">
        <v>95263943.285984382</v>
      </c>
      <c r="R271" s="146">
        <v>-92469082.967401132</v>
      </c>
      <c r="S271" s="31">
        <v>101747.79429945569</v>
      </c>
      <c r="T271" s="31">
        <v>12286.686610477354</v>
      </c>
      <c r="U271" s="142">
        <v>89461.107688978344</v>
      </c>
      <c r="AE271" s="137">
        <f t="shared" si="24"/>
        <v>1.6776104770169593</v>
      </c>
      <c r="AF271" s="131">
        <f t="shared" ca="1" si="20"/>
        <v>-80556342.81710726</v>
      </c>
      <c r="AG271" s="131">
        <f t="shared" ca="1" si="21"/>
        <v>2525407.4953181907</v>
      </c>
      <c r="AI271" s="131">
        <f t="shared" si="22"/>
        <v>-92469082.967401132</v>
      </c>
      <c r="AJ271" s="31">
        <f t="shared" si="23"/>
        <v>89461.107688978344</v>
      </c>
    </row>
    <row r="272" spans="15:36">
      <c r="O272" s="15">
        <v>269</v>
      </c>
      <c r="P272" s="33">
        <v>3706757.6886920766</v>
      </c>
      <c r="Q272" s="33">
        <v>86532577.184551835</v>
      </c>
      <c r="R272" s="146">
        <v>-82825819.495859757</v>
      </c>
      <c r="S272" s="31">
        <v>92405.473461248912</v>
      </c>
      <c r="T272" s="31">
        <v>11097.301294786968</v>
      </c>
      <c r="U272" s="142">
        <v>81308.17216646194</v>
      </c>
      <c r="AE272" s="137">
        <f t="shared" si="24"/>
        <v>1.683893662324139</v>
      </c>
      <c r="AF272" s="131">
        <f t="shared" ca="1" si="20"/>
        <v>-80407275.875996292</v>
      </c>
      <c r="AG272" s="131">
        <f t="shared" ca="1" si="21"/>
        <v>2674546.5639541857</v>
      </c>
      <c r="AI272" s="131">
        <f t="shared" si="22"/>
        <v>-82825819.495859757</v>
      </c>
      <c r="AJ272" s="31">
        <f t="shared" si="23"/>
        <v>81308.17216646194</v>
      </c>
    </row>
    <row r="273" spans="15:36">
      <c r="O273" s="15">
        <v>270</v>
      </c>
      <c r="P273" s="33">
        <v>3117563.9525353382</v>
      </c>
      <c r="Q273" s="33">
        <v>104368040.3530156</v>
      </c>
      <c r="R273" s="146">
        <v>-101250476.40048027</v>
      </c>
      <c r="S273" s="31">
        <v>53438.624598616276</v>
      </c>
      <c r="T273" s="31">
        <v>10923.888349141229</v>
      </c>
      <c r="U273" s="142">
        <v>42514.736249475049</v>
      </c>
      <c r="AE273" s="137">
        <f t="shared" si="24"/>
        <v>1.6901768476313186</v>
      </c>
      <c r="AF273" s="131">
        <f t="shared" ca="1" si="20"/>
        <v>-80258315.299615383</v>
      </c>
      <c r="AG273" s="131">
        <f t="shared" ca="1" si="21"/>
        <v>2823583.3713585376</v>
      </c>
      <c r="AI273" s="131">
        <f t="shared" si="22"/>
        <v>-101250476.40048027</v>
      </c>
      <c r="AJ273" s="31">
        <f t="shared" si="23"/>
        <v>42514.736249475049</v>
      </c>
    </row>
    <row r="274" spans="15:36">
      <c r="O274" s="15">
        <v>271</v>
      </c>
      <c r="P274" s="33">
        <v>3287811.4788356568</v>
      </c>
      <c r="Q274" s="33">
        <v>94176103.379005671</v>
      </c>
      <c r="R274" s="146">
        <v>-90888291.900170013</v>
      </c>
      <c r="S274" s="31">
        <v>81347.874439858686</v>
      </c>
      <c r="T274" s="31">
        <v>12161.149022242007</v>
      </c>
      <c r="U274" s="142">
        <v>69186.725417616675</v>
      </c>
      <c r="AE274" s="137">
        <f t="shared" si="24"/>
        <v>1.6964600329384982</v>
      </c>
      <c r="AF274" s="131">
        <f t="shared" ca="1" si="20"/>
        <v>-80109466.968673006</v>
      </c>
      <c r="AG274" s="131">
        <f t="shared" ca="1" si="21"/>
        <v>2972512.0338132828</v>
      </c>
      <c r="AI274" s="131">
        <f t="shared" si="22"/>
        <v>-90888291.900170013</v>
      </c>
      <c r="AJ274" s="31">
        <f t="shared" si="23"/>
        <v>69186.725417616675</v>
      </c>
    </row>
    <row r="275" spans="15:36">
      <c r="O275" s="15">
        <v>272</v>
      </c>
      <c r="P275" s="33">
        <v>3347479.1593217566</v>
      </c>
      <c r="Q275" s="33">
        <v>83943410.227972969</v>
      </c>
      <c r="R275" s="146">
        <v>-80595931.068651214</v>
      </c>
      <c r="S275" s="31">
        <v>89848.812926410144</v>
      </c>
      <c r="T275" s="31">
        <v>22587.637114268822</v>
      </c>
      <c r="U275" s="142">
        <v>67261.17581214133</v>
      </c>
      <c r="AE275" s="137">
        <f t="shared" si="24"/>
        <v>1.7027432182456779</v>
      </c>
      <c r="AF275" s="131">
        <f t="shared" ca="1" si="20"/>
        <v>-79960736.759446412</v>
      </c>
      <c r="AG275" s="131">
        <f t="shared" ca="1" si="21"/>
        <v>3121326.671869833</v>
      </c>
      <c r="AI275" s="131">
        <f t="shared" si="22"/>
        <v>-80595931.068651214</v>
      </c>
      <c r="AJ275" s="31">
        <f t="shared" si="23"/>
        <v>67261.17581214133</v>
      </c>
    </row>
    <row r="276" spans="15:36">
      <c r="O276" s="15">
        <v>273</v>
      </c>
      <c r="P276" s="33">
        <v>3310391.2793710446</v>
      </c>
      <c r="Q276" s="33">
        <v>98782655.170282215</v>
      </c>
      <c r="R276" s="146">
        <v>-95472263.890911177</v>
      </c>
      <c r="S276" s="31">
        <v>57486.65376433076</v>
      </c>
      <c r="T276" s="31">
        <v>21015.964229139114</v>
      </c>
      <c r="U276" s="142">
        <v>36470.689535191646</v>
      </c>
      <c r="AE276" s="137">
        <f t="shared" si="24"/>
        <v>1.7090264035528575</v>
      </c>
      <c r="AF276" s="131">
        <f t="shared" ca="1" si="20"/>
        <v>-79812130.543549597</v>
      </c>
      <c r="AG276" s="131">
        <f t="shared" ca="1" si="21"/>
        <v>3270021.41058109</v>
      </c>
      <c r="AI276" s="131">
        <f t="shared" si="22"/>
        <v>-95472263.890911177</v>
      </c>
      <c r="AJ276" s="31">
        <f t="shared" si="23"/>
        <v>36470.689535191646</v>
      </c>
    </row>
    <row r="277" spans="15:36">
      <c r="O277" s="15">
        <v>274</v>
      </c>
      <c r="P277" s="33">
        <v>3908554.9286073069</v>
      </c>
      <c r="Q277" s="33">
        <v>108842346.96631753</v>
      </c>
      <c r="R277" s="146">
        <v>-104933792.03771023</v>
      </c>
      <c r="S277" s="31">
        <v>133527.7810243892</v>
      </c>
      <c r="T277" s="31">
        <v>8060.7977936635089</v>
      </c>
      <c r="U277" s="142">
        <v>125466.98323072569</v>
      </c>
      <c r="AE277" s="137">
        <f t="shared" si="24"/>
        <v>1.7153095888600371</v>
      </c>
      <c r="AF277" s="131">
        <f t="shared" ca="1" si="20"/>
        <v>-79663654.187701494</v>
      </c>
      <c r="AG277" s="131">
        <f t="shared" ca="1" si="21"/>
        <v>3418590.3797333753</v>
      </c>
      <c r="AI277" s="131">
        <f t="shared" si="22"/>
        <v>-104933792.03771023</v>
      </c>
      <c r="AJ277" s="31">
        <f t="shared" si="23"/>
        <v>125466.98323072569</v>
      </c>
    </row>
    <row r="278" spans="15:36">
      <c r="O278" s="15">
        <v>275</v>
      </c>
      <c r="P278" s="33">
        <v>3058818.3451998727</v>
      </c>
      <c r="Q278" s="33">
        <v>90761945.775145188</v>
      </c>
      <c r="R278" s="146">
        <v>-87703127.42994532</v>
      </c>
      <c r="S278" s="31">
        <v>275739.69651801826</v>
      </c>
      <c r="T278" s="31">
        <v>4847.6836572285465</v>
      </c>
      <c r="U278" s="142">
        <v>270892.01286078972</v>
      </c>
      <c r="AE278" s="137">
        <f t="shared" si="24"/>
        <v>1.7215927741672168</v>
      </c>
      <c r="AF278" s="131">
        <f t="shared" ca="1" si="20"/>
        <v>-79515313.553494424</v>
      </c>
      <c r="AG278" s="131">
        <f t="shared" ca="1" si="21"/>
        <v>3567027.7140781772</v>
      </c>
      <c r="AI278" s="131">
        <f t="shared" si="22"/>
        <v>-87703127.42994532</v>
      </c>
      <c r="AJ278" s="31">
        <f t="shared" si="23"/>
        <v>270892.01286078972</v>
      </c>
    </row>
    <row r="279" spans="15:36">
      <c r="O279" s="15">
        <v>276</v>
      </c>
      <c r="P279" s="33">
        <v>3346662.4112850325</v>
      </c>
      <c r="Q279" s="33">
        <v>109017653.18255129</v>
      </c>
      <c r="R279" s="146">
        <v>-105670990.77126627</v>
      </c>
      <c r="S279" s="31">
        <v>141401.37390138133</v>
      </c>
      <c r="T279" s="31">
        <v>15433.398743925991</v>
      </c>
      <c r="U279" s="142">
        <v>125967.97515745534</v>
      </c>
      <c r="AE279" s="137">
        <f t="shared" si="24"/>
        <v>1.7278759594743964</v>
      </c>
      <c r="AF279" s="131">
        <f t="shared" ca="1" si="20"/>
        <v>-79367114.497162595</v>
      </c>
      <c r="AG279" s="131">
        <f t="shared" ca="1" si="21"/>
        <v>3715327.5535637029</v>
      </c>
      <c r="AI279" s="131">
        <f t="shared" si="22"/>
        <v>-105670990.77126627</v>
      </c>
      <c r="AJ279" s="31">
        <f t="shared" si="23"/>
        <v>125967.97515745534</v>
      </c>
    </row>
    <row r="280" spans="15:36">
      <c r="O280" s="15">
        <v>277</v>
      </c>
      <c r="P280" s="33">
        <v>3393424.4544386142</v>
      </c>
      <c r="Q280" s="33">
        <v>64421706.105910316</v>
      </c>
      <c r="R280" s="146">
        <v>-61028281.651471704</v>
      </c>
      <c r="S280" s="31">
        <v>49063.311609805969</v>
      </c>
      <c r="T280" s="31">
        <v>11189.559692883759</v>
      </c>
      <c r="U280" s="142">
        <v>37873.751916922207</v>
      </c>
      <c r="AE280" s="137">
        <f t="shared" si="24"/>
        <v>1.7341591447815761</v>
      </c>
      <c r="AF280" s="131">
        <f t="shared" ca="1" si="20"/>
        <v>-79219062.869351029</v>
      </c>
      <c r="AG280" s="131">
        <f t="shared" ca="1" si="21"/>
        <v>3863484.0435662172</v>
      </c>
      <c r="AI280" s="131">
        <f t="shared" si="22"/>
        <v>-61028281.651471704</v>
      </c>
      <c r="AJ280" s="31">
        <f t="shared" si="23"/>
        <v>37873.751916922207</v>
      </c>
    </row>
    <row r="281" spans="15:36">
      <c r="O281" s="15">
        <v>278</v>
      </c>
      <c r="P281" s="33">
        <v>2845974.8129302599</v>
      </c>
      <c r="Q281" s="33">
        <v>78002693.898234785</v>
      </c>
      <c r="R281" s="146">
        <v>-75156719.085304528</v>
      </c>
      <c r="S281" s="31">
        <v>59313.546031167345</v>
      </c>
      <c r="T281" s="31">
        <v>9685.9368624064155</v>
      </c>
      <c r="U281" s="142">
        <v>49627.60916876093</v>
      </c>
      <c r="AE281" s="137">
        <f t="shared" si="24"/>
        <v>1.7404423300887557</v>
      </c>
      <c r="AF281" s="131">
        <f t="shared" ca="1" si="20"/>
        <v>-79071164.514884457</v>
      </c>
      <c r="AG281" s="131">
        <f t="shared" ca="1" si="21"/>
        <v>4011491.3351211818</v>
      </c>
      <c r="AI281" s="131">
        <f t="shared" si="22"/>
        <v>-75156719.085304528</v>
      </c>
      <c r="AJ281" s="31">
        <f t="shared" si="23"/>
        <v>49627.60916876093</v>
      </c>
    </row>
    <row r="282" spans="15:36">
      <c r="O282" s="15">
        <v>279</v>
      </c>
      <c r="P282" s="33">
        <v>3301976.7024021689</v>
      </c>
      <c r="Q282" s="33">
        <v>99975060.679757684</v>
      </c>
      <c r="R282" s="146">
        <v>-96673083.97735551</v>
      </c>
      <c r="S282" s="31">
        <v>95801.313495882117</v>
      </c>
      <c r="T282" s="31">
        <v>9513.805867488536</v>
      </c>
      <c r="U282" s="142">
        <v>86287.507628393578</v>
      </c>
      <c r="AE282" s="137">
        <f t="shared" si="24"/>
        <v>1.7467255153959353</v>
      </c>
      <c r="AF282" s="131">
        <f t="shared" ca="1" si="20"/>
        <v>-78923425.27253668</v>
      </c>
      <c r="AG282" s="131">
        <f t="shared" ca="1" si="21"/>
        <v>4159343.5851541529</v>
      </c>
      <c r="AI282" s="131">
        <f t="shared" si="22"/>
        <v>-96673083.97735551</v>
      </c>
      <c r="AJ282" s="31">
        <f t="shared" si="23"/>
        <v>86287.507628393578</v>
      </c>
    </row>
    <row r="283" spans="15:36">
      <c r="O283" s="15">
        <v>280</v>
      </c>
      <c r="P283" s="33">
        <v>2873705.0827840497</v>
      </c>
      <c r="Q283" s="33">
        <v>70957711.573298201</v>
      </c>
      <c r="R283" s="146">
        <v>-68084006.490514144</v>
      </c>
      <c r="S283" s="31">
        <v>176548.31380252721</v>
      </c>
      <c r="T283" s="31">
        <v>7475.2176104605796</v>
      </c>
      <c r="U283" s="142">
        <v>169073.09619206662</v>
      </c>
      <c r="AE283" s="137">
        <f t="shared" si="24"/>
        <v>1.753008700703115</v>
      </c>
      <c r="AF283" s="131">
        <f t="shared" ca="1" si="20"/>
        <v>-78775850.97480002</v>
      </c>
      <c r="AG283" s="131">
        <f t="shared" ca="1" si="21"/>
        <v>4307034.9567114636</v>
      </c>
      <c r="AI283" s="131">
        <f t="shared" si="22"/>
        <v>-68084006.490514144</v>
      </c>
      <c r="AJ283" s="31">
        <f t="shared" si="23"/>
        <v>169073.09619206662</v>
      </c>
    </row>
    <row r="284" spans="15:36">
      <c r="O284" s="15">
        <v>281</v>
      </c>
      <c r="P284" s="33">
        <v>2768740.565603314</v>
      </c>
      <c r="Q284" s="33">
        <v>82790559.180271089</v>
      </c>
      <c r="R284" s="146">
        <v>-80021818.614667773</v>
      </c>
      <c r="S284" s="31">
        <v>144334.0075180406</v>
      </c>
      <c r="T284" s="31">
        <v>12483.047752444389</v>
      </c>
      <c r="U284" s="142">
        <v>131850.9597655962</v>
      </c>
      <c r="AE284" s="137">
        <f t="shared" si="24"/>
        <v>1.7592918860102946</v>
      </c>
      <c r="AF284" s="131">
        <f t="shared" ca="1" si="20"/>
        <v>-78628447.447655067</v>
      </c>
      <c r="AG284" s="131">
        <f t="shared" ca="1" si="21"/>
        <v>4454559.6191906538</v>
      </c>
      <c r="AI284" s="131">
        <f t="shared" si="22"/>
        <v>-80021818.614667773</v>
      </c>
      <c r="AJ284" s="31">
        <f t="shared" si="23"/>
        <v>131850.9597655962</v>
      </c>
    </row>
    <row r="285" spans="15:36">
      <c r="O285" s="15">
        <v>282</v>
      </c>
      <c r="P285" s="33">
        <v>3280166.9044169937</v>
      </c>
      <c r="Q285" s="33">
        <v>76903929.002015129</v>
      </c>
      <c r="R285" s="146">
        <v>-73623762.097598135</v>
      </c>
      <c r="S285" s="31">
        <v>79704.13271076337</v>
      </c>
      <c r="T285" s="31">
        <v>7213.6771240678245</v>
      </c>
      <c r="U285" s="142">
        <v>72490.455586695549</v>
      </c>
      <c r="AE285" s="137">
        <f t="shared" si="24"/>
        <v>1.7655750713174743</v>
      </c>
      <c r="AF285" s="131">
        <f t="shared" ca="1" si="20"/>
        <v>-78481220.510340676</v>
      </c>
      <c r="AG285" s="131">
        <f t="shared" ca="1" si="21"/>
        <v>4601911.7485706517</v>
      </c>
      <c r="AI285" s="131">
        <f t="shared" si="22"/>
        <v>-73623762.097598135</v>
      </c>
      <c r="AJ285" s="31">
        <f t="shared" si="23"/>
        <v>72490.455586695549</v>
      </c>
    </row>
    <row r="286" spans="15:36">
      <c r="O286" s="15">
        <v>283</v>
      </c>
      <c r="P286" s="33">
        <v>2857405.5461281147</v>
      </c>
      <c r="Q286" s="33">
        <v>80373006.776076362</v>
      </c>
      <c r="R286" s="146">
        <v>-77515601.229948252</v>
      </c>
      <c r="S286" s="31">
        <v>118110.59003787983</v>
      </c>
      <c r="T286" s="31">
        <v>10171.989673784063</v>
      </c>
      <c r="U286" s="142">
        <v>107938.60036409576</v>
      </c>
      <c r="AE286" s="137">
        <f t="shared" si="24"/>
        <v>1.7718582566246539</v>
      </c>
      <c r="AF286" s="131">
        <f t="shared" ca="1" si="20"/>
        <v>-78334175.975124225</v>
      </c>
      <c r="AG286" s="131">
        <f t="shared" ca="1" si="21"/>
        <v>4749085.5276416941</v>
      </c>
      <c r="AI286" s="131">
        <f t="shared" si="22"/>
        <v>-77515601.229948252</v>
      </c>
      <c r="AJ286" s="31">
        <f t="shared" si="23"/>
        <v>107938.60036409576</v>
      </c>
    </row>
    <row r="287" spans="15:36">
      <c r="O287" s="15">
        <v>284</v>
      </c>
      <c r="P287" s="33">
        <v>3224448.9428989114</v>
      </c>
      <c r="Q287" s="33">
        <v>93024803.434829697</v>
      </c>
      <c r="R287" s="146">
        <v>-89800354.491930783</v>
      </c>
      <c r="S287" s="31">
        <v>128528.72646315207</v>
      </c>
      <c r="T287" s="31">
        <v>11923.071182477806</v>
      </c>
      <c r="U287" s="142">
        <v>116605.65528067425</v>
      </c>
      <c r="AE287" s="137">
        <f t="shared" si="24"/>
        <v>1.7781414419318335</v>
      </c>
      <c r="AF287" s="131">
        <f t="shared" ca="1" si="20"/>
        <v>-78187319.647072211</v>
      </c>
      <c r="AG287" s="131">
        <f t="shared" ca="1" si="21"/>
        <v>4896075.1462349873</v>
      </c>
      <c r="AI287" s="131">
        <f t="shared" si="22"/>
        <v>-89800354.491930783</v>
      </c>
      <c r="AJ287" s="31">
        <f t="shared" si="23"/>
        <v>116605.65528067425</v>
      </c>
    </row>
    <row r="288" spans="15:36">
      <c r="O288" s="15">
        <v>285</v>
      </c>
      <c r="P288" s="33">
        <v>3198776.3759833383</v>
      </c>
      <c r="Q288" s="33">
        <v>70576335.944457084</v>
      </c>
      <c r="R288" s="146">
        <v>-67377559.568473741</v>
      </c>
      <c r="S288" s="31">
        <v>158349.69525811943</v>
      </c>
      <c r="T288" s="31">
        <v>16624.796522329052</v>
      </c>
      <c r="U288" s="142">
        <v>141724.8987357904</v>
      </c>
      <c r="AE288" s="137">
        <f t="shared" si="24"/>
        <v>1.7844246272390132</v>
      </c>
      <c r="AF288" s="131">
        <f t="shared" ca="1" si="20"/>
        <v>-78040657.323820978</v>
      </c>
      <c r="AG288" s="131">
        <f t="shared" ca="1" si="21"/>
        <v>5042874.8014520761</v>
      </c>
      <c r="AI288" s="131">
        <f t="shared" si="22"/>
        <v>-67377559.568473741</v>
      </c>
      <c r="AJ288" s="31">
        <f t="shared" si="23"/>
        <v>141724.8987357904</v>
      </c>
    </row>
    <row r="289" spans="15:36">
      <c r="O289" s="15">
        <v>286</v>
      </c>
      <c r="P289" s="33">
        <v>2540996.8410725729</v>
      </c>
      <c r="Q289" s="33">
        <v>90333925.435121551</v>
      </c>
      <c r="R289" s="146">
        <v>-87792928.594048977</v>
      </c>
      <c r="S289" s="31">
        <v>144084.52489699496</v>
      </c>
      <c r="T289" s="31">
        <v>14667.898358858212</v>
      </c>
      <c r="U289" s="142">
        <v>129416.62653813674</v>
      </c>
      <c r="AE289" s="137">
        <f t="shared" si="24"/>
        <v>1.7907078125461928</v>
      </c>
      <c r="AF289" s="131">
        <f t="shared" ca="1" si="20"/>
        <v>-77894194.795347929</v>
      </c>
      <c r="AG289" s="131">
        <f t="shared" ca="1" si="21"/>
        <v>5189478.6978939315</v>
      </c>
      <c r="AI289" s="131">
        <f t="shared" si="22"/>
        <v>-87792928.594048977</v>
      </c>
      <c r="AJ289" s="31">
        <f t="shared" si="23"/>
        <v>129416.62653813674</v>
      </c>
    </row>
    <row r="290" spans="15:36">
      <c r="O290" s="15">
        <v>287</v>
      </c>
      <c r="P290" s="33">
        <v>3296506.7445243355</v>
      </c>
      <c r="Q290" s="33">
        <v>86288424.469757766</v>
      </c>
      <c r="R290" s="146">
        <v>-82991917.725233436</v>
      </c>
      <c r="S290" s="31">
        <v>118822.45203478046</v>
      </c>
      <c r="T290" s="31">
        <v>16256.223563033029</v>
      </c>
      <c r="U290" s="142">
        <v>102566.22847174744</v>
      </c>
      <c r="AE290" s="137">
        <f t="shared" si="24"/>
        <v>1.7969909978533725</v>
      </c>
      <c r="AF290" s="131">
        <f t="shared" ca="1" si="20"/>
        <v>-77747937.843742922</v>
      </c>
      <c r="AG290" s="131">
        <f t="shared" ca="1" si="21"/>
        <v>5335881.0478897505</v>
      </c>
      <c r="AI290" s="131">
        <f t="shared" si="22"/>
        <v>-82991917.725233436</v>
      </c>
      <c r="AJ290" s="31">
        <f t="shared" si="23"/>
        <v>102566.22847174744</v>
      </c>
    </row>
    <row r="291" spans="15:36">
      <c r="O291" s="15">
        <v>288</v>
      </c>
      <c r="P291" s="33">
        <v>3703420.5748745315</v>
      </c>
      <c r="Q291" s="33">
        <v>94594318.710667163</v>
      </c>
      <c r="R291" s="146">
        <v>-90890898.135792628</v>
      </c>
      <c r="S291" s="31">
        <v>59332.485670614413</v>
      </c>
      <c r="T291" s="31">
        <v>5982.2582316029493</v>
      </c>
      <c r="U291" s="142">
        <v>53350.227439011462</v>
      </c>
      <c r="AE291" s="137">
        <f t="shared" si="24"/>
        <v>1.8032741831605521</v>
      </c>
      <c r="AF291" s="131">
        <f t="shared" ca="1" si="20"/>
        <v>-77601892.242979959</v>
      </c>
      <c r="AG291" s="131">
        <f t="shared" ca="1" si="21"/>
        <v>5482076.0717254356</v>
      </c>
      <c r="AI291" s="131">
        <f t="shared" si="22"/>
        <v>-90890898.135792628</v>
      </c>
      <c r="AJ291" s="31">
        <f t="shared" si="23"/>
        <v>53350.227439011462</v>
      </c>
    </row>
    <row r="292" spans="15:36">
      <c r="O292" s="15">
        <v>289</v>
      </c>
      <c r="P292" s="33">
        <v>2714808.7086610473</v>
      </c>
      <c r="Q292" s="33">
        <v>75510432.940091819</v>
      </c>
      <c r="R292" s="146">
        <v>-72795624.231430769</v>
      </c>
      <c r="S292" s="31">
        <v>30735.77188260671</v>
      </c>
      <c r="T292" s="31">
        <v>7186.63355875036</v>
      </c>
      <c r="U292" s="142">
        <v>23549.13832385635</v>
      </c>
      <c r="AE292" s="137">
        <f t="shared" si="24"/>
        <v>1.8095573684677317</v>
      </c>
      <c r="AF292" s="131">
        <f t="shared" ca="1" si="20"/>
        <v>-77456063.758689284</v>
      </c>
      <c r="AG292" s="131">
        <f t="shared" ca="1" si="21"/>
        <v>5628057.9978717715</v>
      </c>
      <c r="AI292" s="131">
        <f t="shared" si="22"/>
        <v>-72795624.231430769</v>
      </c>
      <c r="AJ292" s="31">
        <f t="shared" si="23"/>
        <v>23549.13832385635</v>
      </c>
    </row>
    <row r="293" spans="15:36">
      <c r="O293" s="15">
        <v>290</v>
      </c>
      <c r="P293" s="33">
        <v>3623892.6224067188</v>
      </c>
      <c r="Q293" s="33">
        <v>80247882.820453927</v>
      </c>
      <c r="R293" s="146">
        <v>-76623990.198047206</v>
      </c>
      <c r="S293" s="31">
        <v>91192.728372512094</v>
      </c>
      <c r="T293" s="31">
        <v>12420.825995017291</v>
      </c>
      <c r="U293" s="142">
        <v>78771.9023774948</v>
      </c>
      <c r="AE293" s="137">
        <f t="shared" si="24"/>
        <v>1.8158405537749114</v>
      </c>
      <c r="AF293" s="131">
        <f t="shared" ca="1" si="20"/>
        <v>-77310458.147929773</v>
      </c>
      <c r="AG293" s="131">
        <f t="shared" ca="1" si="21"/>
        <v>5773821.0632122746</v>
      </c>
      <c r="AI293" s="131">
        <f t="shared" si="22"/>
        <v>-76623990.198047206</v>
      </c>
      <c r="AJ293" s="31">
        <f t="shared" si="23"/>
        <v>78771.9023774948</v>
      </c>
    </row>
    <row r="294" spans="15:36">
      <c r="O294" s="15">
        <v>291</v>
      </c>
      <c r="P294" s="33">
        <v>3356087.3190608849</v>
      </c>
      <c r="Q294" s="33">
        <v>84116201.247358009</v>
      </c>
      <c r="R294" s="146">
        <v>-80760113.928297117</v>
      </c>
      <c r="S294" s="31">
        <v>110152.90097110929</v>
      </c>
      <c r="T294" s="31">
        <v>2938.0565320803407</v>
      </c>
      <c r="U294" s="142">
        <v>107214.84443902895</v>
      </c>
      <c r="AE294" s="137">
        <f t="shared" si="24"/>
        <v>1.822123739082091</v>
      </c>
      <c r="AF294" s="131">
        <f t="shared" ca="1" si="20"/>
        <v>-77165081.158961624</v>
      </c>
      <c r="AG294" s="131">
        <f t="shared" ca="1" si="21"/>
        <v>5919359.5132707115</v>
      </c>
      <c r="AI294" s="131">
        <f t="shared" si="22"/>
        <v>-80760113.928297117</v>
      </c>
      <c r="AJ294" s="31">
        <f t="shared" si="23"/>
        <v>107214.84443902895</v>
      </c>
    </row>
    <row r="295" spans="15:36">
      <c r="O295" s="15">
        <v>292</v>
      </c>
      <c r="P295" s="33">
        <v>3342547.7003986831</v>
      </c>
      <c r="Q295" s="33">
        <v>74239370.038344264</v>
      </c>
      <c r="R295" s="146">
        <v>-70896822.33794558</v>
      </c>
      <c r="S295" s="31">
        <v>48091.744286415225</v>
      </c>
      <c r="T295" s="31">
        <v>16239.439820639631</v>
      </c>
      <c r="U295" s="142">
        <v>31852.304465775596</v>
      </c>
      <c r="AE295" s="137">
        <f t="shared" si="24"/>
        <v>1.8284069243892707</v>
      </c>
      <c r="AF295" s="131">
        <f t="shared" ca="1" si="20"/>
        <v>-77019938.531019405</v>
      </c>
      <c r="AG295" s="131">
        <f t="shared" ca="1" si="21"/>
        <v>6064667.6024382766</v>
      </c>
      <c r="AI295" s="131">
        <f t="shared" si="22"/>
        <v>-70896822.33794558</v>
      </c>
      <c r="AJ295" s="31">
        <f t="shared" si="23"/>
        <v>31852.304465775596</v>
      </c>
    </row>
    <row r="296" spans="15:36">
      <c r="O296" s="15">
        <v>293</v>
      </c>
      <c r="P296" s="33">
        <v>2980224.5561809451</v>
      </c>
      <c r="Q296" s="33">
        <v>73549641.797260538</v>
      </c>
      <c r="R296" s="146">
        <v>-70569417.241079599</v>
      </c>
      <c r="S296" s="31">
        <v>53943.865026836385</v>
      </c>
      <c r="T296" s="31">
        <v>9971.3224118147336</v>
      </c>
      <c r="U296" s="142">
        <v>43972.542615021652</v>
      </c>
      <c r="AE296" s="137">
        <f t="shared" si="24"/>
        <v>1.8346901096964503</v>
      </c>
      <c r="AF296" s="131">
        <f t="shared" ca="1" si="20"/>
        <v>-76875035.99408558</v>
      </c>
      <c r="AG296" s="131">
        <f t="shared" ca="1" si="21"/>
        <v>6209739.5942004165</v>
      </c>
      <c r="AI296" s="131">
        <f t="shared" si="22"/>
        <v>-70569417.241079599</v>
      </c>
      <c r="AJ296" s="31">
        <f t="shared" si="23"/>
        <v>43972.542615021652</v>
      </c>
    </row>
    <row r="297" spans="15:36">
      <c r="O297" s="15">
        <v>294</v>
      </c>
      <c r="P297" s="33">
        <v>2990164.4624817865</v>
      </c>
      <c r="Q297" s="33">
        <v>83816023.090140522</v>
      </c>
      <c r="R297" s="146">
        <v>-80825858.62765874</v>
      </c>
      <c r="S297" s="31">
        <v>65392.029760927013</v>
      </c>
      <c r="T297" s="31">
        <v>12060.173537686709</v>
      </c>
      <c r="U297" s="142">
        <v>53331.856223240306</v>
      </c>
      <c r="AE297" s="137">
        <f t="shared" si="24"/>
        <v>1.8409732950036299</v>
      </c>
      <c r="AF297" s="131">
        <f t="shared" ca="1" si="20"/>
        <v>-76730379.268664166</v>
      </c>
      <c r="AG297" s="131">
        <f t="shared" ca="1" si="21"/>
        <v>6354569.7613633005</v>
      </c>
      <c r="AI297" s="131">
        <f t="shared" si="22"/>
        <v>-80825858.62765874</v>
      </c>
      <c r="AJ297" s="31">
        <f t="shared" si="23"/>
        <v>53331.856223240306</v>
      </c>
    </row>
    <row r="298" spans="15:36">
      <c r="O298" s="15">
        <v>295</v>
      </c>
      <c r="P298" s="33">
        <v>3129917.2301427862</v>
      </c>
      <c r="Q298" s="33">
        <v>83685850.78260085</v>
      </c>
      <c r="R298" s="146">
        <v>-80555933.552458063</v>
      </c>
      <c r="S298" s="31">
        <v>121826.4131191138</v>
      </c>
      <c r="T298" s="31">
        <v>13069.17907577569</v>
      </c>
      <c r="U298" s="142">
        <v>108757.2340433381</v>
      </c>
      <c r="AE298" s="137">
        <f t="shared" si="24"/>
        <v>1.8472564803108096</v>
      </c>
      <c r="AF298" s="131">
        <f t="shared" ca="1" si="20"/>
        <v>-76585974.065555021</v>
      </c>
      <c r="AG298" s="131">
        <f t="shared" ca="1" si="21"/>
        <v>6499152.3862799155</v>
      </c>
      <c r="AI298" s="131">
        <f t="shared" si="22"/>
        <v>-80555933.552458063</v>
      </c>
      <c r="AJ298" s="31">
        <f t="shared" si="23"/>
        <v>108757.2340433381</v>
      </c>
    </row>
    <row r="299" spans="15:36">
      <c r="O299" s="15">
        <v>296</v>
      </c>
      <c r="P299" s="33">
        <v>2962675.877815539</v>
      </c>
      <c r="Q299" s="33">
        <v>84312881.851530969</v>
      </c>
      <c r="R299" s="146">
        <v>-81350205.973715425</v>
      </c>
      <c r="S299" s="31">
        <v>134959.1672272383</v>
      </c>
      <c r="T299" s="31">
        <v>6194.9164303907073</v>
      </c>
      <c r="U299" s="142">
        <v>128764.2507968476</v>
      </c>
      <c r="AE299" s="137">
        <f t="shared" si="24"/>
        <v>1.8535396656179892</v>
      </c>
      <c r="AF299" s="131">
        <f t="shared" ca="1" si="20"/>
        <v>-76441826.085628271</v>
      </c>
      <c r="AG299" s="131">
        <f t="shared" ca="1" si="21"/>
        <v>6643481.7610757947</v>
      </c>
      <c r="AI299" s="131">
        <f t="shared" si="22"/>
        <v>-81350205.973715425</v>
      </c>
      <c r="AJ299" s="31">
        <f t="shared" si="23"/>
        <v>128764.2507968476</v>
      </c>
    </row>
    <row r="300" spans="15:36">
      <c r="O300" s="15">
        <v>297</v>
      </c>
      <c r="P300" s="33">
        <v>3219739.7886379953</v>
      </c>
      <c r="Q300" s="33">
        <v>70403445.633274376</v>
      </c>
      <c r="R300" s="146">
        <v>-67183705.844636381</v>
      </c>
      <c r="S300" s="31">
        <v>83773.324471784581</v>
      </c>
      <c r="T300" s="31">
        <v>10684.249388132761</v>
      </c>
      <c r="U300" s="142">
        <v>73089.075083651813</v>
      </c>
      <c r="AE300" s="137">
        <f t="shared" si="24"/>
        <v>1.8598228509251689</v>
      </c>
      <c r="AF300" s="131">
        <f t="shared" ca="1" si="20"/>
        <v>-76297941.019599363</v>
      </c>
      <c r="AG300" s="131">
        <f t="shared" ca="1" si="21"/>
        <v>6787552.1878743563</v>
      </c>
      <c r="AI300" s="131">
        <f t="shared" si="22"/>
        <v>-67183705.844636381</v>
      </c>
      <c r="AJ300" s="31">
        <f t="shared" si="23"/>
        <v>73089.075083651813</v>
      </c>
    </row>
    <row r="301" spans="15:36">
      <c r="O301" s="15">
        <v>298</v>
      </c>
      <c r="P301" s="33">
        <v>3422301.2983962838</v>
      </c>
      <c r="Q301" s="33">
        <v>81732735.664864436</v>
      </c>
      <c r="R301" s="146">
        <v>-78310434.366468146</v>
      </c>
      <c r="S301" s="31">
        <v>111449.79164261726</v>
      </c>
      <c r="T301" s="31">
        <v>24654.257337777111</v>
      </c>
      <c r="U301" s="142">
        <v>86795.534304840141</v>
      </c>
      <c r="AE301" s="137">
        <f t="shared" si="24"/>
        <v>1.8661060362323485</v>
      </c>
      <c r="AF301" s="131">
        <f t="shared" ca="1" si="20"/>
        <v>-76154324.547804326</v>
      </c>
      <c r="AG301" s="131">
        <f t="shared" ca="1" si="21"/>
        <v>6931357.9790218351</v>
      </c>
      <c r="AI301" s="131">
        <f t="shared" si="22"/>
        <v>-78310434.366468146</v>
      </c>
      <c r="AJ301" s="31">
        <f t="shared" si="23"/>
        <v>86795.534304840141</v>
      </c>
    </row>
    <row r="302" spans="15:36">
      <c r="O302" s="15">
        <v>299</v>
      </c>
      <c r="P302" s="33">
        <v>3291643.4656110662</v>
      </c>
      <c r="Q302" s="33">
        <v>100208240.38396437</v>
      </c>
      <c r="R302" s="146">
        <v>-96916596.918353304</v>
      </c>
      <c r="S302" s="31">
        <v>87372.181883707701</v>
      </c>
      <c r="T302" s="31">
        <v>6112.4338820776602</v>
      </c>
      <c r="U302" s="142">
        <v>81259.74800163004</v>
      </c>
      <c r="AE302" s="137">
        <f t="shared" si="24"/>
        <v>1.8723892215395281</v>
      </c>
      <c r="AF302" s="131">
        <f t="shared" ca="1" si="20"/>
        <v>-76010982.339975566</v>
      </c>
      <c r="AG302" s="131">
        <f t="shared" ca="1" si="21"/>
        <v>7074893.4573118323</v>
      </c>
      <c r="AI302" s="131">
        <f t="shared" si="22"/>
        <v>-96916596.918353304</v>
      </c>
      <c r="AJ302" s="31">
        <f t="shared" si="23"/>
        <v>81259.74800163004</v>
      </c>
    </row>
    <row r="303" spans="15:36">
      <c r="O303" s="15">
        <v>300</v>
      </c>
      <c r="P303" s="33">
        <v>4241294.0830685422</v>
      </c>
      <c r="Q303" s="33">
        <v>92582616.701408684</v>
      </c>
      <c r="R303" s="146">
        <v>-88341322.618340135</v>
      </c>
      <c r="S303" s="31">
        <v>94687.159409648913</v>
      </c>
      <c r="T303" s="31">
        <v>12654.567082194557</v>
      </c>
      <c r="U303" s="142">
        <v>82032.59232745436</v>
      </c>
      <c r="AE303" s="137">
        <f t="shared" si="24"/>
        <v>1.8786724068467078</v>
      </c>
      <c r="AF303" s="131">
        <f t="shared" ca="1" si="20"/>
        <v>-75867920.055017978</v>
      </c>
      <c r="AG303" s="131">
        <f t="shared" ca="1" si="21"/>
        <v>7218152.9562094407</v>
      </c>
      <c r="AI303" s="131">
        <f t="shared" si="22"/>
        <v>-88341322.618340135</v>
      </c>
      <c r="AJ303" s="31">
        <f t="shared" si="23"/>
        <v>82032.59232745436</v>
      </c>
    </row>
    <row r="304" spans="15:36">
      <c r="O304" s="15">
        <v>301</v>
      </c>
      <c r="P304" s="33">
        <v>3815589.1622022255</v>
      </c>
      <c r="Q304" s="33">
        <v>78404811.465063885</v>
      </c>
      <c r="R304" s="146">
        <v>-74589222.302861661</v>
      </c>
      <c r="S304" s="31">
        <v>180099.72498638794</v>
      </c>
      <c r="T304" s="31">
        <v>14465.476582371337</v>
      </c>
      <c r="U304" s="142">
        <v>165634.2484040166</v>
      </c>
      <c r="AE304" s="137">
        <f t="shared" si="24"/>
        <v>1.8849555921538874</v>
      </c>
      <c r="AF304" s="131">
        <f t="shared" ca="1" si="20"/>
        <v>-75725143.340785652</v>
      </c>
      <c r="AG304" s="131">
        <f t="shared" ca="1" si="21"/>
        <v>7361130.8200749364</v>
      </c>
      <c r="AI304" s="131">
        <f t="shared" si="22"/>
        <v>-74589222.302861661</v>
      </c>
      <c r="AJ304" s="31">
        <f t="shared" si="23"/>
        <v>165634.2484040166</v>
      </c>
    </row>
    <row r="305" spans="15:36">
      <c r="O305" s="15">
        <v>302</v>
      </c>
      <c r="P305" s="33">
        <v>3295904.0156441834</v>
      </c>
      <c r="Q305" s="33">
        <v>93190861.111839563</v>
      </c>
      <c r="R305" s="146">
        <v>-89894957.096195385</v>
      </c>
      <c r="S305" s="31">
        <v>92962.718514025633</v>
      </c>
      <c r="T305" s="31">
        <v>7439.8829058609545</v>
      </c>
      <c r="U305" s="142">
        <v>85522.835608164678</v>
      </c>
      <c r="AE305" s="137">
        <f t="shared" si="24"/>
        <v>1.8912387774610671</v>
      </c>
      <c r="AF305" s="131">
        <f t="shared" ca="1" si="20"/>
        <v>-75582657.833858758</v>
      </c>
      <c r="AG305" s="131">
        <f t="shared" ca="1" si="21"/>
        <v>7503821.4043870773</v>
      </c>
      <c r="AI305" s="131">
        <f t="shared" si="22"/>
        <v>-89894957.096195385</v>
      </c>
      <c r="AJ305" s="31">
        <f t="shared" si="23"/>
        <v>85522.835608164678</v>
      </c>
    </row>
    <row r="306" spans="15:36">
      <c r="O306" s="15">
        <v>303</v>
      </c>
      <c r="P306" s="33">
        <v>2993373.4423316759</v>
      </c>
      <c r="Q306" s="33">
        <v>92264191.655324876</v>
      </c>
      <c r="R306" s="146">
        <v>-89270818.212993205</v>
      </c>
      <c r="S306" s="31">
        <v>113856.01681178264</v>
      </c>
      <c r="T306" s="31">
        <v>6997.3073275479946</v>
      </c>
      <c r="U306" s="142">
        <v>106858.70948423464</v>
      </c>
      <c r="AE306" s="137">
        <f t="shared" si="24"/>
        <v>1.8975219627682467</v>
      </c>
      <c r="AF306" s="131">
        <f t="shared" ca="1" si="20"/>
        <v>-75440469.159321144</v>
      </c>
      <c r="AG306" s="131">
        <f t="shared" ca="1" si="21"/>
        <v>7646219.0759659177</v>
      </c>
      <c r="AI306" s="131">
        <f t="shared" si="22"/>
        <v>-89270818.212993205</v>
      </c>
      <c r="AJ306" s="31">
        <f t="shared" si="23"/>
        <v>106858.70948423464</v>
      </c>
    </row>
    <row r="307" spans="15:36">
      <c r="O307" s="15">
        <v>304</v>
      </c>
      <c r="P307" s="33">
        <v>3020159.1255122628</v>
      </c>
      <c r="Q307" s="33">
        <v>68866311.857604057</v>
      </c>
      <c r="R307" s="146">
        <v>-65846152.732091792</v>
      </c>
      <c r="S307" s="31">
        <v>205216.25514602606</v>
      </c>
      <c r="T307" s="31">
        <v>5013.2598541303305</v>
      </c>
      <c r="U307" s="142">
        <v>200202.99529189573</v>
      </c>
      <c r="AE307" s="137">
        <f t="shared" si="24"/>
        <v>1.9038051480754263</v>
      </c>
      <c r="AF307" s="131">
        <f t="shared" ca="1" si="20"/>
        <v>-75298582.930538237</v>
      </c>
      <c r="AG307" s="131">
        <f t="shared" ca="1" si="21"/>
        <v>7788318.2131952066</v>
      </c>
      <c r="AI307" s="131">
        <f t="shared" si="22"/>
        <v>-65846152.732091792</v>
      </c>
      <c r="AJ307" s="31">
        <f t="shared" si="23"/>
        <v>200202.99529189573</v>
      </c>
    </row>
    <row r="308" spans="15:36">
      <c r="O308" s="15">
        <v>305</v>
      </c>
      <c r="P308" s="33">
        <v>4252355.8094337611</v>
      </c>
      <c r="Q308" s="33">
        <v>84515062.603810862</v>
      </c>
      <c r="R308" s="146">
        <v>-80262706.794377103</v>
      </c>
      <c r="S308" s="31">
        <v>29089.864141131235</v>
      </c>
      <c r="T308" s="31">
        <v>5512.701396545348</v>
      </c>
      <c r="U308" s="142">
        <v>23577.162744585887</v>
      </c>
      <c r="AE308" s="137">
        <f t="shared" si="24"/>
        <v>1.910088333382606</v>
      </c>
      <c r="AF308" s="131">
        <f t="shared" ca="1" si="20"/>
        <v>-75157004.748935357</v>
      </c>
      <c r="AG308" s="131">
        <f t="shared" ca="1" si="21"/>
        <v>7930113.2062443215</v>
      </c>
      <c r="AI308" s="131">
        <f t="shared" si="22"/>
        <v>-80262706.794377103</v>
      </c>
      <c r="AJ308" s="31">
        <f t="shared" si="23"/>
        <v>23577.162744585887</v>
      </c>
    </row>
    <row r="309" spans="15:36">
      <c r="O309" s="15">
        <v>306</v>
      </c>
      <c r="P309" s="33">
        <v>2900790.6885110396</v>
      </c>
      <c r="Q309" s="33">
        <v>95814778.795787826</v>
      </c>
      <c r="R309" s="146">
        <v>-92913988.107276782</v>
      </c>
      <c r="S309" s="31">
        <v>114861.78711599395</v>
      </c>
      <c r="T309" s="31">
        <v>10265.457310022037</v>
      </c>
      <c r="U309" s="142">
        <v>104596.32980597191</v>
      </c>
      <c r="AE309" s="137">
        <f t="shared" si="24"/>
        <v>1.9163715186897856</v>
      </c>
      <c r="AF309" s="131">
        <f t="shared" ca="1" si="20"/>
        <v>-75015740.203776747</v>
      </c>
      <c r="AG309" s="131">
        <f t="shared" ca="1" si="21"/>
        <v>8071598.4572897265</v>
      </c>
      <c r="AI309" s="131">
        <f t="shared" si="22"/>
        <v>-92913988.107276782</v>
      </c>
      <c r="AJ309" s="31">
        <f t="shared" si="23"/>
        <v>104596.32980597191</v>
      </c>
    </row>
    <row r="310" spans="15:36">
      <c r="O310" s="15">
        <v>307</v>
      </c>
      <c r="P310" s="33">
        <v>3389018.116305205</v>
      </c>
      <c r="Q310" s="33">
        <v>73986442.21961771</v>
      </c>
      <c r="R310" s="146">
        <v>-70597424.103312507</v>
      </c>
      <c r="S310" s="31">
        <v>68369.375063310494</v>
      </c>
      <c r="T310" s="31">
        <v>14960.609551157851</v>
      </c>
      <c r="U310" s="142">
        <v>53408.76551215264</v>
      </c>
      <c r="AE310" s="137">
        <f t="shared" si="24"/>
        <v>1.9226547039969653</v>
      </c>
      <c r="AF310" s="131">
        <f t="shared" ca="1" si="20"/>
        <v>-74874794.871944711</v>
      </c>
      <c r="AG310" s="131">
        <f t="shared" ca="1" si="21"/>
        <v>8212768.3807359729</v>
      </c>
      <c r="AI310" s="131">
        <f t="shared" si="22"/>
        <v>-70597424.103312507</v>
      </c>
      <c r="AJ310" s="31">
        <f t="shared" si="23"/>
        <v>53408.76551215264</v>
      </c>
    </row>
    <row r="311" spans="15:36">
      <c r="O311" s="15">
        <v>308</v>
      </c>
      <c r="P311" s="33">
        <v>3614733.4422062561</v>
      </c>
      <c r="Q311" s="33">
        <v>95555032.77419126</v>
      </c>
      <c r="R311" s="146">
        <v>-91940299.331984997</v>
      </c>
      <c r="S311" s="31">
        <v>44284.852717991918</v>
      </c>
      <c r="T311" s="31">
        <v>6162.7728318797526</v>
      </c>
      <c r="U311" s="142">
        <v>38122.079886112166</v>
      </c>
      <c r="AE311" s="137">
        <f t="shared" si="24"/>
        <v>1.9289378893041449</v>
      </c>
      <c r="AF311" s="131">
        <f t="shared" ca="1" si="20"/>
        <v>-74734174.317719653</v>
      </c>
      <c r="AG311" s="131">
        <f t="shared" ca="1" si="21"/>
        <v>8353617.4034362044</v>
      </c>
      <c r="AI311" s="131">
        <f t="shared" si="22"/>
        <v>-91940299.331984997</v>
      </c>
      <c r="AJ311" s="31">
        <f t="shared" si="23"/>
        <v>38122.079886112166</v>
      </c>
    </row>
    <row r="312" spans="15:36">
      <c r="O312" s="15">
        <v>309</v>
      </c>
      <c r="P312" s="33">
        <v>3441499.723390426</v>
      </c>
      <c r="Q312" s="33">
        <v>87483315.660165191</v>
      </c>
      <c r="R312" s="146">
        <v>-84041815.93677476</v>
      </c>
      <c r="S312" s="31">
        <v>49478.872185953907</v>
      </c>
      <c r="T312" s="31">
        <v>11932.664846917092</v>
      </c>
      <c r="U312" s="142">
        <v>37546.207339036817</v>
      </c>
      <c r="AE312" s="137">
        <f t="shared" si="24"/>
        <v>1.9352210746113245</v>
      </c>
      <c r="AF312" s="131">
        <f t="shared" ca="1" si="20"/>
        <v>-74593884.092560261</v>
      </c>
      <c r="AG312" s="131">
        <f t="shared" ca="1" si="21"/>
        <v>8494139.9649121761</v>
      </c>
      <c r="AI312" s="131">
        <f t="shared" si="22"/>
        <v>-84041815.93677476</v>
      </c>
      <c r="AJ312" s="31">
        <f t="shared" si="23"/>
        <v>37546.207339036817</v>
      </c>
    </row>
    <row r="313" spans="15:36">
      <c r="O313" s="15">
        <v>310</v>
      </c>
      <c r="P313" s="33">
        <v>3618804.7301527243</v>
      </c>
      <c r="Q313" s="33">
        <v>89679245.773075327</v>
      </c>
      <c r="R313" s="146">
        <v>-86060441.042922601</v>
      </c>
      <c r="S313" s="31">
        <v>130725.81698879716</v>
      </c>
      <c r="T313" s="31">
        <v>5184.189090387883</v>
      </c>
      <c r="U313" s="142">
        <v>125541.62789840928</v>
      </c>
      <c r="AE313" s="137">
        <f t="shared" si="24"/>
        <v>1.9415042599185042</v>
      </c>
      <c r="AF313" s="131">
        <f t="shared" ca="1" si="20"/>
        <v>-74453929.734884411</v>
      </c>
      <c r="AG313" s="131">
        <f t="shared" ca="1" si="21"/>
        <v>8634330.5175737776</v>
      </c>
      <c r="AI313" s="131">
        <f t="shared" si="22"/>
        <v>-86060441.042922601</v>
      </c>
      <c r="AJ313" s="31">
        <f t="shared" si="23"/>
        <v>125541.62789840928</v>
      </c>
    </row>
    <row r="314" spans="15:36">
      <c r="O314" s="15">
        <v>311</v>
      </c>
      <c r="P314" s="33">
        <v>2921550.0660514771</v>
      </c>
      <c r="Q314" s="33">
        <v>85815933.488788038</v>
      </c>
      <c r="R314" s="146">
        <v>-82894383.422736555</v>
      </c>
      <c r="S314" s="31">
        <v>98547.415311714489</v>
      </c>
      <c r="T314" s="31">
        <v>13150.024057784383</v>
      </c>
      <c r="U314" s="142">
        <v>85397.391253930109</v>
      </c>
      <c r="AE314" s="137">
        <f t="shared" si="24"/>
        <v>1.9477874452256838</v>
      </c>
      <c r="AF314" s="131">
        <f t="shared" ca="1" si="20"/>
        <v>-74314316.769850492</v>
      </c>
      <c r="AG314" s="131">
        <f t="shared" ca="1" si="21"/>
        <v>8774183.5269380305</v>
      </c>
      <c r="AI314" s="131">
        <f t="shared" si="22"/>
        <v>-82894383.422736555</v>
      </c>
      <c r="AJ314" s="31">
        <f t="shared" si="23"/>
        <v>85397.391253930109</v>
      </c>
    </row>
    <row r="315" spans="15:36">
      <c r="O315" s="15">
        <v>312</v>
      </c>
      <c r="P315" s="33">
        <v>3320805.8335236562</v>
      </c>
      <c r="Q315" s="33">
        <v>92800244.776910216</v>
      </c>
      <c r="R315" s="146">
        <v>-89479438.943386555</v>
      </c>
      <c r="S315" s="31">
        <v>151411.99470803852</v>
      </c>
      <c r="T315" s="31">
        <v>16782.25347776727</v>
      </c>
      <c r="U315" s="142">
        <v>134629.74123027123</v>
      </c>
      <c r="AE315" s="137">
        <f t="shared" si="24"/>
        <v>1.9540706305328635</v>
      </c>
      <c r="AF315" s="131">
        <f t="shared" ca="1" si="20"/>
        <v>-74175050.709139317</v>
      </c>
      <c r="AG315" s="131">
        <f t="shared" ca="1" si="21"/>
        <v>8913693.4718475919</v>
      </c>
      <c r="AI315" s="131">
        <f t="shared" si="22"/>
        <v>-89479438.943386555</v>
      </c>
      <c r="AJ315" s="31">
        <f t="shared" si="23"/>
        <v>134629.74123027123</v>
      </c>
    </row>
    <row r="316" spans="15:36">
      <c r="O316" s="15">
        <v>313</v>
      </c>
      <c r="P316" s="33">
        <v>3845655.7753105052</v>
      </c>
      <c r="Q316" s="33">
        <v>101343794.8326112</v>
      </c>
      <c r="R316" s="146">
        <v>-97498139.057300702</v>
      </c>
      <c r="S316" s="31">
        <v>88460.583726181299</v>
      </c>
      <c r="T316" s="31">
        <v>9776.5572701384772</v>
      </c>
      <c r="U316" s="142">
        <v>78684.026456042819</v>
      </c>
      <c r="AE316" s="137">
        <f t="shared" si="24"/>
        <v>1.9603538158400431</v>
      </c>
      <c r="AF316" s="131">
        <f t="shared" ca="1" si="20"/>
        <v>-74036137.050736517</v>
      </c>
      <c r="AG316" s="131">
        <f t="shared" ca="1" si="21"/>
        <v>9052854.8446887191</v>
      </c>
      <c r="AI316" s="131">
        <f t="shared" si="22"/>
        <v>-97498139.057300702</v>
      </c>
      <c r="AJ316" s="31">
        <f t="shared" si="23"/>
        <v>78684.026456042819</v>
      </c>
    </row>
    <row r="317" spans="15:36">
      <c r="O317" s="15">
        <v>314</v>
      </c>
      <c r="P317" s="33">
        <v>2949439.2393853562</v>
      </c>
      <c r="Q317" s="33">
        <v>99160399.464832619</v>
      </c>
      <c r="R317" s="146">
        <v>-96210960.225447267</v>
      </c>
      <c r="S317" s="31">
        <v>58154.591876752973</v>
      </c>
      <c r="T317" s="31">
        <v>10739.301658249035</v>
      </c>
      <c r="U317" s="142">
        <v>47415.290218503942</v>
      </c>
      <c r="AE317" s="137">
        <f t="shared" si="24"/>
        <v>1.9666370011472227</v>
      </c>
      <c r="AF317" s="131">
        <f t="shared" ca="1" si="20"/>
        <v>-73897581.278715432</v>
      </c>
      <c r="AG317" s="131">
        <f t="shared" ca="1" si="21"/>
        <v>9191662.1516086925</v>
      </c>
      <c r="AI317" s="131">
        <f t="shared" si="22"/>
        <v>-96210960.225447267</v>
      </c>
      <c r="AJ317" s="31">
        <f t="shared" si="23"/>
        <v>47415.290218503942</v>
      </c>
    </row>
    <row r="318" spans="15:36">
      <c r="O318" s="15">
        <v>315</v>
      </c>
      <c r="P318" s="33">
        <v>3233540.5650445954</v>
      </c>
      <c r="Q318" s="33">
        <v>90636887.39022921</v>
      </c>
      <c r="R318" s="146">
        <v>-87403346.825184613</v>
      </c>
      <c r="S318" s="31">
        <v>136120.89679940807</v>
      </c>
      <c r="T318" s="31">
        <v>18101.526673947381</v>
      </c>
      <c r="U318" s="142">
        <v>118019.3701254607</v>
      </c>
      <c r="AE318" s="137">
        <f t="shared" si="24"/>
        <v>1.9729201864544024</v>
      </c>
      <c r="AF318" s="131">
        <f t="shared" ca="1" si="20"/>
        <v>-73759388.863020718</v>
      </c>
      <c r="AG318" s="131">
        <f t="shared" ca="1" si="21"/>
        <v>9330109.9127327092</v>
      </c>
      <c r="AI318" s="131">
        <f t="shared" si="22"/>
        <v>-87403346.825184613</v>
      </c>
      <c r="AJ318" s="31">
        <f t="shared" si="23"/>
        <v>118019.3701254607</v>
      </c>
    </row>
    <row r="319" spans="15:36">
      <c r="O319" s="15">
        <v>316</v>
      </c>
      <c r="P319" s="33">
        <v>3665474.1537506683</v>
      </c>
      <c r="Q319" s="33">
        <v>86886716.395790666</v>
      </c>
      <c r="R319" s="146">
        <v>-83221242.242039993</v>
      </c>
      <c r="S319" s="31">
        <v>167938.97840191147</v>
      </c>
      <c r="T319" s="31">
        <v>11341.809782855758</v>
      </c>
      <c r="U319" s="142">
        <v>156597.16861905571</v>
      </c>
      <c r="AE319" s="137">
        <f t="shared" si="24"/>
        <v>1.979203371761582</v>
      </c>
      <c r="AF319" s="131">
        <f t="shared" ca="1" si="20"/>
        <v>-73621565.259252325</v>
      </c>
      <c r="AG319" s="131">
        <f t="shared" ca="1" si="21"/>
        <v>9468192.6623802278</v>
      </c>
      <c r="AI319" s="131">
        <f t="shared" si="22"/>
        <v>-83221242.242039993</v>
      </c>
      <c r="AJ319" s="31">
        <f t="shared" si="23"/>
        <v>156597.16861905571</v>
      </c>
    </row>
    <row r="320" spans="15:36">
      <c r="O320" s="15">
        <v>317</v>
      </c>
      <c r="P320" s="33">
        <v>3238754.2484749313</v>
      </c>
      <c r="Q320" s="33">
        <v>88491267.485390231</v>
      </c>
      <c r="R320" s="146">
        <v>-85252513.236915305</v>
      </c>
      <c r="S320" s="31">
        <v>128748.28627816557</v>
      </c>
      <c r="T320" s="31">
        <v>7899.6129922864038</v>
      </c>
      <c r="U320" s="142">
        <v>120848.67328587917</v>
      </c>
      <c r="AE320" s="137">
        <f t="shared" si="24"/>
        <v>1.9854865570687616</v>
      </c>
      <c r="AF320" s="131">
        <f t="shared" ca="1" si="20"/>
        <v>-73484115.908450127</v>
      </c>
      <c r="AG320" s="131">
        <f t="shared" ca="1" si="21"/>
        <v>9605904.9492807202</v>
      </c>
      <c r="AI320" s="131">
        <f t="shared" si="22"/>
        <v>-85252513.236915305</v>
      </c>
      <c r="AJ320" s="31">
        <f t="shared" si="23"/>
        <v>120848.67328587917</v>
      </c>
    </row>
    <row r="321" spans="15:36">
      <c r="O321" s="15">
        <v>318</v>
      </c>
      <c r="P321" s="33">
        <v>3473391.2494834894</v>
      </c>
      <c r="Q321" s="33">
        <v>73694151.586785793</v>
      </c>
      <c r="R321" s="146">
        <v>-70220760.337302297</v>
      </c>
      <c r="S321" s="31">
        <v>103134.69414833508</v>
      </c>
      <c r="T321" s="31">
        <v>9841.2632257990881</v>
      </c>
      <c r="U321" s="142">
        <v>93293.43092253599</v>
      </c>
      <c r="AE321" s="137">
        <f t="shared" si="24"/>
        <v>1.9917697423759413</v>
      </c>
      <c r="AF321" s="131">
        <f t="shared" ca="1" si="20"/>
        <v>-73347046.236879155</v>
      </c>
      <c r="AG321" s="131">
        <f t="shared" ca="1" si="21"/>
        <v>9743241.3367889039</v>
      </c>
      <c r="AI321" s="131">
        <f t="shared" si="22"/>
        <v>-70220760.337302297</v>
      </c>
      <c r="AJ321" s="31">
        <f t="shared" si="23"/>
        <v>93293.43092253599</v>
      </c>
    </row>
    <row r="322" spans="15:36">
      <c r="O322" s="15">
        <v>319</v>
      </c>
      <c r="P322" s="33">
        <v>2762989.836522419</v>
      </c>
      <c r="Q322" s="33">
        <v>95384131.272530094</v>
      </c>
      <c r="R322" s="146">
        <v>-92621141.436007679</v>
      </c>
      <c r="S322" s="31">
        <v>48335.555409099165</v>
      </c>
      <c r="T322" s="31">
        <v>19976.783010265081</v>
      </c>
      <c r="U322" s="142">
        <v>28358.772398834084</v>
      </c>
      <c r="AE322" s="137">
        <f t="shared" si="24"/>
        <v>1.9980529276831209</v>
      </c>
      <c r="AF322" s="131">
        <f t="shared" ca="1" si="20"/>
        <v>-73210361.655815333</v>
      </c>
      <c r="AG322" s="131">
        <f t="shared" ca="1" si="21"/>
        <v>9880196.4030993562</v>
      </c>
      <c r="AI322" s="131">
        <f t="shared" si="22"/>
        <v>-92621141.436007679</v>
      </c>
      <c r="AJ322" s="31">
        <f t="shared" si="23"/>
        <v>28358.772398834084</v>
      </c>
    </row>
    <row r="323" spans="15:36">
      <c r="O323" s="15">
        <v>320</v>
      </c>
      <c r="P323" s="33">
        <v>3388380.8293063319</v>
      </c>
      <c r="Q323" s="33">
        <v>83287815.10580951</v>
      </c>
      <c r="R323" s="146">
        <v>-79899434.276503175</v>
      </c>
      <c r="S323" s="31">
        <v>48700.780248076015</v>
      </c>
      <c r="T323" s="31">
        <v>9958.3496544376321</v>
      </c>
      <c r="U323" s="142">
        <v>38742.430593638383</v>
      </c>
      <c r="AE323" s="137">
        <f t="shared" si="24"/>
        <v>2.0043361129903006</v>
      </c>
      <c r="AF323" s="131">
        <f t="shared" ca="1" si="20"/>
        <v>-73074067.561331898</v>
      </c>
      <c r="AG323" s="131">
        <f t="shared" ca="1" si="21"/>
        <v>10016764.741460564</v>
      </c>
      <c r="AI323" s="131">
        <f t="shared" si="22"/>
        <v>-79899434.276503175</v>
      </c>
      <c r="AJ323" s="31">
        <f t="shared" si="23"/>
        <v>38742.430593638383</v>
      </c>
    </row>
    <row r="324" spans="15:36">
      <c r="O324" s="15">
        <v>321</v>
      </c>
      <c r="P324" s="33">
        <v>3448273.6157390988</v>
      </c>
      <c r="Q324" s="33">
        <v>97555056.460068062</v>
      </c>
      <c r="R324" s="146">
        <v>-94106782.84432897</v>
      </c>
      <c r="S324" s="31">
        <v>78901.148167642838</v>
      </c>
      <c r="T324" s="31">
        <v>19442.546944735193</v>
      </c>
      <c r="U324" s="142">
        <v>59458.601222907644</v>
      </c>
      <c r="AE324" s="137">
        <f t="shared" si="24"/>
        <v>2.0106192982974802</v>
      </c>
      <c r="AF324" s="131">
        <f t="shared" ca="1" si="20"/>
        <v>-72938169.334086299</v>
      </c>
      <c r="AG324" s="131">
        <f t="shared" ca="1" si="21"/>
        <v>10152940.960388374</v>
      </c>
      <c r="AI324" s="131">
        <f t="shared" si="22"/>
        <v>-94106782.84432897</v>
      </c>
      <c r="AJ324" s="31">
        <f t="shared" si="23"/>
        <v>59458.601222907644</v>
      </c>
    </row>
    <row r="325" spans="15:36">
      <c r="O325" s="15">
        <v>322</v>
      </c>
      <c r="P325" s="33">
        <v>3306121.1009225762</v>
      </c>
      <c r="Q325" s="33">
        <v>66692661.722166702</v>
      </c>
      <c r="R325" s="146">
        <v>-63386540.621244125</v>
      </c>
      <c r="S325" s="31">
        <v>87365.857211701339</v>
      </c>
      <c r="T325" s="31">
        <v>25142.528339430613</v>
      </c>
      <c r="U325" s="142">
        <v>62223.328872270722</v>
      </c>
      <c r="AE325" s="137">
        <f t="shared" si="24"/>
        <v>2.0169024836046598</v>
      </c>
      <c r="AF325" s="131">
        <f t="shared" ref="AF325:AF388" ca="1" si="25">(AB$25*AC$19*COS(AE325)+AC$25*AC$20*SIN(AE325))+X$9</f>
        <v>-72802672.339107856</v>
      </c>
      <c r="AG325" s="131">
        <f t="shared" ref="AG325:AG388" ca="1" si="26">(AC$26*AC$19*COS(AE325)+AC$26*AC$20*SIN(AE325))+Y$9</f>
        <v>10288719.683878833</v>
      </c>
      <c r="AI325" s="131">
        <f t="shared" ref="AI325:AI388" si="27">R325</f>
        <v>-63386540.621244125</v>
      </c>
      <c r="AJ325" s="31">
        <f t="shared" ref="AJ325:AJ388" si="28">U325</f>
        <v>62223.328872270722</v>
      </c>
    </row>
    <row r="326" spans="15:36">
      <c r="O326" s="15">
        <v>323</v>
      </c>
      <c r="P326" s="33">
        <v>3879483.0367940455</v>
      </c>
      <c r="Q326" s="33">
        <v>76938427.465509549</v>
      </c>
      <c r="R326" s="146">
        <v>-73058944.428715497</v>
      </c>
      <c r="S326" s="31">
        <v>176422.31939154078</v>
      </c>
      <c r="T326" s="31">
        <v>17878.346808993676</v>
      </c>
      <c r="U326" s="142">
        <v>158543.97258254711</v>
      </c>
      <c r="AE326" s="137">
        <f t="shared" si="24"/>
        <v>2.0231856689118395</v>
      </c>
      <c r="AF326" s="131">
        <f t="shared" ca="1" si="25"/>
        <v>-72667581.92558594</v>
      </c>
      <c r="AG326" s="131">
        <f t="shared" ca="1" si="26"/>
        <v>10424095.551620424</v>
      </c>
      <c r="AI326" s="131">
        <f t="shared" si="27"/>
        <v>-73058944.428715497</v>
      </c>
      <c r="AJ326" s="31">
        <f t="shared" si="28"/>
        <v>158543.97258254711</v>
      </c>
    </row>
    <row r="327" spans="15:36">
      <c r="O327" s="15">
        <v>324</v>
      </c>
      <c r="P327" s="33">
        <v>3150336.5115223704</v>
      </c>
      <c r="Q327" s="33">
        <v>98314432.675614536</v>
      </c>
      <c r="R327" s="146">
        <v>-95164096.164092168</v>
      </c>
      <c r="S327" s="31">
        <v>63946.417504828976</v>
      </c>
      <c r="T327" s="31">
        <v>9456.6436404504457</v>
      </c>
      <c r="U327" s="142">
        <v>54489.773864378527</v>
      </c>
      <c r="AE327" s="137">
        <f t="shared" ref="AE327:AE390" si="29">AE326+AE$5</f>
        <v>2.0294688542190191</v>
      </c>
      <c r="AF327" s="131">
        <f t="shared" ca="1" si="25"/>
        <v>-72532903.42665875</v>
      </c>
      <c r="AG327" s="131">
        <f t="shared" ca="1" si="26"/>
        <v>10559063.219205696</v>
      </c>
      <c r="AI327" s="131">
        <f t="shared" si="27"/>
        <v>-95164096.164092168</v>
      </c>
      <c r="AJ327" s="31">
        <f t="shared" si="28"/>
        <v>54489.773864378527</v>
      </c>
    </row>
    <row r="328" spans="15:36">
      <c r="O328" s="15">
        <v>325</v>
      </c>
      <c r="P328" s="33">
        <v>3254655.677849764</v>
      </c>
      <c r="Q328" s="33">
        <v>93883008.901971295</v>
      </c>
      <c r="R328" s="146">
        <v>-90628353.224121526</v>
      </c>
      <c r="S328" s="31">
        <v>59033.255949600745</v>
      </c>
      <c r="T328" s="31">
        <v>7246.8147937831018</v>
      </c>
      <c r="U328" s="142">
        <v>51786.441155817643</v>
      </c>
      <c r="AE328" s="137">
        <f t="shared" si="29"/>
        <v>2.0357520395261988</v>
      </c>
      <c r="AF328" s="131">
        <f t="shared" ca="1" si="25"/>
        <v>-72398642.159202844</v>
      </c>
      <c r="AG328" s="131">
        <f t="shared" ca="1" si="26"/>
        <v>10693617.358342228</v>
      </c>
      <c r="AI328" s="131">
        <f t="shared" si="27"/>
        <v>-90628353.224121526</v>
      </c>
      <c r="AJ328" s="31">
        <f t="shared" si="28"/>
        <v>51786.441155817643</v>
      </c>
    </row>
    <row r="329" spans="15:36">
      <c r="O329" s="15">
        <v>326</v>
      </c>
      <c r="P329" s="33">
        <v>3222503.9415659695</v>
      </c>
      <c r="Q329" s="33">
        <v>87128490.717447966</v>
      </c>
      <c r="R329" s="146">
        <v>-83905986.775881991</v>
      </c>
      <c r="S329" s="31">
        <v>93316.026689251026</v>
      </c>
      <c r="T329" s="31">
        <v>8530.1600909484259</v>
      </c>
      <c r="U329" s="142">
        <v>84785.8665983026</v>
      </c>
      <c r="AE329" s="137">
        <f t="shared" si="29"/>
        <v>2.0420352248333784</v>
      </c>
      <c r="AF329" s="131">
        <f t="shared" ca="1" si="25"/>
        <v>-72264803.42362313</v>
      </c>
      <c r="AG329" s="131">
        <f t="shared" ca="1" si="26"/>
        <v>10827752.657063004</v>
      </c>
      <c r="AI329" s="131">
        <f t="shared" si="27"/>
        <v>-83905986.775881991</v>
      </c>
      <c r="AJ329" s="31">
        <f t="shared" si="28"/>
        <v>84785.8665983026</v>
      </c>
    </row>
    <row r="330" spans="15:36">
      <c r="O330" s="15">
        <v>327</v>
      </c>
      <c r="P330" s="33">
        <v>2823880.5447539734</v>
      </c>
      <c r="Q330" s="33">
        <v>91544049.988195926</v>
      </c>
      <c r="R330" s="146">
        <v>-88720169.443441957</v>
      </c>
      <c r="S330" s="31">
        <v>52264.464181444564</v>
      </c>
      <c r="T330" s="31">
        <v>11658.035536694333</v>
      </c>
      <c r="U330" s="142">
        <v>40606.428644750231</v>
      </c>
      <c r="AE330" s="137">
        <f t="shared" si="29"/>
        <v>2.048318410140558</v>
      </c>
      <c r="AF330" s="131">
        <f t="shared" ca="1" si="25"/>
        <v>-72131392.503643751</v>
      </c>
      <c r="AG330" s="131">
        <f t="shared" ca="1" si="26"/>
        <v>10961463.819936104</v>
      </c>
      <c r="AI330" s="131">
        <f t="shared" si="27"/>
        <v>-88720169.443441957</v>
      </c>
      <c r="AJ330" s="31">
        <f t="shared" si="28"/>
        <v>40606.428644750231</v>
      </c>
    </row>
    <row r="331" spans="15:36">
      <c r="O331" s="15">
        <v>328</v>
      </c>
      <c r="P331" s="33">
        <v>3653332.0008486854</v>
      </c>
      <c r="Q331" s="33">
        <v>85515139.121188223</v>
      </c>
      <c r="R331" s="146">
        <v>-81861807.120339543</v>
      </c>
      <c r="S331" s="31">
        <v>50410.333296417361</v>
      </c>
      <c r="T331" s="31">
        <v>18439.702788037681</v>
      </c>
      <c r="U331" s="142">
        <v>31970.63050837968</v>
      </c>
      <c r="AE331" s="137">
        <f t="shared" si="29"/>
        <v>2.0546015954477377</v>
      </c>
      <c r="AF331" s="131">
        <f t="shared" ca="1" si="25"/>
        <v>-71998414.66609937</v>
      </c>
      <c r="AG331" s="131">
        <f t="shared" ca="1" si="26"/>
        <v>11094745.568273773</v>
      </c>
      <c r="AI331" s="131">
        <f t="shared" si="27"/>
        <v>-81861807.120339543</v>
      </c>
      <c r="AJ331" s="31">
        <f t="shared" si="28"/>
        <v>31970.63050837968</v>
      </c>
    </row>
    <row r="332" spans="15:36">
      <c r="O332" s="15">
        <v>329</v>
      </c>
      <c r="P332" s="33">
        <v>3630692.1013114173</v>
      </c>
      <c r="Q332" s="33">
        <v>77074087.658405825</v>
      </c>
      <c r="R332" s="146">
        <v>-73443395.55709441</v>
      </c>
      <c r="S332" s="31">
        <v>93599.371923019004</v>
      </c>
      <c r="T332" s="31">
        <v>17405.974936757735</v>
      </c>
      <c r="U332" s="142">
        <v>76193.396986261272</v>
      </c>
      <c r="AE332" s="137">
        <f t="shared" si="29"/>
        <v>2.0608847807549173</v>
      </c>
      <c r="AF332" s="131">
        <f t="shared" ca="1" si="25"/>
        <v>-71865875.160727337</v>
      </c>
      <c r="AG332" s="131">
        <f t="shared" ca="1" si="26"/>
        <v>11227592.640340798</v>
      </c>
      <c r="AI332" s="131">
        <f t="shared" si="27"/>
        <v>-73443395.55709441</v>
      </c>
      <c r="AJ332" s="31">
        <f t="shared" si="28"/>
        <v>76193.396986261272</v>
      </c>
    </row>
    <row r="333" spans="15:36">
      <c r="O333" s="15">
        <v>330</v>
      </c>
      <c r="P333" s="33">
        <v>3262514.348155723</v>
      </c>
      <c r="Q333" s="33">
        <v>88598056.992423132</v>
      </c>
      <c r="R333" s="146">
        <v>-85335542.64426741</v>
      </c>
      <c r="S333" s="31">
        <v>94781.153162304399</v>
      </c>
      <c r="T333" s="31">
        <v>5335.1946050575198</v>
      </c>
      <c r="U333" s="142">
        <v>89445.958557246879</v>
      </c>
      <c r="AE333" s="137">
        <f t="shared" si="29"/>
        <v>2.067167966062097</v>
      </c>
      <c r="AF333" s="131">
        <f t="shared" ca="1" si="25"/>
        <v>-71733779.219960377</v>
      </c>
      <c r="AG333" s="131">
        <f t="shared" ca="1" si="26"/>
        <v>11359999.791562244</v>
      </c>
      <c r="AI333" s="131">
        <f t="shared" si="27"/>
        <v>-85335542.64426741</v>
      </c>
      <c r="AJ333" s="31">
        <f t="shared" si="28"/>
        <v>89445.958557246879</v>
      </c>
    </row>
    <row r="334" spans="15:36">
      <c r="O334" s="15">
        <v>331</v>
      </c>
      <c r="P334" s="33">
        <v>2982411.6628331584</v>
      </c>
      <c r="Q334" s="33">
        <v>81047851.155306578</v>
      </c>
      <c r="R334" s="146">
        <v>-78065439.492473423</v>
      </c>
      <c r="S334" s="31">
        <v>56432.828298573993</v>
      </c>
      <c r="T334" s="31">
        <v>12401.571436819666</v>
      </c>
      <c r="U334" s="142">
        <v>44031.256861754329</v>
      </c>
      <c r="AE334" s="137">
        <f t="shared" si="29"/>
        <v>2.0734511513692766</v>
      </c>
      <c r="AF334" s="131">
        <f t="shared" ca="1" si="25"/>
        <v>-71602132.058720037</v>
      </c>
      <c r="AG334" s="131">
        <f t="shared" ca="1" si="26"/>
        <v>11491961.794730498</v>
      </c>
      <c r="AI334" s="131">
        <f t="shared" si="27"/>
        <v>-78065439.492473423</v>
      </c>
      <c r="AJ334" s="31">
        <f t="shared" si="28"/>
        <v>44031.256861754329</v>
      </c>
    </row>
    <row r="335" spans="15:36">
      <c r="O335" s="15">
        <v>332</v>
      </c>
      <c r="P335" s="33">
        <v>3181848.8554981919</v>
      </c>
      <c r="Q335" s="33">
        <v>88112735.293461114</v>
      </c>
      <c r="R335" s="146">
        <v>-84930886.437962919</v>
      </c>
      <c r="S335" s="31">
        <v>70853.047330698784</v>
      </c>
      <c r="T335" s="31">
        <v>2877.6974852222475</v>
      </c>
      <c r="U335" s="142">
        <v>67975.349845476536</v>
      </c>
      <c r="AE335" s="137">
        <f t="shared" si="29"/>
        <v>2.0797343366764562</v>
      </c>
      <c r="AF335" s="131">
        <f t="shared" ca="1" si="25"/>
        <v>-71470938.87421082</v>
      </c>
      <c r="AG335" s="131">
        <f t="shared" ca="1" si="26"/>
        <v>11623473.440211633</v>
      </c>
      <c r="AI335" s="131">
        <f t="shared" si="27"/>
        <v>-84930886.437962919</v>
      </c>
      <c r="AJ335" s="31">
        <f t="shared" si="28"/>
        <v>67975.349845476536</v>
      </c>
    </row>
    <row r="336" spans="15:36">
      <c r="O336" s="15">
        <v>333</v>
      </c>
      <c r="P336" s="33">
        <v>3463719.6406405726</v>
      </c>
      <c r="Q336" s="33">
        <v>84462534.035670236</v>
      </c>
      <c r="R336" s="146">
        <v>-80998814.395029664</v>
      </c>
      <c r="S336" s="31">
        <v>121733.27677591011</v>
      </c>
      <c r="T336" s="31">
        <v>6132.2927055180726</v>
      </c>
      <c r="U336" s="142">
        <v>115600.98407039203</v>
      </c>
      <c r="AE336" s="137">
        <f t="shared" si="29"/>
        <v>2.0860175219836359</v>
      </c>
      <c r="AF336" s="131">
        <f t="shared" ca="1" si="25"/>
        <v>-71340204.845715031</v>
      </c>
      <c r="AG336" s="131">
        <f t="shared" ca="1" si="26"/>
        <v>11754529.536151068</v>
      </c>
      <c r="AI336" s="131">
        <f t="shared" si="27"/>
        <v>-80998814.395029664</v>
      </c>
      <c r="AJ336" s="31">
        <f t="shared" si="28"/>
        <v>115600.98407039203</v>
      </c>
    </row>
    <row r="337" spans="15:36">
      <c r="O337" s="15">
        <v>334</v>
      </c>
      <c r="P337" s="33">
        <v>3016942.9112200169</v>
      </c>
      <c r="Q337" s="33">
        <v>87201231.72999385</v>
      </c>
      <c r="R337" s="146">
        <v>-84184288.818773836</v>
      </c>
      <c r="S337" s="31">
        <v>89590.563953375342</v>
      </c>
      <c r="T337" s="31">
        <v>8376.7677026479796</v>
      </c>
      <c r="U337" s="142">
        <v>81213.796250727362</v>
      </c>
      <c r="AE337" s="137">
        <f t="shared" si="29"/>
        <v>2.0923007072908155</v>
      </c>
      <c r="AF337" s="131">
        <f t="shared" ca="1" si="25"/>
        <v>-71209935.134388268</v>
      </c>
      <c r="AG337" s="131">
        <f t="shared" ca="1" si="26"/>
        <v>11885124.908678535</v>
      </c>
      <c r="AI337" s="131">
        <f t="shared" si="27"/>
        <v>-84184288.818773836</v>
      </c>
      <c r="AJ337" s="31">
        <f t="shared" si="28"/>
        <v>81213.796250727362</v>
      </c>
    </row>
    <row r="338" spans="15:36">
      <c r="O338" s="15">
        <v>335</v>
      </c>
      <c r="P338" s="33">
        <v>3080668.8005629387</v>
      </c>
      <c r="Q338" s="33">
        <v>97144217.392284751</v>
      </c>
      <c r="R338" s="146">
        <v>-94063548.591721818</v>
      </c>
      <c r="S338" s="31">
        <v>102500.34211120778</v>
      </c>
      <c r="T338" s="31">
        <v>8473.1563193955062</v>
      </c>
      <c r="U338" s="142">
        <v>94027.18579181227</v>
      </c>
      <c r="AE338" s="137">
        <f t="shared" si="29"/>
        <v>2.0985838925979952</v>
      </c>
      <c r="AF338" s="131">
        <f t="shared" ca="1" si="25"/>
        <v>-71080134.883055642</v>
      </c>
      <c r="AG338" s="131">
        <f t="shared" ca="1" si="26"/>
        <v>12015254.402112352</v>
      </c>
      <c r="AI338" s="131">
        <f t="shared" si="27"/>
        <v>-94063548.591721818</v>
      </c>
      <c r="AJ338" s="31">
        <f t="shared" si="28"/>
        <v>94027.18579181227</v>
      </c>
    </row>
    <row r="339" spans="15:36">
      <c r="O339" s="15">
        <v>336</v>
      </c>
      <c r="P339" s="33">
        <v>3615555.9534957083</v>
      </c>
      <c r="Q339" s="33">
        <v>89814990.05982089</v>
      </c>
      <c r="R339" s="146">
        <v>-86199434.106325179</v>
      </c>
      <c r="S339" s="31">
        <v>98243.920983255899</v>
      </c>
      <c r="T339" s="31">
        <v>10279.126944267566</v>
      </c>
      <c r="U339" s="142">
        <v>87964.79403898833</v>
      </c>
      <c r="AE339" s="137">
        <f t="shared" si="29"/>
        <v>2.1048670779051748</v>
      </c>
      <c r="AF339" s="131">
        <f t="shared" ca="1" si="25"/>
        <v>-70950809.216008857</v>
      </c>
      <c r="AG339" s="131">
        <f t="shared" ca="1" si="26"/>
        <v>12144912.879162923</v>
      </c>
      <c r="AI339" s="131">
        <f t="shared" si="27"/>
        <v>-86199434.106325179</v>
      </c>
      <c r="AJ339" s="31">
        <f t="shared" si="28"/>
        <v>87964.79403898833</v>
      </c>
    </row>
    <row r="340" spans="15:36">
      <c r="O340" s="15">
        <v>337</v>
      </c>
      <c r="P340" s="33">
        <v>4213886.7407646738</v>
      </c>
      <c r="Q340" s="33">
        <v>87312936.405485839</v>
      </c>
      <c r="R340" s="146">
        <v>-83099049.664721161</v>
      </c>
      <c r="S340" s="31">
        <v>51875.508781256816</v>
      </c>
      <c r="T340" s="31">
        <v>9482.0420779541273</v>
      </c>
      <c r="U340" s="142">
        <v>42393.466703302693</v>
      </c>
      <c r="AE340" s="137">
        <f t="shared" si="29"/>
        <v>2.1111502632123544</v>
      </c>
      <c r="AF340" s="131">
        <f t="shared" ca="1" si="25"/>
        <v>-70821963.238803789</v>
      </c>
      <c r="AG340" s="131">
        <f t="shared" ca="1" si="26"/>
        <v>12274095.221135596</v>
      </c>
      <c r="AI340" s="131">
        <f t="shared" si="27"/>
        <v>-83099049.664721161</v>
      </c>
      <c r="AJ340" s="31">
        <f t="shared" si="28"/>
        <v>42393.466703302693</v>
      </c>
    </row>
    <row r="341" spans="15:36">
      <c r="O341" s="15">
        <v>338</v>
      </c>
      <c r="P341" s="33">
        <v>3472162.2542660483</v>
      </c>
      <c r="Q341" s="33">
        <v>95526573.95419839</v>
      </c>
      <c r="R341" s="146">
        <v>-92054411.699932337</v>
      </c>
      <c r="S341" s="31">
        <v>52153.823095570224</v>
      </c>
      <c r="T341" s="31">
        <v>6281.5445877599232</v>
      </c>
      <c r="U341" s="142">
        <v>45872.278507810304</v>
      </c>
      <c r="AE341" s="137">
        <f t="shared" si="29"/>
        <v>2.1174334485195341</v>
      </c>
      <c r="AF341" s="131">
        <f t="shared" ca="1" si="25"/>
        <v>-70693602.038059011</v>
      </c>
      <c r="AG341" s="131">
        <f t="shared" ca="1" si="26"/>
        <v>12402796.328132696</v>
      </c>
      <c r="AI341" s="131">
        <f t="shared" si="27"/>
        <v>-92054411.699932337</v>
      </c>
      <c r="AJ341" s="31">
        <f t="shared" si="28"/>
        <v>45872.278507810304</v>
      </c>
    </row>
    <row r="342" spans="15:36">
      <c r="O342" s="15">
        <v>339</v>
      </c>
      <c r="P342" s="33">
        <v>2907979.1606987175</v>
      </c>
      <c r="Q342" s="33">
        <v>87945653.387214646</v>
      </c>
      <c r="R342" s="146">
        <v>-85037674.226515934</v>
      </c>
      <c r="S342" s="31">
        <v>53186.426180690971</v>
      </c>
      <c r="T342" s="31">
        <v>6365.6486808895688</v>
      </c>
      <c r="U342" s="142">
        <v>46820.777499801399</v>
      </c>
      <c r="AE342" s="137">
        <f t="shared" si="29"/>
        <v>2.1237166338267137</v>
      </c>
      <c r="AF342" s="131">
        <f t="shared" ca="1" si="25"/>
        <v>-70565730.681254923</v>
      </c>
      <c r="AG342" s="131">
        <f t="shared" ca="1" si="26"/>
        <v>12531011.119254896</v>
      </c>
      <c r="AI342" s="131">
        <f t="shared" si="27"/>
        <v>-85037674.226515934</v>
      </c>
      <c r="AJ342" s="31">
        <f t="shared" si="28"/>
        <v>46820.777499801399</v>
      </c>
    </row>
    <row r="343" spans="15:36">
      <c r="O343" s="15">
        <v>340</v>
      </c>
      <c r="P343" s="33">
        <v>3109565.3673385344</v>
      </c>
      <c r="Q343" s="33">
        <v>75518766.484578833</v>
      </c>
      <c r="R343" s="146">
        <v>-72409201.117240295</v>
      </c>
      <c r="S343" s="31">
        <v>93663.343972249801</v>
      </c>
      <c r="T343" s="31">
        <v>14967.203085228019</v>
      </c>
      <c r="U343" s="142">
        <v>78696.140887021786</v>
      </c>
      <c r="AE343" s="137">
        <f t="shared" si="29"/>
        <v>2.1299998191338934</v>
      </c>
      <c r="AF343" s="131">
        <f t="shared" ca="1" si="25"/>
        <v>-70438354.21653375</v>
      </c>
      <c r="AG343" s="131">
        <f t="shared" ca="1" si="26"/>
        <v>12658734.532801781</v>
      </c>
      <c r="AI343" s="131">
        <f t="shared" si="27"/>
        <v>-72409201.117240295</v>
      </c>
      <c r="AJ343" s="31">
        <f t="shared" si="28"/>
        <v>78696.140887021786</v>
      </c>
    </row>
    <row r="344" spans="15:36">
      <c r="O344" s="15">
        <v>341</v>
      </c>
      <c r="P344" s="33">
        <v>3640669.3532959134</v>
      </c>
      <c r="Q344" s="33">
        <v>77805323.628196955</v>
      </c>
      <c r="R344" s="146">
        <v>-74164654.274901047</v>
      </c>
      <c r="S344" s="31">
        <v>59581.476654113882</v>
      </c>
      <c r="T344" s="31">
        <v>8611.9215507888057</v>
      </c>
      <c r="U344" s="142">
        <v>50969.555103325074</v>
      </c>
      <c r="AE344" s="137">
        <f t="shared" si="29"/>
        <v>2.136283004441073</v>
      </c>
      <c r="AF344" s="131">
        <f t="shared" ca="1" si="25"/>
        <v>-70311477.672500223</v>
      </c>
      <c r="AG344" s="131">
        <f t="shared" ca="1" si="26"/>
        <v>12785961.526471684</v>
      </c>
      <c r="AI344" s="131">
        <f t="shared" si="27"/>
        <v>-74164654.274901047</v>
      </c>
      <c r="AJ344" s="31">
        <f t="shared" si="28"/>
        <v>50969.555103325074</v>
      </c>
    </row>
    <row r="345" spans="15:36">
      <c r="O345" s="15">
        <v>342</v>
      </c>
      <c r="P345" s="33">
        <v>3696078.4243591926</v>
      </c>
      <c r="Q345" s="33">
        <v>66495659.159803167</v>
      </c>
      <c r="R345" s="146">
        <v>-62799580.735443972</v>
      </c>
      <c r="S345" s="31">
        <v>138618.49883278858</v>
      </c>
      <c r="T345" s="31">
        <v>13500.992181845562</v>
      </c>
      <c r="U345" s="142">
        <v>125117.50665094302</v>
      </c>
      <c r="AE345" s="137">
        <f t="shared" si="29"/>
        <v>2.1425661897482526</v>
      </c>
      <c r="AF345" s="131">
        <f t="shared" ca="1" si="25"/>
        <v>-70185106.058023036</v>
      </c>
      <c r="AG345" s="131">
        <f t="shared" ca="1" si="26"/>
        <v>12912687.077560736</v>
      </c>
      <c r="AI345" s="131">
        <f t="shared" si="27"/>
        <v>-62799580.735443972</v>
      </c>
      <c r="AJ345" s="31">
        <f t="shared" si="28"/>
        <v>125117.50665094302</v>
      </c>
    </row>
    <row r="346" spans="15:36">
      <c r="O346" s="15">
        <v>343</v>
      </c>
      <c r="P346" s="33">
        <v>3508733.1868920149</v>
      </c>
      <c r="Q346" s="33">
        <v>63984539.238369197</v>
      </c>
      <c r="R346" s="146">
        <v>-60475806.051477179</v>
      </c>
      <c r="S346" s="31">
        <v>33635.43913174863</v>
      </c>
      <c r="T346" s="31">
        <v>13680.294587287892</v>
      </c>
      <c r="U346" s="142">
        <v>19955.144544460738</v>
      </c>
      <c r="AE346" s="137">
        <f t="shared" si="29"/>
        <v>2.1488493750554323</v>
      </c>
      <c r="AF346" s="131">
        <f t="shared" ca="1" si="25"/>
        <v>-70059244.362037152</v>
      </c>
      <c r="AG346" s="131">
        <f t="shared" ca="1" si="26"/>
        <v>13038906.183161173</v>
      </c>
      <c r="AI346" s="131">
        <f t="shared" si="27"/>
        <v>-60475806.051477179</v>
      </c>
      <c r="AJ346" s="31">
        <f t="shared" si="28"/>
        <v>19955.144544460738</v>
      </c>
    </row>
    <row r="347" spans="15:36">
      <c r="O347" s="15">
        <v>344</v>
      </c>
      <c r="P347" s="33">
        <v>3289445.1815328146</v>
      </c>
      <c r="Q347" s="33">
        <v>83702644.27258797</v>
      </c>
      <c r="R347" s="146">
        <v>-80413199.091055155</v>
      </c>
      <c r="S347" s="31">
        <v>128671.5254868886</v>
      </c>
      <c r="T347" s="31">
        <v>12045.239384922867</v>
      </c>
      <c r="U347" s="142">
        <v>116626.28610196573</v>
      </c>
      <c r="AE347" s="137">
        <f t="shared" si="29"/>
        <v>2.1551325603626119</v>
      </c>
      <c r="AF347" s="131">
        <f t="shared" ca="1" si="25"/>
        <v>-69933897.553346828</v>
      </c>
      <c r="AG347" s="131">
        <f t="shared" ca="1" si="26"/>
        <v>13164613.860358827</v>
      </c>
      <c r="AI347" s="131">
        <f t="shared" si="27"/>
        <v>-80413199.091055155</v>
      </c>
      <c r="AJ347" s="31">
        <f t="shared" si="28"/>
        <v>116626.28610196573</v>
      </c>
    </row>
    <row r="348" spans="15:36">
      <c r="O348" s="15">
        <v>345</v>
      </c>
      <c r="P348" s="33">
        <v>3343551.5147879538</v>
      </c>
      <c r="Q348" s="33">
        <v>90744058.702866942</v>
      </c>
      <c r="R348" s="146">
        <v>-87400507.188078985</v>
      </c>
      <c r="S348" s="31">
        <v>160240.60954485589</v>
      </c>
      <c r="T348" s="31">
        <v>15189.432584233908</v>
      </c>
      <c r="U348" s="142">
        <v>145051.17696062199</v>
      </c>
      <c r="AE348" s="137">
        <f t="shared" si="29"/>
        <v>2.1614157456697916</v>
      </c>
      <c r="AF348" s="131">
        <f t="shared" ca="1" si="25"/>
        <v>-69809070.58042942</v>
      </c>
      <c r="AG348" s="131">
        <f t="shared" ca="1" si="26"/>
        <v>13289805.14642985</v>
      </c>
      <c r="AI348" s="131">
        <f t="shared" si="27"/>
        <v>-87400507.188078985</v>
      </c>
      <c r="AJ348" s="31">
        <f t="shared" si="28"/>
        <v>145051.17696062199</v>
      </c>
    </row>
    <row r="349" spans="15:36">
      <c r="O349" s="15">
        <v>346</v>
      </c>
      <c r="P349" s="33">
        <v>3047373.0614592177</v>
      </c>
      <c r="Q349" s="33">
        <v>98864503.314060986</v>
      </c>
      <c r="R349" s="146">
        <v>-95817130.252601773</v>
      </c>
      <c r="S349" s="31">
        <v>79884.332769590023</v>
      </c>
      <c r="T349" s="31">
        <v>7714.6810072885746</v>
      </c>
      <c r="U349" s="142">
        <v>72169.651762301452</v>
      </c>
      <c r="AE349" s="137">
        <f t="shared" si="29"/>
        <v>2.1676989309769712</v>
      </c>
      <c r="AF349" s="131">
        <f t="shared" ca="1" si="25"/>
        <v>-69684768.371240109</v>
      </c>
      <c r="AG349" s="131">
        <f t="shared" ca="1" si="26"/>
        <v>13414475.099036623</v>
      </c>
      <c r="AI349" s="131">
        <f t="shared" si="27"/>
        <v>-95817130.252601773</v>
      </c>
      <c r="AJ349" s="31">
        <f t="shared" si="28"/>
        <v>72169.651762301452</v>
      </c>
    </row>
    <row r="350" spans="15:36">
      <c r="O350" s="15">
        <v>347</v>
      </c>
      <c r="P350" s="33">
        <v>3353954.2417593477</v>
      </c>
      <c r="Q350" s="33">
        <v>87536339.905304268</v>
      </c>
      <c r="R350" s="146">
        <v>-84182385.663544923</v>
      </c>
      <c r="S350" s="31">
        <v>122404.12503651428</v>
      </c>
      <c r="T350" s="31">
        <v>12118.528682827875</v>
      </c>
      <c r="U350" s="142">
        <v>110285.5963536864</v>
      </c>
      <c r="AE350" s="137">
        <f t="shared" si="29"/>
        <v>2.1739821162841508</v>
      </c>
      <c r="AF350" s="131">
        <f t="shared" ca="1" si="25"/>
        <v>-69560995.83301726</v>
      </c>
      <c r="AG350" s="131">
        <f t="shared" ca="1" si="26"/>
        <v>13538618.796422895</v>
      </c>
      <c r="AI350" s="131">
        <f t="shared" si="27"/>
        <v>-84182385.663544923</v>
      </c>
      <c r="AJ350" s="31">
        <f t="shared" si="28"/>
        <v>110285.5963536864</v>
      </c>
    </row>
    <row r="351" spans="15:36">
      <c r="O351" s="15">
        <v>348</v>
      </c>
      <c r="P351" s="33">
        <v>4214320.4229054665</v>
      </c>
      <c r="Q351" s="33">
        <v>90770919.798790231</v>
      </c>
      <c r="R351" s="146">
        <v>-86556599.375884771</v>
      </c>
      <c r="S351" s="31">
        <v>86509.85387024589</v>
      </c>
      <c r="T351" s="31">
        <v>14835.405104808257</v>
      </c>
      <c r="U351" s="142">
        <v>71674.448765437628</v>
      </c>
      <c r="AE351" s="137">
        <f t="shared" si="29"/>
        <v>2.1802653015913305</v>
      </c>
      <c r="AF351" s="131">
        <f t="shared" ca="1" si="25"/>
        <v>-69437757.852088764</v>
      </c>
      <c r="AG351" s="131">
        <f t="shared" ca="1" si="26"/>
        <v>13662231.337608056</v>
      </c>
      <c r="AI351" s="131">
        <f t="shared" si="27"/>
        <v>-86556599.375884771</v>
      </c>
      <c r="AJ351" s="31">
        <f t="shared" si="28"/>
        <v>71674.448765437628</v>
      </c>
    </row>
    <row r="352" spans="15:36">
      <c r="O352" s="15">
        <v>349</v>
      </c>
      <c r="P352" s="33">
        <v>3044640.7057711603</v>
      </c>
      <c r="Q352" s="33">
        <v>112964596.30808565</v>
      </c>
      <c r="R352" s="146">
        <v>-109919955.60231449</v>
      </c>
      <c r="S352" s="31">
        <v>140728.67304088266</v>
      </c>
      <c r="T352" s="31">
        <v>9412.4555307211594</v>
      </c>
      <c r="U352" s="142">
        <v>131316.21751016148</v>
      </c>
      <c r="AE352" s="137">
        <f t="shared" si="29"/>
        <v>2.1865484868985101</v>
      </c>
      <c r="AF352" s="131">
        <f t="shared" ca="1" si="25"/>
        <v>-69315059.293679059</v>
      </c>
      <c r="AG352" s="131">
        <f t="shared" ca="1" si="26"/>
        <v>13785307.842580643</v>
      </c>
      <c r="AI352" s="131">
        <f t="shared" si="27"/>
        <v>-109919955.60231449</v>
      </c>
      <c r="AJ352" s="31">
        <f t="shared" si="28"/>
        <v>131316.21751016148</v>
      </c>
    </row>
    <row r="353" spans="15:36">
      <c r="O353" s="15">
        <v>350</v>
      </c>
      <c r="P353" s="33">
        <v>3289537.3924691794</v>
      </c>
      <c r="Q353" s="33">
        <v>74209364.796840191</v>
      </c>
      <c r="R353" s="146">
        <v>-70919827.404371008</v>
      </c>
      <c r="S353" s="31">
        <v>62497.547712965199</v>
      </c>
      <c r="T353" s="31">
        <v>11884.304496599683</v>
      </c>
      <c r="U353" s="142">
        <v>50613.243216365518</v>
      </c>
      <c r="AE353" s="137">
        <f t="shared" si="29"/>
        <v>2.1928316722056898</v>
      </c>
      <c r="AF353" s="131">
        <f t="shared" ca="1" si="25"/>
        <v>-69192905.001717165</v>
      </c>
      <c r="AG353" s="131">
        <f t="shared" ca="1" si="26"/>
        <v>13907843.452490972</v>
      </c>
      <c r="AI353" s="131">
        <f t="shared" si="27"/>
        <v>-70919827.404371008</v>
      </c>
      <c r="AJ353" s="31">
        <f t="shared" si="28"/>
        <v>50613.243216365518</v>
      </c>
    </row>
    <row r="354" spans="15:36">
      <c r="O354" s="15">
        <v>351</v>
      </c>
      <c r="P354" s="33">
        <v>3500039.0744303679</v>
      </c>
      <c r="Q354" s="33">
        <v>92633758.631311223</v>
      </c>
      <c r="R354" s="146">
        <v>-89133719.556880862</v>
      </c>
      <c r="S354" s="31">
        <v>118827.86764954595</v>
      </c>
      <c r="T354" s="31">
        <v>2726.4802391075259</v>
      </c>
      <c r="U354" s="142">
        <v>116101.38741043843</v>
      </c>
      <c r="AE354" s="137">
        <f t="shared" si="29"/>
        <v>2.1991148575128694</v>
      </c>
      <c r="AF354" s="131">
        <f t="shared" ca="1" si="25"/>
        <v>-69071299.798645362</v>
      </c>
      <c r="AG354" s="131">
        <f t="shared" ca="1" si="26"/>
        <v>14029833.32984299</v>
      </c>
      <c r="AI354" s="131">
        <f t="shared" si="27"/>
        <v>-89133719.556880862</v>
      </c>
      <c r="AJ354" s="31">
        <f t="shared" si="28"/>
        <v>116101.38741043843</v>
      </c>
    </row>
    <row r="355" spans="15:36">
      <c r="O355" s="15">
        <v>352</v>
      </c>
      <c r="P355" s="33">
        <v>3760570.753383568</v>
      </c>
      <c r="Q355" s="33">
        <v>88471988.983213872</v>
      </c>
      <c r="R355" s="146">
        <v>-84711418.22983031</v>
      </c>
      <c r="S355" s="31">
        <v>138949.73461028512</v>
      </c>
      <c r="T355" s="31">
        <v>20211.510212233225</v>
      </c>
      <c r="U355" s="142">
        <v>118738.22439805188</v>
      </c>
      <c r="AE355" s="137">
        <f t="shared" si="29"/>
        <v>2.205398042820049</v>
      </c>
      <c r="AF355" s="131">
        <f t="shared" ca="1" si="25"/>
        <v>-68950248.485228837</v>
      </c>
      <c r="AG355" s="131">
        <f t="shared" ca="1" si="26"/>
        <v>14151272.658685209</v>
      </c>
      <c r="AI355" s="131">
        <f t="shared" si="27"/>
        <v>-84711418.22983031</v>
      </c>
      <c r="AJ355" s="31">
        <f t="shared" si="28"/>
        <v>118738.22439805188</v>
      </c>
    </row>
    <row r="356" spans="15:36">
      <c r="O356" s="15">
        <v>353</v>
      </c>
      <c r="P356" s="33">
        <v>2719145.3332348568</v>
      </c>
      <c r="Q356" s="33">
        <v>88575006.40111652</v>
      </c>
      <c r="R356" s="146">
        <v>-85855861.067881659</v>
      </c>
      <c r="S356" s="31">
        <v>123267.93130777583</v>
      </c>
      <c r="T356" s="31">
        <v>12678.995605481272</v>
      </c>
      <c r="U356" s="142">
        <v>110588.93570229455</v>
      </c>
      <c r="AE356" s="137">
        <f t="shared" si="29"/>
        <v>2.2116812281272287</v>
      </c>
      <c r="AF356" s="131">
        <f t="shared" ca="1" si="25"/>
        <v>-68829755.840366185</v>
      </c>
      <c r="AG356" s="131">
        <f t="shared" ca="1" si="26"/>
        <v>14272156.644800868</v>
      </c>
      <c r="AI356" s="131">
        <f t="shared" si="27"/>
        <v>-85855861.067881659</v>
      </c>
      <c r="AJ356" s="31">
        <f t="shared" si="28"/>
        <v>110588.93570229455</v>
      </c>
    </row>
    <row r="357" spans="15:36">
      <c r="O357" s="15">
        <v>354</v>
      </c>
      <c r="P357" s="33">
        <v>3270372.9909213651</v>
      </c>
      <c r="Q357" s="33">
        <v>83331740.543986171</v>
      </c>
      <c r="R357" s="146">
        <v>-80061367.553064808</v>
      </c>
      <c r="S357" s="31">
        <v>110734.83746039972</v>
      </c>
      <c r="T357" s="31">
        <v>9419.228643194323</v>
      </c>
      <c r="U357" s="142">
        <v>101315.6088172054</v>
      </c>
      <c r="AE357" s="137">
        <f t="shared" si="29"/>
        <v>2.2179644134344083</v>
      </c>
      <c r="AF357" s="131">
        <f t="shared" ca="1" si="25"/>
        <v>-68709826.620900691</v>
      </c>
      <c r="AG357" s="131">
        <f t="shared" ca="1" si="26"/>
        <v>14392480.515897183</v>
      </c>
      <c r="AI357" s="131">
        <f t="shared" si="27"/>
        <v>-80061367.553064808</v>
      </c>
      <c r="AJ357" s="31">
        <f t="shared" si="28"/>
        <v>101315.6088172054</v>
      </c>
    </row>
    <row r="358" spans="15:36">
      <c r="O358" s="15">
        <v>355</v>
      </c>
      <c r="P358" s="33">
        <v>3495334.1181647987</v>
      </c>
      <c r="Q358" s="33">
        <v>85238248.729187161</v>
      </c>
      <c r="R358" s="146">
        <v>-81742914.611022368</v>
      </c>
      <c r="S358" s="31">
        <v>61990.069486972483</v>
      </c>
      <c r="T358" s="31">
        <v>9926.649805756153</v>
      </c>
      <c r="U358" s="142">
        <v>52063.419681216328</v>
      </c>
      <c r="AE358" s="137">
        <f t="shared" si="29"/>
        <v>2.224247598741588</v>
      </c>
      <c r="AF358" s="131">
        <f t="shared" ca="1" si="25"/>
        <v>-68590465.5614326</v>
      </c>
      <c r="AG358" s="131">
        <f t="shared" ca="1" si="26"/>
        <v>14512239.521793747</v>
      </c>
      <c r="AI358" s="131">
        <f t="shared" si="27"/>
        <v>-81742914.611022368</v>
      </c>
      <c r="AJ358" s="31">
        <f t="shared" si="28"/>
        <v>52063.419681216328</v>
      </c>
    </row>
    <row r="359" spans="15:36">
      <c r="O359" s="15">
        <v>356</v>
      </c>
      <c r="P359" s="33">
        <v>2924584.1540287333</v>
      </c>
      <c r="Q359" s="33">
        <v>102599360.99966647</v>
      </c>
      <c r="R359" s="146">
        <v>-99674776.845637739</v>
      </c>
      <c r="S359" s="31">
        <v>96802.768868562009</v>
      </c>
      <c r="T359" s="31">
        <v>8088.1789891940271</v>
      </c>
      <c r="U359" s="142">
        <v>88714.589879367981</v>
      </c>
      <c r="AE359" s="137">
        <f t="shared" si="29"/>
        <v>2.2305307840487676</v>
      </c>
      <c r="AF359" s="131">
        <f t="shared" ca="1" si="25"/>
        <v>-68471677.374132156</v>
      </c>
      <c r="AG359" s="131">
        <f t="shared" ca="1" si="26"/>
        <v>14631428.934610069</v>
      </c>
      <c r="AI359" s="131">
        <f t="shared" si="27"/>
        <v>-99674776.845637739</v>
      </c>
      <c r="AJ359" s="31">
        <f t="shared" si="28"/>
        <v>88714.589879367981</v>
      </c>
    </row>
    <row r="360" spans="15:36">
      <c r="O360" s="15">
        <v>357</v>
      </c>
      <c r="P360" s="33">
        <v>3122513.6170244757</v>
      </c>
      <c r="Q360" s="33">
        <v>78919921.380313993</v>
      </c>
      <c r="R360" s="146">
        <v>-75797407.763289511</v>
      </c>
      <c r="S360" s="31">
        <v>113230.97730464813</v>
      </c>
      <c r="T360" s="31">
        <v>11351.825932612504</v>
      </c>
      <c r="U360" s="142">
        <v>101879.15137203562</v>
      </c>
      <c r="AE360" s="137">
        <f t="shared" si="29"/>
        <v>2.2368139693559472</v>
      </c>
      <c r="AF360" s="131">
        <f t="shared" ca="1" si="25"/>
        <v>-68353466.748553589</v>
      </c>
      <c r="AG360" s="131">
        <f t="shared" ca="1" si="26"/>
        <v>14750044.048952218</v>
      </c>
      <c r="AI360" s="131">
        <f t="shared" si="27"/>
        <v>-75797407.763289511</v>
      </c>
      <c r="AJ360" s="31">
        <f t="shared" si="28"/>
        <v>101879.15137203562</v>
      </c>
    </row>
    <row r="361" spans="15:36">
      <c r="O361" s="15">
        <v>358</v>
      </c>
      <c r="P361" s="33">
        <v>3246230.2708830503</v>
      </c>
      <c r="Q361" s="33">
        <v>99404531.209110901</v>
      </c>
      <c r="R361" s="146">
        <v>-96158300.938227847</v>
      </c>
      <c r="S361" s="31">
        <v>151425.27067268538</v>
      </c>
      <c r="T361" s="31">
        <v>11154.070668912291</v>
      </c>
      <c r="U361" s="142">
        <v>140271.20000377309</v>
      </c>
      <c r="AE361" s="137">
        <f t="shared" si="29"/>
        <v>2.2430971546631269</v>
      </c>
      <c r="AF361" s="131">
        <f t="shared" ca="1" si="25"/>
        <v>-68235838.351450011</v>
      </c>
      <c r="AG361" s="131">
        <f t="shared" ca="1" si="26"/>
        <v>14868080.182098581</v>
      </c>
      <c r="AI361" s="131">
        <f t="shared" si="27"/>
        <v>-96158300.938227847</v>
      </c>
      <c r="AJ361" s="31">
        <f t="shared" si="28"/>
        <v>140271.20000377309</v>
      </c>
    </row>
    <row r="362" spans="15:36">
      <c r="O362" s="15">
        <v>359</v>
      </c>
      <c r="P362" s="33">
        <v>3093185.9779742984</v>
      </c>
      <c r="Q362" s="33">
        <v>91358621.056632221</v>
      </c>
      <c r="R362" s="146">
        <v>-88265435.078657925</v>
      </c>
      <c r="S362" s="31">
        <v>71772.420614923612</v>
      </c>
      <c r="T362" s="31">
        <v>7814.8005947700794</v>
      </c>
      <c r="U362" s="142">
        <v>63957.620020153532</v>
      </c>
      <c r="AE362" s="137">
        <f t="shared" si="29"/>
        <v>2.2493803399703065</v>
      </c>
      <c r="AF362" s="131">
        <f t="shared" ca="1" si="25"/>
        <v>-68118796.826589108</v>
      </c>
      <c r="AG362" s="131">
        <f t="shared" ca="1" si="26"/>
        <v>14985532.674184728</v>
      </c>
      <c r="AI362" s="131">
        <f t="shared" si="27"/>
        <v>-88265435.078657925</v>
      </c>
      <c r="AJ362" s="31">
        <f t="shared" si="28"/>
        <v>63957.620020153532</v>
      </c>
    </row>
    <row r="363" spans="15:36">
      <c r="O363" s="15">
        <v>360</v>
      </c>
      <c r="P363" s="33">
        <v>3362422.1682357015</v>
      </c>
      <c r="Q363" s="33">
        <v>82049312.058029369</v>
      </c>
      <c r="R363" s="146">
        <v>-78686889.889793664</v>
      </c>
      <c r="S363" s="31">
        <v>196318.65319782749</v>
      </c>
      <c r="T363" s="31">
        <v>11871.753361335655</v>
      </c>
      <c r="U363" s="142">
        <v>184446.89983649182</v>
      </c>
      <c r="AE363" s="137">
        <f t="shared" si="29"/>
        <v>2.2556635252774861</v>
      </c>
      <c r="AF363" s="131">
        <f t="shared" ca="1" si="25"/>
        <v>-68002346.79456988</v>
      </c>
      <c r="AG363" s="131">
        <f t="shared" ca="1" si="26"/>
        <v>15102396.888387388</v>
      </c>
      <c r="AI363" s="131">
        <f t="shared" si="27"/>
        <v>-78686889.889793664</v>
      </c>
      <c r="AJ363" s="31">
        <f t="shared" si="28"/>
        <v>184446.89983649182</v>
      </c>
    </row>
    <row r="364" spans="15:36">
      <c r="O364" s="15">
        <v>361</v>
      </c>
      <c r="P364" s="33">
        <v>3781278.3575720838</v>
      </c>
      <c r="Q364" s="33">
        <v>77776155.97238715</v>
      </c>
      <c r="R364" s="146">
        <v>-73994877.614815071</v>
      </c>
      <c r="S364" s="31">
        <v>58936.318626682762</v>
      </c>
      <c r="T364" s="31">
        <v>4419.7902696494311</v>
      </c>
      <c r="U364" s="142">
        <v>54516.528357033327</v>
      </c>
      <c r="AE364" s="137">
        <f t="shared" si="29"/>
        <v>2.2619467105846658</v>
      </c>
      <c r="AF364" s="131">
        <f t="shared" ca="1" si="25"/>
        <v>-67886492.852640182</v>
      </c>
      <c r="AG364" s="131">
        <f t="shared" ca="1" si="26"/>
        <v>15218668.211107479</v>
      </c>
      <c r="AI364" s="131">
        <f t="shared" si="27"/>
        <v>-73994877.614815071</v>
      </c>
      <c r="AJ364" s="31">
        <f t="shared" si="28"/>
        <v>54516.528357033327</v>
      </c>
    </row>
    <row r="365" spans="15:36">
      <c r="O365" s="15">
        <v>362</v>
      </c>
      <c r="P365" s="33">
        <v>3546685.46709128</v>
      </c>
      <c r="Q365" s="33">
        <v>74292855.934954509</v>
      </c>
      <c r="R365" s="146">
        <v>-70746170.467863232</v>
      </c>
      <c r="S365" s="31">
        <v>182507.76531147904</v>
      </c>
      <c r="T365" s="31">
        <v>10543.532735878252</v>
      </c>
      <c r="U365" s="142">
        <v>171964.23257560079</v>
      </c>
      <c r="AE365" s="137">
        <f t="shared" si="29"/>
        <v>2.2682298958918454</v>
      </c>
      <c r="AF365" s="131">
        <f t="shared" ca="1" si="25"/>
        <v>-67771239.574515298</v>
      </c>
      <c r="AG365" s="131">
        <f t="shared" ca="1" si="26"/>
        <v>15334342.05215228</v>
      </c>
      <c r="AI365" s="131">
        <f t="shared" si="27"/>
        <v>-70746170.467863232</v>
      </c>
      <c r="AJ365" s="31">
        <f t="shared" si="28"/>
        <v>171964.23257560079</v>
      </c>
    </row>
    <row r="366" spans="15:36">
      <c r="O366" s="15">
        <v>363</v>
      </c>
      <c r="P366" s="33">
        <v>3107446.7807494914</v>
      </c>
      <c r="Q366" s="33">
        <v>80381422.821529254</v>
      </c>
      <c r="R366" s="146">
        <v>-77273976.040779769</v>
      </c>
      <c r="S366" s="31">
        <v>103916.19243505964</v>
      </c>
      <c r="T366" s="31">
        <v>13102.489844758924</v>
      </c>
      <c r="U366" s="142">
        <v>90813.702590300716</v>
      </c>
      <c r="AE366" s="137">
        <f t="shared" si="29"/>
        <v>2.2745130811990251</v>
      </c>
      <c r="AF366" s="131">
        <f t="shared" ca="1" si="25"/>
        <v>-67656591.510197282</v>
      </c>
      <c r="AG366" s="131">
        <f t="shared" ca="1" si="26"/>
        <v>15449413.844916603</v>
      </c>
      <c r="AI366" s="131">
        <f t="shared" si="27"/>
        <v>-77273976.040779769</v>
      </c>
      <c r="AJ366" s="31">
        <f t="shared" si="28"/>
        <v>90813.702590300716</v>
      </c>
    </row>
    <row r="367" spans="15:36">
      <c r="O367" s="15">
        <v>364</v>
      </c>
      <c r="P367" s="33">
        <v>3309919.5671993606</v>
      </c>
      <c r="Q367" s="33">
        <v>97004464.315520063</v>
      </c>
      <c r="R367" s="146">
        <v>-93694544.748320699</v>
      </c>
      <c r="S367" s="31">
        <v>84024.081119533788</v>
      </c>
      <c r="T367" s="31">
        <v>20349.826601989098</v>
      </c>
      <c r="U367" s="142">
        <v>63674.254517544687</v>
      </c>
      <c r="AE367" s="137">
        <f t="shared" si="29"/>
        <v>2.2807962665062047</v>
      </c>
      <c r="AF367" s="131">
        <f t="shared" ca="1" si="25"/>
        <v>-67542553.185795411</v>
      </c>
      <c r="AG367" s="131">
        <f t="shared" ca="1" si="26"/>
        <v>15563879.046563109</v>
      </c>
      <c r="AI367" s="131">
        <f t="shared" si="27"/>
        <v>-93694544.748320699</v>
      </c>
      <c r="AJ367" s="31">
        <f t="shared" si="28"/>
        <v>63674.254517544687</v>
      </c>
    </row>
    <row r="368" spans="15:36">
      <c r="O368" s="15">
        <v>365</v>
      </c>
      <c r="P368" s="33">
        <v>3496525.2810615934</v>
      </c>
      <c r="Q368" s="33">
        <v>77409134.838866889</v>
      </c>
      <c r="R368" s="146">
        <v>-73912609.5578053</v>
      </c>
      <c r="S368" s="31">
        <v>82317.234234434902</v>
      </c>
      <c r="T368" s="31">
        <v>23286.692339518391</v>
      </c>
      <c r="U368" s="142">
        <v>59030.541894916511</v>
      </c>
      <c r="AE368" s="137">
        <f t="shared" si="29"/>
        <v>2.2870794518133843</v>
      </c>
      <c r="AF368" s="131">
        <f t="shared" ca="1" si="25"/>
        <v>-67429129.10334745</v>
      </c>
      <c r="AG368" s="131">
        <f t="shared" ca="1" si="26"/>
        <v>15677733.13820163</v>
      </c>
      <c r="AI368" s="131">
        <f t="shared" si="27"/>
        <v>-73912609.5578053</v>
      </c>
      <c r="AJ368" s="31">
        <f t="shared" si="28"/>
        <v>59030.541894916511</v>
      </c>
    </row>
    <row r="369" spans="15:36">
      <c r="O369" s="15">
        <v>366</v>
      </c>
      <c r="P369" s="33">
        <v>3490323.3958320925</v>
      </c>
      <c r="Q369" s="33">
        <v>82221640.343797177</v>
      </c>
      <c r="R369" s="146">
        <v>-78731316.947965086</v>
      </c>
      <c r="S369" s="31">
        <v>187937.51962653486</v>
      </c>
      <c r="T369" s="31">
        <v>7387.0822265070883</v>
      </c>
      <c r="U369" s="142">
        <v>180550.43740002779</v>
      </c>
      <c r="AE369" s="137">
        <f t="shared" si="29"/>
        <v>2.293362637120564</v>
      </c>
      <c r="AF369" s="131">
        <f t="shared" ca="1" si="25"/>
        <v>-67316323.740641996</v>
      </c>
      <c r="AG369" s="131">
        <f t="shared" ca="1" si="26"/>
        <v>15790971.625067577</v>
      </c>
      <c r="AI369" s="131">
        <f t="shared" si="27"/>
        <v>-78731316.947965086</v>
      </c>
      <c r="AJ369" s="31">
        <f t="shared" si="28"/>
        <v>180550.43740002779</v>
      </c>
    </row>
    <row r="370" spans="15:36">
      <c r="O370" s="15">
        <v>367</v>
      </c>
      <c r="P370" s="33">
        <v>3295587.0016898182</v>
      </c>
      <c r="Q370" s="33">
        <v>92847681.345193297</v>
      </c>
      <c r="R370" s="146">
        <v>-89552094.343503475</v>
      </c>
      <c r="S370" s="31">
        <v>71845.222344559676</v>
      </c>
      <c r="T370" s="31">
        <v>13918.101103216239</v>
      </c>
      <c r="U370" s="142">
        <v>57927.12124134344</v>
      </c>
      <c r="AE370" s="137">
        <f t="shared" si="29"/>
        <v>2.2996458224277436</v>
      </c>
      <c r="AF370" s="131">
        <f t="shared" ca="1" si="25"/>
        <v>-67204141.551041588</v>
      </c>
      <c r="AG370" s="131">
        <f t="shared" ca="1" si="26"/>
        <v>15903590.036699384</v>
      </c>
      <c r="AI370" s="131">
        <f t="shared" si="27"/>
        <v>-89552094.343503475</v>
      </c>
      <c r="AJ370" s="31">
        <f t="shared" si="28"/>
        <v>57927.12124134344</v>
      </c>
    </row>
    <row r="371" spans="15:36">
      <c r="O371" s="15">
        <v>368</v>
      </c>
      <c r="P371" s="33">
        <v>3083642.6660408331</v>
      </c>
      <c r="Q371" s="33">
        <v>97218389.762394711</v>
      </c>
      <c r="R371" s="146">
        <v>-94134747.096353874</v>
      </c>
      <c r="S371" s="31">
        <v>107123.55438834074</v>
      </c>
      <c r="T371" s="31">
        <v>13599.406381600482</v>
      </c>
      <c r="U371" s="142">
        <v>93524.148006740259</v>
      </c>
      <c r="AE371" s="137">
        <f t="shared" si="29"/>
        <v>2.3059290077349233</v>
      </c>
      <c r="AF371" s="131">
        <f t="shared" ca="1" si="25"/>
        <v>-67092586.963306993</v>
      </c>
      <c r="AG371" s="131">
        <f t="shared" ca="1" si="26"/>
        <v>16015583.927114999</v>
      </c>
      <c r="AI371" s="131">
        <f t="shared" si="27"/>
        <v>-94134747.096353874</v>
      </c>
      <c r="AJ371" s="31">
        <f t="shared" si="28"/>
        <v>93524.148006740259</v>
      </c>
    </row>
    <row r="372" spans="15:36">
      <c r="O372" s="15">
        <v>369</v>
      </c>
      <c r="P372" s="33">
        <v>3337880.115326284</v>
      </c>
      <c r="Q372" s="33">
        <v>79587375.446484417</v>
      </c>
      <c r="R372" s="146">
        <v>-76249495.331158131</v>
      </c>
      <c r="S372" s="31">
        <v>119906.95798090578</v>
      </c>
      <c r="T372" s="31">
        <v>9959.4129083366806</v>
      </c>
      <c r="U372" s="142">
        <v>109947.54507256909</v>
      </c>
      <c r="AE372" s="137">
        <f t="shared" si="29"/>
        <v>2.3122121930421029</v>
      </c>
      <c r="AF372" s="131">
        <f t="shared" ca="1" si="25"/>
        <v>-66981664.381422319</v>
      </c>
      <c r="AG372" s="131">
        <f t="shared" ca="1" si="26"/>
        <v>16126948.874987386</v>
      </c>
      <c r="AI372" s="131">
        <f t="shared" si="27"/>
        <v>-76249495.331158131</v>
      </c>
      <c r="AJ372" s="31">
        <f t="shared" si="28"/>
        <v>109947.54507256909</v>
      </c>
    </row>
    <row r="373" spans="15:36">
      <c r="O373" s="15">
        <v>370</v>
      </c>
      <c r="P373" s="33">
        <v>3445269.0370159964</v>
      </c>
      <c r="Q373" s="33">
        <v>89042626.474750027</v>
      </c>
      <c r="R373" s="146">
        <v>-85597357.437734038</v>
      </c>
      <c r="S373" s="31">
        <v>108788.4723189615</v>
      </c>
      <c r="T373" s="31">
        <v>9525.8784495053078</v>
      </c>
      <c r="U373" s="142">
        <v>99262.593869456192</v>
      </c>
      <c r="AE373" s="137">
        <f t="shared" si="29"/>
        <v>2.3184953783492825</v>
      </c>
      <c r="AF373" s="131">
        <f t="shared" ca="1" si="25"/>
        <v>-66871378.184421174</v>
      </c>
      <c r="AG373" s="131">
        <f t="shared" ca="1" si="26"/>
        <v>16237680.483819094</v>
      </c>
      <c r="AI373" s="131">
        <f t="shared" si="27"/>
        <v>-85597357.437734038</v>
      </c>
      <c r="AJ373" s="31">
        <f t="shared" si="28"/>
        <v>99262.593869456192</v>
      </c>
    </row>
    <row r="374" spans="15:36">
      <c r="O374" s="15">
        <v>371</v>
      </c>
      <c r="P374" s="33">
        <v>3264259.7089141342</v>
      </c>
      <c r="Q374" s="33">
        <v>102117475.99061909</v>
      </c>
      <c r="R374" s="146">
        <v>-98853216.281704962</v>
      </c>
      <c r="S374" s="31">
        <v>74281.56967822992</v>
      </c>
      <c r="T374" s="31">
        <v>15704.704989102842</v>
      </c>
      <c r="U374" s="142">
        <v>58576.864689127076</v>
      </c>
      <c r="AE374" s="137">
        <f t="shared" si="29"/>
        <v>2.3247785636564622</v>
      </c>
      <c r="AF374" s="131">
        <f t="shared" ca="1" si="25"/>
        <v>-66761732.726213776</v>
      </c>
      <c r="AG374" s="131">
        <f t="shared" ca="1" si="26"/>
        <v>16347774.382115806</v>
      </c>
      <c r="AI374" s="131">
        <f t="shared" si="27"/>
        <v>-98853216.281704962</v>
      </c>
      <c r="AJ374" s="31">
        <f t="shared" si="28"/>
        <v>58576.864689127076</v>
      </c>
    </row>
    <row r="375" spans="15:36">
      <c r="O375" s="15">
        <v>372</v>
      </c>
      <c r="P375" s="33">
        <v>3894129.188644479</v>
      </c>
      <c r="Q375" s="33">
        <v>76583791.381183922</v>
      </c>
      <c r="R375" s="146">
        <v>-72689662.192539439</v>
      </c>
      <c r="S375" s="31">
        <v>123878.58045979751</v>
      </c>
      <c r="T375" s="31">
        <v>7954.2606204035892</v>
      </c>
      <c r="U375" s="142">
        <v>115924.31983939392</v>
      </c>
      <c r="AE375" s="137">
        <f t="shared" si="29"/>
        <v>2.3310617489636418</v>
      </c>
      <c r="AF375" s="131">
        <f t="shared" ca="1" si="25"/>
        <v>-66652732.335415065</v>
      </c>
      <c r="AG375" s="131">
        <f t="shared" ca="1" si="26"/>
        <v>16457226.223558929</v>
      </c>
      <c r="AI375" s="131">
        <f t="shared" si="27"/>
        <v>-72689662.192539439</v>
      </c>
      <c r="AJ375" s="31">
        <f t="shared" si="28"/>
        <v>115924.31983939392</v>
      </c>
    </row>
    <row r="376" spans="15:36">
      <c r="O376" s="15">
        <v>373</v>
      </c>
      <c r="P376" s="33">
        <v>3455073.4303862774</v>
      </c>
      <c r="Q376" s="33">
        <v>84317634.034926355</v>
      </c>
      <c r="R376" s="146">
        <v>-80862560.60454008</v>
      </c>
      <c r="S376" s="31">
        <v>90084.734451618046</v>
      </c>
      <c r="T376" s="31">
        <v>4833.9061426128137</v>
      </c>
      <c r="U376" s="142">
        <v>85250.828309005228</v>
      </c>
      <c r="AE376" s="137">
        <f t="shared" si="29"/>
        <v>2.3373449342708215</v>
      </c>
      <c r="AF376" s="131">
        <f t="shared" ca="1" si="25"/>
        <v>-66544381.315173835</v>
      </c>
      <c r="AG376" s="131">
        <f t="shared" ca="1" si="26"/>
        <v>16566031.687177179</v>
      </c>
      <c r="AI376" s="131">
        <f t="shared" si="27"/>
        <v>-80862560.60454008</v>
      </c>
      <c r="AJ376" s="31">
        <f t="shared" si="28"/>
        <v>85250.828309005228</v>
      </c>
    </row>
    <row r="377" spans="15:36">
      <c r="O377" s="15">
        <v>374</v>
      </c>
      <c r="P377" s="33">
        <v>3127473.9595740298</v>
      </c>
      <c r="Q377" s="33">
        <v>88355303.572854489</v>
      </c>
      <c r="R377" s="146">
        <v>-85227829.61328046</v>
      </c>
      <c r="S377" s="31">
        <v>79425.83176616054</v>
      </c>
      <c r="T377" s="31">
        <v>13255.423343568569</v>
      </c>
      <c r="U377" s="142">
        <v>66170.408422591965</v>
      </c>
      <c r="AE377" s="137">
        <f t="shared" si="29"/>
        <v>2.3436281195780011</v>
      </c>
      <c r="AF377" s="131">
        <f t="shared" ca="1" si="25"/>
        <v>-66436683.943002835</v>
      </c>
      <c r="AG377" s="131">
        <f t="shared" ca="1" si="26"/>
        <v>16674186.47751715</v>
      </c>
      <c r="AI377" s="131">
        <f t="shared" si="27"/>
        <v>-85227829.61328046</v>
      </c>
      <c r="AJ377" s="31">
        <f t="shared" si="28"/>
        <v>66170.408422591965</v>
      </c>
    </row>
    <row r="378" spans="15:36">
      <c r="O378" s="15">
        <v>375</v>
      </c>
      <c r="P378" s="33">
        <v>3181528.8682461744</v>
      </c>
      <c r="Q378" s="33">
        <v>90592852.453678504</v>
      </c>
      <c r="R378" s="146">
        <v>-87411323.585432336</v>
      </c>
      <c r="S378" s="31">
        <v>84653.054593061257</v>
      </c>
      <c r="T378" s="31">
        <v>36650.595870416699</v>
      </c>
      <c r="U378" s="142">
        <v>48002.458722644558</v>
      </c>
      <c r="AE378" s="137">
        <f t="shared" si="29"/>
        <v>2.3499113048851807</v>
      </c>
      <c r="AF378" s="131">
        <f t="shared" ca="1" si="25"/>
        <v>-66329644.470609918</v>
      </c>
      <c r="AG378" s="131">
        <f t="shared" ca="1" si="26"/>
        <v>16781686.324812915</v>
      </c>
      <c r="AI378" s="131">
        <f t="shared" si="27"/>
        <v>-87411323.585432336</v>
      </c>
      <c r="AJ378" s="31">
        <f t="shared" si="28"/>
        <v>48002.458722644558</v>
      </c>
    </row>
    <row r="379" spans="15:36">
      <c r="O379" s="15">
        <v>376</v>
      </c>
      <c r="P379" s="33">
        <v>3497260.415193459</v>
      </c>
      <c r="Q379" s="33">
        <v>88840871.044802144</v>
      </c>
      <c r="R379" s="146">
        <v>-85343610.629608691</v>
      </c>
      <c r="S379" s="31">
        <v>89025.671551951178</v>
      </c>
      <c r="T379" s="31">
        <v>11183.205503937357</v>
      </c>
      <c r="U379" s="142">
        <v>77842.466048013826</v>
      </c>
      <c r="AE379" s="137">
        <f t="shared" si="29"/>
        <v>2.3561944901923604</v>
      </c>
      <c r="AF379" s="131">
        <f t="shared" ca="1" si="25"/>
        <v>-66223267.123730168</v>
      </c>
      <c r="AG379" s="131">
        <f t="shared" ca="1" si="26"/>
        <v>16888526.985154573</v>
      </c>
      <c r="AI379" s="131">
        <f t="shared" si="27"/>
        <v>-85343610.629608691</v>
      </c>
      <c r="AJ379" s="31">
        <f t="shared" si="28"/>
        <v>77842.466048013826</v>
      </c>
    </row>
    <row r="380" spans="15:36">
      <c r="O380" s="15">
        <v>377</v>
      </c>
      <c r="P380" s="33">
        <v>3822695.2855481924</v>
      </c>
      <c r="Q380" s="33">
        <v>104437965.78758232</v>
      </c>
      <c r="R380" s="146">
        <v>-100615270.50203413</v>
      </c>
      <c r="S380" s="31">
        <v>74485.937886246669</v>
      </c>
      <c r="T380" s="31">
        <v>16274.306270160097</v>
      </c>
      <c r="U380" s="142">
        <v>58211.631616086568</v>
      </c>
      <c r="AE380" s="137">
        <f t="shared" si="29"/>
        <v>2.36247767549954</v>
      </c>
      <c r="AF380" s="131">
        <f t="shared" ca="1" si="25"/>
        <v>-66117556.101959102</v>
      </c>
      <c r="AG380" s="131">
        <f t="shared" ca="1" si="26"/>
        <v>16994704.240655787</v>
      </c>
      <c r="AI380" s="131">
        <f t="shared" si="27"/>
        <v>-100615270.50203413</v>
      </c>
      <c r="AJ380" s="31">
        <f t="shared" si="28"/>
        <v>58211.631616086568</v>
      </c>
    </row>
    <row r="381" spans="15:36">
      <c r="O381" s="15">
        <v>378</v>
      </c>
      <c r="P381" s="33">
        <v>2727168.0853113029</v>
      </c>
      <c r="Q381" s="33">
        <v>98973995.93482469</v>
      </c>
      <c r="R381" s="146">
        <v>-96246827.849513382</v>
      </c>
      <c r="S381" s="31">
        <v>85302.551633638155</v>
      </c>
      <c r="T381" s="31">
        <v>9538.3326115828022</v>
      </c>
      <c r="U381" s="142">
        <v>75764.21902205536</v>
      </c>
      <c r="AE381" s="137">
        <f t="shared" si="29"/>
        <v>2.3687608608067197</v>
      </c>
      <c r="AF381" s="131">
        <f t="shared" ca="1" si="25"/>
        <v>-66012515.578586839</v>
      </c>
      <c r="AG381" s="131">
        <f t="shared" ca="1" si="26"/>
        <v>17100213.899620321</v>
      </c>
      <c r="AI381" s="131">
        <f t="shared" si="27"/>
        <v>-96246827.849513382</v>
      </c>
      <c r="AJ381" s="31">
        <f t="shared" si="28"/>
        <v>75764.21902205536</v>
      </c>
    </row>
    <row r="382" spans="15:36">
      <c r="O382" s="15">
        <v>379</v>
      </c>
      <c r="P382" s="33">
        <v>3054678.3739598268</v>
      </c>
      <c r="Q382" s="33">
        <v>96089166.052620545</v>
      </c>
      <c r="R382" s="146">
        <v>-93034487.678660721</v>
      </c>
      <c r="S382" s="31">
        <v>129601.13755708779</v>
      </c>
      <c r="T382" s="31">
        <v>9998.0091709473181</v>
      </c>
      <c r="U382" s="142">
        <v>119603.12838614047</v>
      </c>
      <c r="AE382" s="137">
        <f t="shared" si="29"/>
        <v>2.3750440461138993</v>
      </c>
      <c r="AF382" s="131">
        <f t="shared" ca="1" si="25"/>
        <v>-65908149.700433388</v>
      </c>
      <c r="AG382" s="131">
        <f t="shared" ca="1" si="26"/>
        <v>17205051.796707503</v>
      </c>
      <c r="AI382" s="131">
        <f t="shared" si="27"/>
        <v>-93034487.678660721</v>
      </c>
      <c r="AJ382" s="31">
        <f t="shared" si="28"/>
        <v>119603.12838614047</v>
      </c>
    </row>
    <row r="383" spans="15:36">
      <c r="O383" s="15">
        <v>380</v>
      </c>
      <c r="P383" s="33">
        <v>3006435.057764553</v>
      </c>
      <c r="Q383" s="33">
        <v>82262736.853200674</v>
      </c>
      <c r="R383" s="146">
        <v>-79256301.795436114</v>
      </c>
      <c r="S383" s="31">
        <v>91084.909944683386</v>
      </c>
      <c r="T383" s="31">
        <v>10585.824570632707</v>
      </c>
      <c r="U383" s="142">
        <v>80499.085374050686</v>
      </c>
      <c r="AE383" s="137">
        <f t="shared" si="29"/>
        <v>2.3813272314210789</v>
      </c>
      <c r="AF383" s="131">
        <f t="shared" ca="1" si="25"/>
        <v>-65804462.587684922</v>
      </c>
      <c r="AG383" s="131">
        <f t="shared" ca="1" si="26"/>
        <v>17309213.793096662</v>
      </c>
      <c r="AI383" s="131">
        <f t="shared" si="27"/>
        <v>-79256301.795436114</v>
      </c>
      <c r="AJ383" s="31">
        <f t="shared" si="28"/>
        <v>80499.085374050686</v>
      </c>
    </row>
    <row r="384" spans="15:36">
      <c r="O384" s="15">
        <v>381</v>
      </c>
      <c r="P384" s="33">
        <v>3439257.5175164505</v>
      </c>
      <c r="Q384" s="33">
        <v>81652040.391770765</v>
      </c>
      <c r="R384" s="146">
        <v>-78212782.874254316</v>
      </c>
      <c r="S384" s="31">
        <v>134721.18918189118</v>
      </c>
      <c r="T384" s="31">
        <v>3812.8032497501463</v>
      </c>
      <c r="U384" s="142">
        <v>130908.38593214104</v>
      </c>
      <c r="AE384" s="137">
        <f t="shared" si="29"/>
        <v>2.3876104167282586</v>
      </c>
      <c r="AF384" s="131">
        <f t="shared" ca="1" si="25"/>
        <v>-65701458.3337311</v>
      </c>
      <c r="AG384" s="131">
        <f t="shared" ca="1" si="26"/>
        <v>17412695.776650533</v>
      </c>
      <c r="AI384" s="131">
        <f t="shared" si="27"/>
        <v>-78212782.874254316</v>
      </c>
      <c r="AJ384" s="31">
        <f t="shared" si="28"/>
        <v>130908.38593214104</v>
      </c>
    </row>
    <row r="385" spans="15:36">
      <c r="O385" s="15">
        <v>382</v>
      </c>
      <c r="P385" s="33">
        <v>3582899.7306520287</v>
      </c>
      <c r="Q385" s="33">
        <v>89555817.310192496</v>
      </c>
      <c r="R385" s="146">
        <v>-85972917.579540461</v>
      </c>
      <c r="S385" s="31">
        <v>102333.75973505323</v>
      </c>
      <c r="T385" s="31">
        <v>14847.832539209732</v>
      </c>
      <c r="U385" s="142">
        <v>87485.927195843498</v>
      </c>
      <c r="AE385" s="137">
        <f t="shared" si="29"/>
        <v>2.3938936020354382</v>
      </c>
      <c r="AF385" s="131">
        <f t="shared" ca="1" si="25"/>
        <v>-65599141.005003512</v>
      </c>
      <c r="AG385" s="131">
        <f t="shared" ca="1" si="26"/>
        <v>17515493.662077598</v>
      </c>
      <c r="AI385" s="131">
        <f t="shared" si="27"/>
        <v>-85972917.579540461</v>
      </c>
      <c r="AJ385" s="31">
        <f t="shared" si="28"/>
        <v>87485.927195843498</v>
      </c>
    </row>
    <row r="386" spans="15:36">
      <c r="O386" s="15">
        <v>383</v>
      </c>
      <c r="P386" s="33">
        <v>3398608.9543464258</v>
      </c>
      <c r="Q386" s="33">
        <v>64546254.007882841</v>
      </c>
      <c r="R386" s="146">
        <v>-61147645.053536415</v>
      </c>
      <c r="S386" s="31">
        <v>133857.43081403553</v>
      </c>
      <c r="T386" s="31">
        <v>16551.295153188014</v>
      </c>
      <c r="U386" s="142">
        <v>117306.13566084752</v>
      </c>
      <c r="AE386" s="137">
        <f t="shared" si="29"/>
        <v>2.4001767873426179</v>
      </c>
      <c r="AF386" s="131">
        <f t="shared" ca="1" si="25"/>
        <v>-65497514.640815087</v>
      </c>
      <c r="AG386" s="131">
        <f t="shared" ca="1" si="26"/>
        <v>17617603.391093355</v>
      </c>
      <c r="AI386" s="131">
        <f t="shared" si="27"/>
        <v>-61147645.053536415</v>
      </c>
      <c r="AJ386" s="31">
        <f t="shared" si="28"/>
        <v>117306.13566084752</v>
      </c>
    </row>
    <row r="387" spans="15:36">
      <c r="O387" s="15">
        <v>384</v>
      </c>
      <c r="P387" s="33">
        <v>3438493.5959598524</v>
      </c>
      <c r="Q387" s="33">
        <v>87003559.077493325</v>
      </c>
      <c r="R387" s="146">
        <v>-83565065.481533468</v>
      </c>
      <c r="S387" s="31">
        <v>98262.275149667767</v>
      </c>
      <c r="T387" s="31">
        <v>3455.0196980744104</v>
      </c>
      <c r="U387" s="142">
        <v>94807.255451593359</v>
      </c>
      <c r="AE387" s="137">
        <f t="shared" si="29"/>
        <v>2.4064599726497975</v>
      </c>
      <c r="AF387" s="131">
        <f t="shared" ca="1" si="25"/>
        <v>-65396583.25320068</v>
      </c>
      <c r="AG387" s="131">
        <f t="shared" ca="1" si="26"/>
        <v>17719020.932580549</v>
      </c>
      <c r="AI387" s="131">
        <f t="shared" si="27"/>
        <v>-83565065.481533468</v>
      </c>
      <c r="AJ387" s="31">
        <f t="shared" si="28"/>
        <v>94807.255451593359</v>
      </c>
    </row>
    <row r="388" spans="15:36">
      <c r="O388" s="15">
        <v>385</v>
      </c>
      <c r="P388" s="33">
        <v>3361893.5501720044</v>
      </c>
      <c r="Q388" s="33">
        <v>80898920.453335091</v>
      </c>
      <c r="R388" s="146">
        <v>-77537026.90316309</v>
      </c>
      <c r="S388" s="31">
        <v>110003.34620513787</v>
      </c>
      <c r="T388" s="31">
        <v>10111.059375518513</v>
      </c>
      <c r="U388" s="142">
        <v>99892.286829619363</v>
      </c>
      <c r="AE388" s="137">
        <f t="shared" si="29"/>
        <v>2.4127431579569771</v>
      </c>
      <c r="AF388" s="131">
        <f t="shared" ca="1" si="25"/>
        <v>-65296350.826758645</v>
      </c>
      <c r="AG388" s="131">
        <f t="shared" ca="1" si="26"/>
        <v>17819742.282748289</v>
      </c>
      <c r="AI388" s="131">
        <f t="shared" si="27"/>
        <v>-77537026.90316309</v>
      </c>
      <c r="AJ388" s="31">
        <f t="shared" si="28"/>
        <v>99892.286829619363</v>
      </c>
    </row>
    <row r="389" spans="15:36">
      <c r="O389" s="15">
        <v>386</v>
      </c>
      <c r="P389" s="33">
        <v>3447770.8599385768</v>
      </c>
      <c r="Q389" s="33">
        <v>95096001.703600407</v>
      </c>
      <c r="R389" s="146">
        <v>-91648230.84366183</v>
      </c>
      <c r="S389" s="31">
        <v>79513.947533623083</v>
      </c>
      <c r="T389" s="31">
        <v>5423.9561025645535</v>
      </c>
      <c r="U389" s="142">
        <v>74089.99143105853</v>
      </c>
      <c r="AE389" s="137">
        <f t="shared" si="29"/>
        <v>2.4190263432641568</v>
      </c>
      <c r="AF389" s="131">
        <f t="shared" ref="AF389:AF452" ca="1" si="30">(AB$25*AC$19*COS(AE389)+AC$25*AC$20*SIN(AE389))+X$9</f>
        <v>-65196821.31849356</v>
      </c>
      <c r="AG389" s="131">
        <f t="shared" ref="AG389:AG452" ca="1" si="31">(AC$26*AC$19*COS(AE389)+AC$26*AC$20*SIN(AE389))+Y$9</f>
        <v>17919763.465290144</v>
      </c>
      <c r="AI389" s="131">
        <f t="shared" ref="AI389:AI452" si="32">R389</f>
        <v>-91648230.84366183</v>
      </c>
      <c r="AJ389" s="31">
        <f t="shared" ref="AJ389:AJ452" si="33">U389</f>
        <v>74089.99143105853</v>
      </c>
    </row>
    <row r="390" spans="15:36">
      <c r="O390" s="15">
        <v>387</v>
      </c>
      <c r="P390" s="33">
        <v>3397011.8767223046</v>
      </c>
      <c r="Q390" s="33">
        <v>82105745.303485364</v>
      </c>
      <c r="R390" s="146">
        <v>-78708733.426763058</v>
      </c>
      <c r="S390" s="31">
        <v>99424.550254545597</v>
      </c>
      <c r="T390" s="31">
        <v>5135.6154780198858</v>
      </c>
      <c r="U390" s="142">
        <v>94288.934776525712</v>
      </c>
      <c r="AE390" s="137">
        <f t="shared" si="29"/>
        <v>2.4253095285713364</v>
      </c>
      <c r="AF390" s="131">
        <f t="shared" ca="1" si="30"/>
        <v>-65097998.657659978</v>
      </c>
      <c r="AG390" s="131">
        <f t="shared" ca="1" si="31"/>
        <v>18019080.531541079</v>
      </c>
      <c r="AI390" s="131">
        <f t="shared" si="32"/>
        <v>-78708733.426763058</v>
      </c>
      <c r="AJ390" s="31">
        <f t="shared" si="33"/>
        <v>94288.934776525712</v>
      </c>
    </row>
    <row r="391" spans="15:36">
      <c r="O391" s="15">
        <v>388</v>
      </c>
      <c r="P391" s="33">
        <v>3700035.0198869752</v>
      </c>
      <c r="Q391" s="33">
        <v>78782872.767046288</v>
      </c>
      <c r="R391" s="146">
        <v>-75082837.747159317</v>
      </c>
      <c r="S391" s="31">
        <v>145940.11014937755</v>
      </c>
      <c r="T391" s="31">
        <v>12180.884515101856</v>
      </c>
      <c r="U391" s="142">
        <v>133759.2256342757</v>
      </c>
      <c r="AE391" s="137">
        <f t="shared" ref="AE391:AE454" si="34">AE390+AE$5</f>
        <v>2.4315927138785161</v>
      </c>
      <c r="AF391" s="131">
        <f t="shared" ca="1" si="30"/>
        <v>-64999886.745607354</v>
      </c>
      <c r="AG391" s="131">
        <f t="shared" ca="1" si="31"/>
        <v>18117689.560633376</v>
      </c>
      <c r="AI391" s="131">
        <f t="shared" si="32"/>
        <v>-75082837.747159317</v>
      </c>
      <c r="AJ391" s="31">
        <f t="shared" si="33"/>
        <v>133759.2256342757</v>
      </c>
    </row>
    <row r="392" spans="15:36">
      <c r="O392" s="15">
        <v>389</v>
      </c>
      <c r="P392" s="33">
        <v>3432523.8001736333</v>
      </c>
      <c r="Q392" s="33">
        <v>70374009.550011441</v>
      </c>
      <c r="R392" s="146">
        <v>-66941485.749837808</v>
      </c>
      <c r="S392" s="31">
        <v>39311.820168019258</v>
      </c>
      <c r="T392" s="31">
        <v>12924.291047424358</v>
      </c>
      <c r="U392" s="142">
        <v>26387.5291205949</v>
      </c>
      <c r="AE392" s="137">
        <f t="shared" si="34"/>
        <v>2.4378758991856957</v>
      </c>
      <c r="AF392" s="131">
        <f t="shared" ca="1" si="30"/>
        <v>-64902489.455625966</v>
      </c>
      <c r="AG392" s="131">
        <f t="shared" ca="1" si="31"/>
        <v>18215586.659651428</v>
      </c>
      <c r="AI392" s="131">
        <f t="shared" si="32"/>
        <v>-66941485.749837808</v>
      </c>
      <c r="AJ392" s="31">
        <f t="shared" si="33"/>
        <v>26387.5291205949</v>
      </c>
    </row>
    <row r="393" spans="15:36">
      <c r="O393" s="15">
        <v>390</v>
      </c>
      <c r="P393" s="33">
        <v>4295274.2691253517</v>
      </c>
      <c r="Q393" s="33">
        <v>81879976.063556537</v>
      </c>
      <c r="R393" s="146">
        <v>-77584701.79443118</v>
      </c>
      <c r="S393" s="31">
        <v>93926.297690759879</v>
      </c>
      <c r="T393" s="31">
        <v>5465.1276564229374</v>
      </c>
      <c r="U393" s="142">
        <v>88461.170034336945</v>
      </c>
      <c r="AE393" s="137">
        <f t="shared" si="34"/>
        <v>2.4441590844928753</v>
      </c>
      <c r="AF393" s="131">
        <f t="shared" ca="1" si="30"/>
        <v>-64805810.632794052</v>
      </c>
      <c r="AG393" s="131">
        <f t="shared" ca="1" si="31"/>
        <v>18312767.963785376</v>
      </c>
      <c r="AI393" s="131">
        <f t="shared" si="32"/>
        <v>-77584701.79443118</v>
      </c>
      <c r="AJ393" s="31">
        <f t="shared" si="33"/>
        <v>88461.170034336945</v>
      </c>
    </row>
    <row r="394" spans="15:36">
      <c r="O394" s="15">
        <v>391</v>
      </c>
      <c r="P394" s="33">
        <v>3526989.4362095641</v>
      </c>
      <c r="Q394" s="33">
        <v>81990248.043895394</v>
      </c>
      <c r="R394" s="146">
        <v>-78463258.607685834</v>
      </c>
      <c r="S394" s="31">
        <v>103932.81635158396</v>
      </c>
      <c r="T394" s="31">
        <v>4960.3962366281057</v>
      </c>
      <c r="U394" s="142">
        <v>98972.42011495585</v>
      </c>
      <c r="AE394" s="137">
        <f t="shared" si="34"/>
        <v>2.450442269800055</v>
      </c>
      <c r="AF394" s="131">
        <f t="shared" ca="1" si="30"/>
        <v>-64709854.093826011</v>
      </c>
      <c r="AG394" s="131">
        <f t="shared" ca="1" si="31"/>
        <v>18409229.63648374</v>
      </c>
      <c r="AI394" s="131">
        <f t="shared" si="32"/>
        <v>-78463258.607685834</v>
      </c>
      <c r="AJ394" s="31">
        <f t="shared" si="33"/>
        <v>98972.42011495585</v>
      </c>
    </row>
    <row r="395" spans="15:36">
      <c r="O395" s="15">
        <v>392</v>
      </c>
      <c r="P395" s="33">
        <v>3364851.1059780694</v>
      </c>
      <c r="Q395" s="33">
        <v>83396360.954260409</v>
      </c>
      <c r="R395" s="146">
        <v>-80031509.848282337</v>
      </c>
      <c r="S395" s="31">
        <v>135954.49496862752</v>
      </c>
      <c r="T395" s="31">
        <v>15584.641701005829</v>
      </c>
      <c r="U395" s="142">
        <v>120369.85326762169</v>
      </c>
      <c r="AE395" s="137">
        <f t="shared" si="34"/>
        <v>2.4567254551072346</v>
      </c>
      <c r="AF395" s="131">
        <f t="shared" ca="1" si="30"/>
        <v>-64614623.626921684</v>
      </c>
      <c r="AG395" s="131">
        <f t="shared" ca="1" si="31"/>
        <v>18504967.869604848</v>
      </c>
      <c r="AI395" s="131">
        <f t="shared" si="32"/>
        <v>-80031509.848282337</v>
      </c>
      <c r="AJ395" s="31">
        <f t="shared" si="33"/>
        <v>120369.85326762169</v>
      </c>
    </row>
    <row r="396" spans="15:36">
      <c r="O396" s="15">
        <v>393</v>
      </c>
      <c r="P396" s="33">
        <v>3802861.6863993537</v>
      </c>
      <c r="Q396" s="33">
        <v>77647452.89518775</v>
      </c>
      <c r="R396" s="146">
        <v>-73844591.208788395</v>
      </c>
      <c r="S396" s="31">
        <v>152692.0792521454</v>
      </c>
      <c r="T396" s="31">
        <v>10355.917359539826</v>
      </c>
      <c r="U396" s="142">
        <v>142336.16189260557</v>
      </c>
      <c r="AE396" s="137">
        <f t="shared" si="34"/>
        <v>2.4630086404144143</v>
      </c>
      <c r="AF396" s="131">
        <f t="shared" ca="1" si="30"/>
        <v>-64520122.991616853</v>
      </c>
      <c r="AG396" s="131">
        <f t="shared" ca="1" si="31"/>
        <v>18599978.883567195</v>
      </c>
      <c r="AI396" s="131">
        <f t="shared" si="32"/>
        <v>-73844591.208788395</v>
      </c>
      <c r="AJ396" s="31">
        <f t="shared" si="33"/>
        <v>142336.16189260557</v>
      </c>
    </row>
    <row r="397" spans="15:36">
      <c r="O397" s="15">
        <v>394</v>
      </c>
      <c r="P397" s="33">
        <v>3163764.9427293036</v>
      </c>
      <c r="Q397" s="33">
        <v>78779840.607980177</v>
      </c>
      <c r="R397" s="146">
        <v>-75616075.665250868</v>
      </c>
      <c r="S397" s="31">
        <v>76999.184823337564</v>
      </c>
      <c r="T397" s="31">
        <v>7385.4189300220914</v>
      </c>
      <c r="U397" s="142">
        <v>69613.765893315474</v>
      </c>
      <c r="AE397" s="137">
        <f t="shared" si="34"/>
        <v>2.4692918257215939</v>
      </c>
      <c r="AF397" s="131">
        <f t="shared" ca="1" si="30"/>
        <v>-64426355.91863478</v>
      </c>
      <c r="AG397" s="131">
        <f t="shared" ca="1" si="31"/>
        <v>18694258.927498624</v>
      </c>
      <c r="AI397" s="131">
        <f t="shared" si="32"/>
        <v>-75616075.665250868</v>
      </c>
      <c r="AJ397" s="31">
        <f t="shared" si="33"/>
        <v>69613.765893315474</v>
      </c>
    </row>
    <row r="398" spans="15:36">
      <c r="O398" s="15">
        <v>395</v>
      </c>
      <c r="P398" s="33">
        <v>3256928.573956483</v>
      </c>
      <c r="Q398" s="33">
        <v>74213281.25240317</v>
      </c>
      <c r="R398" s="146">
        <v>-70956352.67844668</v>
      </c>
      <c r="S398" s="31">
        <v>92848.808731087978</v>
      </c>
      <c r="T398" s="31">
        <v>8981.8918906708586</v>
      </c>
      <c r="U398" s="142">
        <v>83866.916840417121</v>
      </c>
      <c r="AE398" s="137">
        <f t="shared" si="34"/>
        <v>2.4755750110287735</v>
      </c>
      <c r="AF398" s="131">
        <f t="shared" ca="1" si="30"/>
        <v>-64333326.109738961</v>
      </c>
      <c r="AG398" s="131">
        <f t="shared" ca="1" si="31"/>
        <v>18787804.279384438</v>
      </c>
      <c r="AI398" s="131">
        <f t="shared" si="32"/>
        <v>-70956352.67844668</v>
      </c>
      <c r="AJ398" s="31">
        <f t="shared" si="33"/>
        <v>83866.916840417121</v>
      </c>
    </row>
    <row r="399" spans="15:36">
      <c r="O399" s="15">
        <v>396</v>
      </c>
      <c r="P399" s="33">
        <v>3599084.6141872969</v>
      </c>
      <c r="Q399" s="33">
        <v>92961060.530471072</v>
      </c>
      <c r="R399" s="146">
        <v>-89361975.916283771</v>
      </c>
      <c r="S399" s="31">
        <v>45496.099937196188</v>
      </c>
      <c r="T399" s="31">
        <v>6331.9778481713856</v>
      </c>
      <c r="U399" s="142">
        <v>39164.122089024801</v>
      </c>
      <c r="AE399" s="137">
        <f t="shared" si="34"/>
        <v>2.4818581963359532</v>
      </c>
      <c r="AF399" s="131">
        <f t="shared" ca="1" si="30"/>
        <v>-64241037.237586945</v>
      </c>
      <c r="AG399" s="131">
        <f t="shared" ca="1" si="31"/>
        <v>18880611.246214323</v>
      </c>
      <c r="AI399" s="131">
        <f t="shared" si="32"/>
        <v>-89361975.916283771</v>
      </c>
      <c r="AJ399" s="31">
        <f t="shared" si="33"/>
        <v>39164.122089024801</v>
      </c>
    </row>
    <row r="400" spans="15:36">
      <c r="O400" s="15">
        <v>397</v>
      </c>
      <c r="P400" s="33">
        <v>2820648.2148439838</v>
      </c>
      <c r="Q400" s="33">
        <v>107151092.89555635</v>
      </c>
      <c r="R400" s="146">
        <v>-104330444.68071236</v>
      </c>
      <c r="S400" s="31">
        <v>57484.583699402421</v>
      </c>
      <c r="T400" s="31">
        <v>8119.6876379688529</v>
      </c>
      <c r="U400" s="142">
        <v>49364.896061433567</v>
      </c>
      <c r="AE400" s="137">
        <f t="shared" si="34"/>
        <v>2.4881413816431328</v>
      </c>
      <c r="AF400" s="131">
        <f t="shared" ca="1" si="30"/>
        <v>-64149492.945585392</v>
      </c>
      <c r="AG400" s="131">
        <f t="shared" ca="1" si="31"/>
        <v>18972676.164128136</v>
      </c>
      <c r="AI400" s="131">
        <f t="shared" si="32"/>
        <v>-104330444.68071236</v>
      </c>
      <c r="AJ400" s="31">
        <f t="shared" si="33"/>
        <v>49364.896061433567</v>
      </c>
    </row>
    <row r="401" spans="15:36">
      <c r="O401" s="15">
        <v>398</v>
      </c>
      <c r="P401" s="33">
        <v>3780456.659362508</v>
      </c>
      <c r="Q401" s="33">
        <v>68087731.374330506</v>
      </c>
      <c r="R401" s="146">
        <v>-64307274.714967996</v>
      </c>
      <c r="S401" s="31">
        <v>125914.49417913203</v>
      </c>
      <c r="T401" s="31">
        <v>11812.206810360829</v>
      </c>
      <c r="U401" s="142">
        <v>114102.2873687712</v>
      </c>
      <c r="AE401" s="137">
        <f t="shared" si="34"/>
        <v>2.4944245669503124</v>
      </c>
      <c r="AF401" s="131">
        <f t="shared" ca="1" si="30"/>
        <v>-64058696.847746193</v>
      </c>
      <c r="AG401" s="131">
        <f t="shared" ca="1" si="31"/>
        <v>19063995.398560558</v>
      </c>
      <c r="AI401" s="131">
        <f t="shared" si="32"/>
        <v>-64307274.714967996</v>
      </c>
      <c r="AJ401" s="31">
        <f t="shared" si="33"/>
        <v>114102.2873687712</v>
      </c>
    </row>
    <row r="402" spans="15:36">
      <c r="O402" s="15">
        <v>399</v>
      </c>
      <c r="P402" s="33">
        <v>3277206.4302198952</v>
      </c>
      <c r="Q402" s="33">
        <v>77785769.099015594</v>
      </c>
      <c r="R402" s="146">
        <v>-74508562.668795705</v>
      </c>
      <c r="S402" s="31">
        <v>54850.265488058219</v>
      </c>
      <c r="T402" s="31">
        <v>10013.700090693335</v>
      </c>
      <c r="U402" s="142">
        <v>44836.565397364888</v>
      </c>
      <c r="AE402" s="137">
        <f t="shared" si="34"/>
        <v>2.5007077522574921</v>
      </c>
      <c r="AF402" s="131">
        <f t="shared" ca="1" si="30"/>
        <v>-63968652.528543845</v>
      </c>
      <c r="AG402" s="131">
        <f t="shared" ca="1" si="31"/>
        <v>19154565.344384577</v>
      </c>
      <c r="AI402" s="131">
        <f t="shared" si="32"/>
        <v>-74508562.668795705</v>
      </c>
      <c r="AJ402" s="31">
        <f t="shared" si="33"/>
        <v>44836.565397364888</v>
      </c>
    </row>
    <row r="403" spans="15:36">
      <c r="O403" s="15">
        <v>400</v>
      </c>
      <c r="P403" s="33">
        <v>3262239.8143416769</v>
      </c>
      <c r="Q403" s="33">
        <v>88536719.133563086</v>
      </c>
      <c r="R403" s="146">
        <v>-85274479.319221407</v>
      </c>
      <c r="S403" s="31">
        <v>95352.152185549945</v>
      </c>
      <c r="T403" s="31">
        <v>5460.7360188123366</v>
      </c>
      <c r="U403" s="142">
        <v>89891.416166737603</v>
      </c>
      <c r="AE403" s="137">
        <f t="shared" si="34"/>
        <v>2.5069909375646717</v>
      </c>
      <c r="AF403" s="131">
        <f t="shared" ca="1" si="30"/>
        <v>-63879363.542773858</v>
      </c>
      <c r="AG403" s="131">
        <f t="shared" ca="1" si="31"/>
        <v>19244382.426053818</v>
      </c>
      <c r="AI403" s="131">
        <f t="shared" si="32"/>
        <v>-85274479.319221407</v>
      </c>
      <c r="AJ403" s="31">
        <f t="shared" si="33"/>
        <v>89891.416166737603</v>
      </c>
    </row>
    <row r="404" spans="15:36">
      <c r="O404" s="15">
        <v>401</v>
      </c>
      <c r="P404" s="33">
        <v>2925206.7220687997</v>
      </c>
      <c r="Q404" s="33">
        <v>93535457.465150058</v>
      </c>
      <c r="R404" s="146">
        <v>-90610250.743081257</v>
      </c>
      <c r="S404" s="31">
        <v>98344.168781437213</v>
      </c>
      <c r="T404" s="31">
        <v>26921.009800709209</v>
      </c>
      <c r="U404" s="142">
        <v>71423.158980728011</v>
      </c>
      <c r="AE404" s="137">
        <f t="shared" si="34"/>
        <v>2.5132741228718514</v>
      </c>
      <c r="AF404" s="131">
        <f t="shared" ca="1" si="30"/>
        <v>-63790833.415412515</v>
      </c>
      <c r="AG404" s="131">
        <f t="shared" ca="1" si="31"/>
        <v>19333443.097743679</v>
      </c>
      <c r="AI404" s="131">
        <f t="shared" si="32"/>
        <v>-90610250.743081257</v>
      </c>
      <c r="AJ404" s="31">
        <f t="shared" si="33"/>
        <v>71423.158980728011</v>
      </c>
    </row>
    <row r="405" spans="15:36">
      <c r="O405" s="15">
        <v>402</v>
      </c>
      <c r="P405" s="33">
        <v>2854656.2224664087</v>
      </c>
      <c r="Q405" s="33">
        <v>76699038.746608049</v>
      </c>
      <c r="R405" s="146">
        <v>-73844382.524141639</v>
      </c>
      <c r="S405" s="31">
        <v>90641.505537748948</v>
      </c>
      <c r="T405" s="31">
        <v>17682.345478320141</v>
      </c>
      <c r="U405" s="142">
        <v>72959.160059428803</v>
      </c>
      <c r="AE405" s="137">
        <f t="shared" si="34"/>
        <v>2.519557308179031</v>
      </c>
      <c r="AF405" s="131">
        <f t="shared" ca="1" si="30"/>
        <v>-63703065.641477667</v>
      </c>
      <c r="AG405" s="131">
        <f t="shared" ca="1" si="31"/>
        <v>19421743.843491346</v>
      </c>
      <c r="AI405" s="131">
        <f t="shared" si="32"/>
        <v>-73844382.524141639</v>
      </c>
      <c r="AJ405" s="31">
        <f t="shared" si="33"/>
        <v>72959.160059428803</v>
      </c>
    </row>
    <row r="406" spans="15:36">
      <c r="O406" s="15">
        <v>403</v>
      </c>
      <c r="P406" s="33">
        <v>3283735.8897187323</v>
      </c>
      <c r="Q406" s="33">
        <v>90808244.701765239</v>
      </c>
      <c r="R406" s="146">
        <v>-87524508.812046513</v>
      </c>
      <c r="S406" s="31">
        <v>104552.92827242165</v>
      </c>
      <c r="T406" s="31">
        <v>18796.877876640727</v>
      </c>
      <c r="U406" s="142">
        <v>85756.050395780912</v>
      </c>
      <c r="AE406" s="137">
        <f t="shared" si="34"/>
        <v>2.5258404934862106</v>
      </c>
      <c r="AF406" s="131">
        <f t="shared" ca="1" si="30"/>
        <v>-63616063.685890734</v>
      </c>
      <c r="AG406" s="131">
        <f t="shared" ca="1" si="31"/>
        <v>19509281.177334569</v>
      </c>
      <c r="AI406" s="131">
        <f t="shared" si="32"/>
        <v>-87524508.812046513</v>
      </c>
      <c r="AJ406" s="31">
        <f t="shared" si="33"/>
        <v>85756.050395780912</v>
      </c>
    </row>
    <row r="407" spans="15:36">
      <c r="O407" s="15">
        <v>404</v>
      </c>
      <c r="P407" s="33">
        <v>2639043.992504376</v>
      </c>
      <c r="Q407" s="33">
        <v>65140977.131233558</v>
      </c>
      <c r="R407" s="146">
        <v>-62501933.138729185</v>
      </c>
      <c r="S407" s="31">
        <v>147938.57265452779</v>
      </c>
      <c r="T407" s="31">
        <v>6798.0147266591021</v>
      </c>
      <c r="U407" s="142">
        <v>141140.55792786868</v>
      </c>
      <c r="AE407" s="137">
        <f t="shared" si="34"/>
        <v>2.5321236787933903</v>
      </c>
      <c r="AF407" s="131">
        <f t="shared" ca="1" si="30"/>
        <v>-63529830.983339958</v>
      </c>
      <c r="AG407" s="131">
        <f t="shared" ca="1" si="31"/>
        <v>19596051.643449295</v>
      </c>
      <c r="AI407" s="131">
        <f t="shared" si="32"/>
        <v>-62501933.138729185</v>
      </c>
      <c r="AJ407" s="31">
        <f t="shared" si="33"/>
        <v>141140.55792786868</v>
      </c>
    </row>
    <row r="408" spans="15:36">
      <c r="O408" s="15">
        <v>405</v>
      </c>
      <c r="P408" s="33">
        <v>3790109.6912740162</v>
      </c>
      <c r="Q408" s="33">
        <v>90609979.097576857</v>
      </c>
      <c r="R408" s="146">
        <v>-86819869.40630284</v>
      </c>
      <c r="S408" s="31">
        <v>122380.12675795794</v>
      </c>
      <c r="T408" s="31">
        <v>25061.78339503023</v>
      </c>
      <c r="U408" s="142">
        <v>97318.343362927713</v>
      </c>
      <c r="AE408" s="137">
        <f t="shared" si="34"/>
        <v>2.5384068641005699</v>
      </c>
      <c r="AF408" s="131">
        <f t="shared" ca="1" si="30"/>
        <v>-63444370.938144781</v>
      </c>
      <c r="AG408" s="131">
        <f t="shared" ca="1" si="31"/>
        <v>19682051.816286098</v>
      </c>
      <c r="AI408" s="131">
        <f t="shared" si="32"/>
        <v>-86819869.40630284</v>
      </c>
      <c r="AJ408" s="31">
        <f t="shared" si="33"/>
        <v>97318.343362927713</v>
      </c>
    </row>
    <row r="409" spans="15:36">
      <c r="O409" s="15">
        <v>406</v>
      </c>
      <c r="P409" s="33">
        <v>2785298.6699773269</v>
      </c>
      <c r="Q409" s="33">
        <v>84640163.435508549</v>
      </c>
      <c r="R409" s="146">
        <v>-81854864.765531227</v>
      </c>
      <c r="S409" s="31">
        <v>109358.28907237021</v>
      </c>
      <c r="T409" s="31">
        <v>8269.7379689980662</v>
      </c>
      <c r="U409" s="142">
        <v>101088.55110337216</v>
      </c>
      <c r="AE409" s="137">
        <f t="shared" si="34"/>
        <v>2.5446900494077496</v>
      </c>
      <c r="AF409" s="131">
        <f t="shared" ca="1" si="30"/>
        <v>-63359686.924121454</v>
      </c>
      <c r="AG409" s="131">
        <f t="shared" ca="1" si="31"/>
        <v>19767278.300705403</v>
      </c>
      <c r="AI409" s="131">
        <f t="shared" si="32"/>
        <v>-81854864.765531227</v>
      </c>
      <c r="AJ409" s="31">
        <f t="shared" si="33"/>
        <v>101088.55110337216</v>
      </c>
    </row>
    <row r="410" spans="15:36">
      <c r="O410" s="15">
        <v>407</v>
      </c>
      <c r="P410" s="33">
        <v>3897797.0839710017</v>
      </c>
      <c r="Q410" s="33">
        <v>80400080.942488715</v>
      </c>
      <c r="R410" s="146">
        <v>-76502283.858517706</v>
      </c>
      <c r="S410" s="31">
        <v>74518.482515983618</v>
      </c>
      <c r="T410" s="31">
        <v>6106.3162323665692</v>
      </c>
      <c r="U410" s="142">
        <v>68412.166283617044</v>
      </c>
      <c r="AE410" s="137">
        <f t="shared" si="34"/>
        <v>2.5509732347149292</v>
      </c>
      <c r="AF410" s="131">
        <f t="shared" ca="1" si="30"/>
        <v>-63275782.284449846</v>
      </c>
      <c r="AG410" s="131">
        <f t="shared" ca="1" si="31"/>
        <v>19851727.732111547</v>
      </c>
      <c r="AI410" s="131">
        <f t="shared" si="32"/>
        <v>-76502283.858517706</v>
      </c>
      <c r="AJ410" s="31">
        <f t="shared" si="33"/>
        <v>68412.166283617044</v>
      </c>
    </row>
    <row r="411" spans="15:36">
      <c r="O411" s="15">
        <v>408</v>
      </c>
      <c r="P411" s="33">
        <v>3122221.2927145557</v>
      </c>
      <c r="Q411" s="33">
        <v>100542026.59721681</v>
      </c>
      <c r="R411" s="146">
        <v>-97419805.304502264</v>
      </c>
      <c r="S411" s="31">
        <v>72377.655198632405</v>
      </c>
      <c r="T411" s="31">
        <v>14097.4951386182</v>
      </c>
      <c r="U411" s="142">
        <v>58280.160060014205</v>
      </c>
      <c r="AE411" s="137">
        <f t="shared" si="34"/>
        <v>2.5572564200221088</v>
      </c>
      <c r="AF411" s="131">
        <f t="shared" ca="1" si="30"/>
        <v>-63192660.331541471</v>
      </c>
      <c r="AG411" s="131">
        <f t="shared" ca="1" si="31"/>
        <v>19935396.776585579</v>
      </c>
      <c r="AI411" s="131">
        <f t="shared" si="32"/>
        <v>-97419805.304502264</v>
      </c>
      <c r="AJ411" s="31">
        <f t="shared" si="33"/>
        <v>58280.160060014205</v>
      </c>
    </row>
    <row r="412" spans="15:36">
      <c r="O412" s="15">
        <v>409</v>
      </c>
      <c r="P412" s="33">
        <v>3370322.8833367266</v>
      </c>
      <c r="Q412" s="33">
        <v>78096500.483435944</v>
      </c>
      <c r="R412" s="146">
        <v>-74726177.600099221</v>
      </c>
      <c r="S412" s="31">
        <v>257318.30366088884</v>
      </c>
      <c r="T412" s="31">
        <v>17481.609185673449</v>
      </c>
      <c r="U412" s="142">
        <v>239836.69447521539</v>
      </c>
      <c r="AE412" s="137">
        <f t="shared" si="34"/>
        <v>2.5635396053292885</v>
      </c>
      <c r="AF412" s="131">
        <f t="shared" ca="1" si="30"/>
        <v>-63110324.346908696</v>
      </c>
      <c r="AG412" s="131">
        <f t="shared" ca="1" si="31"/>
        <v>20018282.131016877</v>
      </c>
      <c r="AI412" s="131">
        <f t="shared" si="32"/>
        <v>-74726177.600099221</v>
      </c>
      <c r="AJ412" s="31">
        <f t="shared" si="33"/>
        <v>239836.69447521539</v>
      </c>
    </row>
    <row r="413" spans="15:36">
      <c r="O413" s="15">
        <v>410</v>
      </c>
      <c r="P413" s="33">
        <v>3354143.2965573892</v>
      </c>
      <c r="Q413" s="33">
        <v>104353990.96266221</v>
      </c>
      <c r="R413" s="146">
        <v>-100999847.66610482</v>
      </c>
      <c r="S413" s="31">
        <v>55109.88462954243</v>
      </c>
      <c r="T413" s="31">
        <v>15927.144629768633</v>
      </c>
      <c r="U413" s="142">
        <v>39182.739999773796</v>
      </c>
      <c r="AE413" s="137">
        <f t="shared" si="34"/>
        <v>2.5698227906364681</v>
      </c>
      <c r="AF413" s="131">
        <f t="shared" ca="1" si="30"/>
        <v>-63028777.581035212</v>
      </c>
      <c r="AG413" s="131">
        <f t="shared" ca="1" si="31"/>
        <v>20100380.523233578</v>
      </c>
      <c r="AI413" s="131">
        <f t="shared" si="32"/>
        <v>-100999847.66610482</v>
      </c>
      <c r="AJ413" s="31">
        <f t="shared" si="33"/>
        <v>39182.739999773796</v>
      </c>
    </row>
    <row r="414" spans="15:36">
      <c r="O414" s="15">
        <v>411</v>
      </c>
      <c r="P414" s="33">
        <v>2912182.297253144</v>
      </c>
      <c r="Q414" s="33">
        <v>74105095.076531678</v>
      </c>
      <c r="R414" s="146">
        <v>-71192912.779278532</v>
      </c>
      <c r="S414" s="31">
        <v>79437.902925939561</v>
      </c>
      <c r="T414" s="31">
        <v>13013.917754538339</v>
      </c>
      <c r="U414" s="142">
        <v>66423.985171401218</v>
      </c>
      <c r="AE414" s="137">
        <f t="shared" si="34"/>
        <v>2.5761059759436478</v>
      </c>
      <c r="AF414" s="131">
        <f t="shared" ca="1" si="30"/>
        <v>-62948023.253247708</v>
      </c>
      <c r="AG414" s="131">
        <f t="shared" ca="1" si="31"/>
        <v>20181688.712131731</v>
      </c>
      <c r="AI414" s="131">
        <f t="shared" si="32"/>
        <v>-71192912.779278532</v>
      </c>
      <c r="AJ414" s="31">
        <f t="shared" si="33"/>
        <v>66423.985171401218</v>
      </c>
    </row>
    <row r="415" spans="15:36">
      <c r="O415" s="15">
        <v>412</v>
      </c>
      <c r="P415" s="33">
        <v>3234969.7557108118</v>
      </c>
      <c r="Q415" s="33">
        <v>85018558.033526987</v>
      </c>
      <c r="R415" s="146">
        <v>-81783588.277816176</v>
      </c>
      <c r="S415" s="31">
        <v>47606.363932943153</v>
      </c>
      <c r="T415" s="31">
        <v>25558.992261280855</v>
      </c>
      <c r="U415" s="142">
        <v>22047.371671662298</v>
      </c>
      <c r="AE415" s="137">
        <f t="shared" si="34"/>
        <v>2.5823891612508274</v>
      </c>
      <c r="AF415" s="131">
        <f t="shared" ca="1" si="30"/>
        <v>-62868064.551588774</v>
      </c>
      <c r="AG415" s="131">
        <f t="shared" ca="1" si="31"/>
        <v>20262203.487803262</v>
      </c>
      <c r="AI415" s="131">
        <f t="shared" si="32"/>
        <v>-81783588.277816176</v>
      </c>
      <c r="AJ415" s="31">
        <f t="shared" si="33"/>
        <v>22047.371671662298</v>
      </c>
    </row>
    <row r="416" spans="15:36">
      <c r="O416" s="15">
        <v>413</v>
      </c>
      <c r="P416" s="33">
        <v>3065650.1261677751</v>
      </c>
      <c r="Q416" s="33">
        <v>80544802.058507562</v>
      </c>
      <c r="R416" s="146">
        <v>-77479151.932339787</v>
      </c>
      <c r="S416" s="31">
        <v>66610.381960714731</v>
      </c>
      <c r="T416" s="31">
        <v>10812.814622045131</v>
      </c>
      <c r="U416" s="142">
        <v>55797.5673386696</v>
      </c>
      <c r="AE416" s="137">
        <f t="shared" si="34"/>
        <v>2.588672346558007</v>
      </c>
      <c r="AF416" s="131">
        <f t="shared" ca="1" si="30"/>
        <v>-62788904.632691041</v>
      </c>
      <c r="AG416" s="131">
        <f t="shared" ca="1" si="31"/>
        <v>20341921.671662685</v>
      </c>
      <c r="AI416" s="131">
        <f t="shared" si="32"/>
        <v>-77479151.932339787</v>
      </c>
      <c r="AJ416" s="31">
        <f t="shared" si="33"/>
        <v>55797.5673386696</v>
      </c>
    </row>
    <row r="417" spans="15:36">
      <c r="O417" s="15">
        <v>414</v>
      </c>
      <c r="P417" s="33">
        <v>3376293.7102890597</v>
      </c>
      <c r="Q417" s="33">
        <v>80613767.57712768</v>
      </c>
      <c r="R417" s="146">
        <v>-77237473.866838619</v>
      </c>
      <c r="S417" s="31">
        <v>131428.51620447467</v>
      </c>
      <c r="T417" s="31">
        <v>12496.056867247888</v>
      </c>
      <c r="U417" s="142">
        <v>118932.45933722678</v>
      </c>
      <c r="AE417" s="137">
        <f t="shared" si="34"/>
        <v>2.5949555318651867</v>
      </c>
      <c r="AF417" s="131">
        <f t="shared" ca="1" si="30"/>
        <v>-62710546.621652551</v>
      </c>
      <c r="AG417" s="131">
        <f t="shared" ca="1" si="31"/>
        <v>20420840.116572604</v>
      </c>
      <c r="AI417" s="131">
        <f t="shared" si="32"/>
        <v>-77237473.866838619</v>
      </c>
      <c r="AJ417" s="31">
        <f t="shared" si="33"/>
        <v>118932.45933722678</v>
      </c>
    </row>
    <row r="418" spans="15:36">
      <c r="O418" s="15">
        <v>415</v>
      </c>
      <c r="P418" s="33">
        <v>3182628.5257481155</v>
      </c>
      <c r="Q418" s="33">
        <v>95018417.904439792</v>
      </c>
      <c r="R418" s="146">
        <v>-91835789.378691673</v>
      </c>
      <c r="S418" s="31">
        <v>98547.128907546474</v>
      </c>
      <c r="T418" s="31">
        <v>10831.921256425545</v>
      </c>
      <c r="U418" s="142">
        <v>87715.207651120931</v>
      </c>
      <c r="AE418" s="137">
        <f t="shared" si="34"/>
        <v>2.6012387171723663</v>
      </c>
      <c r="AF418" s="131">
        <f t="shared" ca="1" si="30"/>
        <v>-62632993.61191342</v>
      </c>
      <c r="AG418" s="131">
        <f t="shared" ca="1" si="31"/>
        <v>20498955.706967946</v>
      </c>
      <c r="AI418" s="131">
        <f t="shared" si="32"/>
        <v>-91835789.378691673</v>
      </c>
      <c r="AJ418" s="31">
        <f t="shared" si="33"/>
        <v>87715.207651120931</v>
      </c>
    </row>
    <row r="419" spans="15:36">
      <c r="O419" s="15">
        <v>416</v>
      </c>
      <c r="P419" s="33">
        <v>3488317.8774666656</v>
      </c>
      <c r="Q419" s="33">
        <v>88255699.283353209</v>
      </c>
      <c r="R419" s="146">
        <v>-84767381.405886546</v>
      </c>
      <c r="S419" s="31">
        <v>98985.962394211412</v>
      </c>
      <c r="T419" s="31">
        <v>20379.002169898493</v>
      </c>
      <c r="U419" s="142">
        <v>78606.960224312919</v>
      </c>
      <c r="AE419" s="137">
        <f t="shared" si="34"/>
        <v>2.607521902479546</v>
      </c>
      <c r="AF419" s="131">
        <f t="shared" ca="1" si="30"/>
        <v>-62556248.665133685</v>
      </c>
      <c r="AG419" s="131">
        <f t="shared" ca="1" si="31"/>
        <v>20576265.358978953</v>
      </c>
      <c r="AI419" s="131">
        <f t="shared" si="32"/>
        <v>-84767381.405886546</v>
      </c>
      <c r="AJ419" s="31">
        <f t="shared" si="33"/>
        <v>78606.960224312919</v>
      </c>
    </row>
    <row r="420" spans="15:36">
      <c r="O420" s="15">
        <v>417</v>
      </c>
      <c r="P420" s="33">
        <v>3604872.7810220993</v>
      </c>
      <c r="Q420" s="33">
        <v>82788783.942259893</v>
      </c>
      <c r="R420" s="146">
        <v>-79183911.161237791</v>
      </c>
      <c r="S420" s="31">
        <v>111265.43015881951</v>
      </c>
      <c r="T420" s="31">
        <v>14223.596990992382</v>
      </c>
      <c r="U420" s="142">
        <v>97041.833167827121</v>
      </c>
      <c r="AE420" s="137">
        <f t="shared" si="34"/>
        <v>2.6138050877867256</v>
      </c>
      <c r="AF420" s="131">
        <f t="shared" ca="1" si="30"/>
        <v>-62480314.811072424</v>
      </c>
      <c r="AG420" s="131">
        <f t="shared" ca="1" si="31"/>
        <v>20652766.020552944</v>
      </c>
      <c r="AI420" s="131">
        <f t="shared" si="32"/>
        <v>-79183911.161237791</v>
      </c>
      <c r="AJ420" s="31">
        <f t="shared" si="33"/>
        <v>97041.833167827121</v>
      </c>
    </row>
    <row r="421" spans="15:36">
      <c r="O421" s="15">
        <v>418</v>
      </c>
      <c r="P421" s="33">
        <v>3843782.4984598076</v>
      </c>
      <c r="Q421" s="33">
        <v>81751522.632405445</v>
      </c>
      <c r="R421" s="146">
        <v>-77907740.133945644</v>
      </c>
      <c r="S421" s="31">
        <v>125240.99282000092</v>
      </c>
      <c r="T421" s="31">
        <v>12850.209712125044</v>
      </c>
      <c r="U421" s="142">
        <v>112390.78310787588</v>
      </c>
      <c r="AE421" s="137">
        <f t="shared" si="34"/>
        <v>2.6200882730939052</v>
      </c>
      <c r="AF421" s="131">
        <f t="shared" ca="1" si="30"/>
        <v>-62405195.047468185</v>
      </c>
      <c r="AG421" s="131">
        <f t="shared" ca="1" si="31"/>
        <v>20728454.67157479</v>
      </c>
      <c r="AI421" s="131">
        <f t="shared" si="32"/>
        <v>-77907740.133945644</v>
      </c>
      <c r="AJ421" s="31">
        <f t="shared" si="33"/>
        <v>112390.78310787588</v>
      </c>
    </row>
    <row r="422" spans="15:36">
      <c r="O422" s="15">
        <v>419</v>
      </c>
      <c r="P422" s="33">
        <v>3136103.7146088956</v>
      </c>
      <c r="Q422" s="33">
        <v>95181067.893841356</v>
      </c>
      <c r="R422" s="146">
        <v>-92044964.179232463</v>
      </c>
      <c r="S422" s="31">
        <v>37754.161522470087</v>
      </c>
      <c r="T422" s="31">
        <v>15694.885002885774</v>
      </c>
      <c r="U422" s="142">
        <v>22059.276519584313</v>
      </c>
      <c r="AE422" s="137">
        <f t="shared" si="34"/>
        <v>2.6263714584010849</v>
      </c>
      <c r="AF422" s="131">
        <f t="shared" ca="1" si="30"/>
        <v>-62330892.33992061</v>
      </c>
      <c r="AG422" s="131">
        <f t="shared" ca="1" si="31"/>
        <v>20803328.323986143</v>
      </c>
      <c r="AI422" s="131">
        <f t="shared" si="32"/>
        <v>-92044964.179232463</v>
      </c>
      <c r="AJ422" s="31">
        <f t="shared" si="33"/>
        <v>22059.276519584313</v>
      </c>
    </row>
    <row r="423" spans="15:36">
      <c r="O423" s="15">
        <v>420</v>
      </c>
      <c r="P423" s="33">
        <v>3074751.2065634159</v>
      </c>
      <c r="Q423" s="33">
        <v>77180576.736956671</v>
      </c>
      <c r="R423" s="146">
        <v>-74105825.530393258</v>
      </c>
      <c r="S423" s="31">
        <v>88643.204787903524</v>
      </c>
      <c r="T423" s="31">
        <v>3929.0344738207978</v>
      </c>
      <c r="U423" s="142">
        <v>84714.17031408273</v>
      </c>
      <c r="AE423" s="137">
        <f t="shared" si="34"/>
        <v>2.6326546437082645</v>
      </c>
      <c r="AF423" s="131">
        <f t="shared" ca="1" si="30"/>
        <v>-62257409.621773347</v>
      </c>
      <c r="AG423" s="131">
        <f t="shared" ca="1" si="31"/>
        <v>20877384.021903414</v>
      </c>
      <c r="AI423" s="131">
        <f t="shared" si="32"/>
        <v>-74105825.530393258</v>
      </c>
      <c r="AJ423" s="31">
        <f t="shared" si="33"/>
        <v>84714.17031408273</v>
      </c>
    </row>
    <row r="424" spans="15:36">
      <c r="O424" s="15">
        <v>421</v>
      </c>
      <c r="P424" s="33">
        <v>3302838.7299209805</v>
      </c>
      <c r="Q424" s="33">
        <v>79630730.217300028</v>
      </c>
      <c r="R424" s="146">
        <v>-76327891.487379044</v>
      </c>
      <c r="S424" s="31">
        <v>51379.64445556164</v>
      </c>
      <c r="T424" s="31">
        <v>10136.298454546657</v>
      </c>
      <c r="U424" s="142">
        <v>41243.346001014987</v>
      </c>
      <c r="AE424" s="137">
        <f t="shared" si="34"/>
        <v>2.6389378290154442</v>
      </c>
      <c r="AF424" s="131">
        <f t="shared" ca="1" si="30"/>
        <v>-62184749.793998316</v>
      </c>
      <c r="AG424" s="131">
        <f t="shared" ca="1" si="31"/>
        <v>20950618.841734458</v>
      </c>
      <c r="AI424" s="131">
        <f t="shared" si="32"/>
        <v>-76327891.487379044</v>
      </c>
      <c r="AJ424" s="31">
        <f t="shared" si="33"/>
        <v>41243.346001014987</v>
      </c>
    </row>
    <row r="425" spans="15:36">
      <c r="O425" s="15">
        <v>422</v>
      </c>
      <c r="P425" s="33">
        <v>3666251.2219387228</v>
      </c>
      <c r="Q425" s="33">
        <v>98814520.881223768</v>
      </c>
      <c r="R425" s="146">
        <v>-95148269.659285039</v>
      </c>
      <c r="S425" s="31">
        <v>107537.76023635862</v>
      </c>
      <c r="T425" s="31">
        <v>9223.1041782962202</v>
      </c>
      <c r="U425" s="142">
        <v>98314.656058062392</v>
      </c>
      <c r="AE425" s="137">
        <f t="shared" si="34"/>
        <v>2.6452210143226238</v>
      </c>
      <c r="AF425" s="131">
        <f t="shared" ca="1" si="30"/>
        <v>-62112915.725081086</v>
      </c>
      <c r="AG425" s="131">
        <f t="shared" ca="1" si="31"/>
        <v>21023029.892293975</v>
      </c>
      <c r="AI425" s="131">
        <f t="shared" si="32"/>
        <v>-95148269.659285039</v>
      </c>
      <c r="AJ425" s="31">
        <f t="shared" si="33"/>
        <v>98314.656058062392</v>
      </c>
    </row>
    <row r="426" spans="15:36">
      <c r="O426" s="15">
        <v>423</v>
      </c>
      <c r="P426" s="33">
        <v>3337298.588641196</v>
      </c>
      <c r="Q426" s="33">
        <v>86499176.315914348</v>
      </c>
      <c r="R426" s="146">
        <v>-83161877.727273151</v>
      </c>
      <c r="S426" s="31">
        <v>220903.42798070138</v>
      </c>
      <c r="T426" s="31">
        <v>4949.4389162530788</v>
      </c>
      <c r="U426" s="142">
        <v>215953.98906444831</v>
      </c>
      <c r="AE426" s="137">
        <f t="shared" si="34"/>
        <v>2.6515041996298034</v>
      </c>
      <c r="AF426" s="131">
        <f t="shared" ca="1" si="30"/>
        <v>-62041910.250907704</v>
      </c>
      <c r="AG426" s="131">
        <f t="shared" ca="1" si="31"/>
        <v>21094614.31491768</v>
      </c>
      <c r="AI426" s="131">
        <f t="shared" si="32"/>
        <v>-83161877.727273151</v>
      </c>
      <c r="AJ426" s="31">
        <f t="shared" si="33"/>
        <v>215953.98906444831</v>
      </c>
    </row>
    <row r="427" spans="15:36">
      <c r="O427" s="15">
        <v>424</v>
      </c>
      <c r="P427" s="33">
        <v>3525321.5462474348</v>
      </c>
      <c r="Q427" s="33">
        <v>107559217.6845184</v>
      </c>
      <c r="R427" s="146">
        <v>-104033896.13827096</v>
      </c>
      <c r="S427" s="31">
        <v>76425.412277160489</v>
      </c>
      <c r="T427" s="31">
        <v>25155.110342810931</v>
      </c>
      <c r="U427" s="142">
        <v>51270.301934349554</v>
      </c>
      <c r="AE427" s="137">
        <f t="shared" si="34"/>
        <v>2.6577873849369831</v>
      </c>
      <c r="AF427" s="131">
        <f t="shared" ca="1" si="30"/>
        <v>-61971736.174652711</v>
      </c>
      <c r="AG427" s="131">
        <f t="shared" ca="1" si="31"/>
        <v>21165369.283575144</v>
      </c>
      <c r="AI427" s="131">
        <f t="shared" si="32"/>
        <v>-104033896.13827096</v>
      </c>
      <c r="AJ427" s="31">
        <f t="shared" si="33"/>
        <v>51270.301934349554</v>
      </c>
    </row>
    <row r="428" spans="15:36">
      <c r="O428" s="15">
        <v>425</v>
      </c>
      <c r="P428" s="33">
        <v>2924949.1133892522</v>
      </c>
      <c r="Q428" s="33">
        <v>85797472.235461131</v>
      </c>
      <c r="R428" s="146">
        <v>-82872523.122071877</v>
      </c>
      <c r="S428" s="31">
        <v>177518.7503812692</v>
      </c>
      <c r="T428" s="31">
        <v>4911.3000997373802</v>
      </c>
      <c r="U428" s="142">
        <v>172607.45028153181</v>
      </c>
      <c r="AE428" s="137">
        <f t="shared" si="34"/>
        <v>2.6640705702441627</v>
      </c>
      <c r="AF428" s="131">
        <f t="shared" ca="1" si="30"/>
        <v>-61902396.266668469</v>
      </c>
      <c r="AG428" s="131">
        <f t="shared" ca="1" si="31"/>
        <v>21235292.004981358</v>
      </c>
      <c r="AI428" s="131">
        <f t="shared" si="32"/>
        <v>-82872523.122071877</v>
      </c>
      <c r="AJ428" s="31">
        <f t="shared" si="33"/>
        <v>172607.45028153181</v>
      </c>
    </row>
    <row r="429" spans="15:36">
      <c r="O429" s="15">
        <v>426</v>
      </c>
      <c r="P429" s="33">
        <v>2949787.5093657556</v>
      </c>
      <c r="Q429" s="33">
        <v>98516753.277042419</v>
      </c>
      <c r="R429" s="146">
        <v>-95566965.767676666</v>
      </c>
      <c r="S429" s="31">
        <v>136724.44685342256</v>
      </c>
      <c r="T429" s="31">
        <v>10483.128499927992</v>
      </c>
      <c r="U429" s="142">
        <v>126241.31835349457</v>
      </c>
      <c r="AE429" s="137">
        <f t="shared" si="34"/>
        <v>2.6703537555513424</v>
      </c>
      <c r="AF429" s="131">
        <f t="shared" ca="1" si="30"/>
        <v>-61833893.264375821</v>
      </c>
      <c r="AG429" s="131">
        <f t="shared" ca="1" si="31"/>
        <v>21304379.718706999</v>
      </c>
      <c r="AI429" s="131">
        <f t="shared" si="32"/>
        <v>-95566965.767676666</v>
      </c>
      <c r="AJ429" s="31">
        <f t="shared" si="33"/>
        <v>126241.31835349457</v>
      </c>
    </row>
    <row r="430" spans="15:36">
      <c r="O430" s="15">
        <v>427</v>
      </c>
      <c r="P430" s="33">
        <v>2827852.8097023126</v>
      </c>
      <c r="Q430" s="33">
        <v>98620654.384479523</v>
      </c>
      <c r="R430" s="146">
        <v>-95792801.574777216</v>
      </c>
      <c r="S430" s="31">
        <v>60055.879566050564</v>
      </c>
      <c r="T430" s="31">
        <v>6384.5562291519063</v>
      </c>
      <c r="U430" s="142">
        <v>53671.323336898655</v>
      </c>
      <c r="AE430" s="137">
        <f t="shared" si="34"/>
        <v>2.676636940858522</v>
      </c>
      <c r="AF430" s="131">
        <f t="shared" ca="1" si="30"/>
        <v>-61766229.872156009</v>
      </c>
      <c r="AG430" s="131">
        <f t="shared" ca="1" si="31"/>
        <v>21372629.697287433</v>
      </c>
      <c r="AI430" s="131">
        <f t="shared" si="32"/>
        <v>-95792801.574777216</v>
      </c>
      <c r="AJ430" s="31">
        <f t="shared" si="33"/>
        <v>53671.323336898655</v>
      </c>
    </row>
    <row r="431" spans="15:36">
      <c r="O431" s="15">
        <v>428</v>
      </c>
      <c r="P431" s="33">
        <v>3047353.1204056926</v>
      </c>
      <c r="Q431" s="33">
        <v>93450727.968537509</v>
      </c>
      <c r="R431" s="146">
        <v>-90403374.848131821</v>
      </c>
      <c r="S431" s="31">
        <v>197743.66247197101</v>
      </c>
      <c r="T431" s="31">
        <v>6654.3956497031304</v>
      </c>
      <c r="U431" s="142">
        <v>191089.26682226788</v>
      </c>
      <c r="AE431" s="137">
        <f t="shared" si="34"/>
        <v>2.6829201261657016</v>
      </c>
      <c r="AF431" s="131">
        <f t="shared" ca="1" si="30"/>
        <v>-61699408.76124391</v>
      </c>
      <c r="AG431" s="131">
        <f t="shared" ca="1" si="31"/>
        <v>21440039.246330362</v>
      </c>
      <c r="AI431" s="131">
        <f t="shared" si="32"/>
        <v>-90403374.848131821</v>
      </c>
      <c r="AJ431" s="31">
        <f t="shared" si="33"/>
        <v>191089.26682226788</v>
      </c>
    </row>
    <row r="432" spans="15:36">
      <c r="O432" s="15">
        <v>429</v>
      </c>
      <c r="P432" s="33">
        <v>2928300.8397793677</v>
      </c>
      <c r="Q432" s="33">
        <v>95968997.661678538</v>
      </c>
      <c r="R432" s="146">
        <v>-93040696.821899176</v>
      </c>
      <c r="S432" s="31">
        <v>86780.591055220415</v>
      </c>
      <c r="T432" s="31">
        <v>5394.9612947755732</v>
      </c>
      <c r="U432" s="142">
        <v>81385.629760444848</v>
      </c>
      <c r="AE432" s="137">
        <f t="shared" si="34"/>
        <v>2.6892033114728813</v>
      </c>
      <c r="AF432" s="131">
        <f t="shared" ca="1" si="30"/>
        <v>-61633432.569622532</v>
      </c>
      <c r="AG432" s="131">
        <f t="shared" ca="1" si="31"/>
        <v>21506605.704622228</v>
      </c>
      <c r="AI432" s="131">
        <f t="shared" si="32"/>
        <v>-93040696.821899176</v>
      </c>
      <c r="AJ432" s="31">
        <f t="shared" si="33"/>
        <v>81385.629760444848</v>
      </c>
    </row>
    <row r="433" spans="15:36">
      <c r="O433" s="15">
        <v>430</v>
      </c>
      <c r="P433" s="33">
        <v>3225776.7911003432</v>
      </c>
      <c r="Q433" s="33">
        <v>82724410.089498207</v>
      </c>
      <c r="R433" s="146">
        <v>-79498633.298397869</v>
      </c>
      <c r="S433" s="31">
        <v>139416.49387650861</v>
      </c>
      <c r="T433" s="31">
        <v>8449.5392234939191</v>
      </c>
      <c r="U433" s="142">
        <v>130966.95465301469</v>
      </c>
      <c r="AE433" s="137">
        <f t="shared" si="34"/>
        <v>2.6954864967800609</v>
      </c>
      <c r="AF433" s="131">
        <f t="shared" ca="1" si="30"/>
        <v>-61568303.901918977</v>
      </c>
      <c r="AG433" s="131">
        <f t="shared" ca="1" si="31"/>
        <v>21572326.444233216</v>
      </c>
      <c r="AI433" s="131">
        <f t="shared" si="32"/>
        <v>-79498633.298397869</v>
      </c>
      <c r="AJ433" s="31">
        <f t="shared" si="33"/>
        <v>130966.95465301469</v>
      </c>
    </row>
    <row r="434" spans="15:36">
      <c r="O434" s="15">
        <v>431</v>
      </c>
      <c r="P434" s="33">
        <v>3588276.6104756338</v>
      </c>
      <c r="Q434" s="33">
        <v>63505166.318642534</v>
      </c>
      <c r="R434" s="146">
        <v>-59916889.708166897</v>
      </c>
      <c r="S434" s="31">
        <v>66221.046863696654</v>
      </c>
      <c r="T434" s="31">
        <v>17592.993685061705</v>
      </c>
      <c r="U434" s="142">
        <v>48628.053178634946</v>
      </c>
      <c r="AE434" s="137">
        <f t="shared" si="34"/>
        <v>2.7017696820872406</v>
      </c>
      <c r="AF434" s="131">
        <f t="shared" ca="1" si="30"/>
        <v>-61504025.329301521</v>
      </c>
      <c r="AG434" s="131">
        <f t="shared" ca="1" si="31"/>
        <v>21637198.870621078</v>
      </c>
      <c r="AI434" s="131">
        <f t="shared" si="32"/>
        <v>-59916889.708166897</v>
      </c>
      <c r="AJ434" s="31">
        <f t="shared" si="33"/>
        <v>48628.053178634946</v>
      </c>
    </row>
    <row r="435" spans="15:36">
      <c r="O435" s="15">
        <v>432</v>
      </c>
      <c r="P435" s="33">
        <v>3079459.5766114257</v>
      </c>
      <c r="Q435" s="33">
        <v>89579114.288435712</v>
      </c>
      <c r="R435" s="146">
        <v>-86499654.711824283</v>
      </c>
      <c r="S435" s="31">
        <v>43013.857594925634</v>
      </c>
      <c r="T435" s="31">
        <v>11133.340822721148</v>
      </c>
      <c r="U435" s="142">
        <v>31880.516772204486</v>
      </c>
      <c r="AE435" s="137">
        <f t="shared" si="34"/>
        <v>2.7080528673944202</v>
      </c>
      <c r="AF435" s="131">
        <f t="shared" ca="1" si="30"/>
        <v>-61440599.389378153</v>
      </c>
      <c r="AG435" s="131">
        <f t="shared" ca="1" si="31"/>
        <v>21701220.422733486</v>
      </c>
      <c r="AI435" s="131">
        <f t="shared" si="32"/>
        <v>-86499654.711824283</v>
      </c>
      <c r="AJ435" s="31">
        <f t="shared" si="33"/>
        <v>31880.516772204486</v>
      </c>
    </row>
    <row r="436" spans="15:36">
      <c r="O436" s="15">
        <v>433</v>
      </c>
      <c r="P436" s="33">
        <v>3574491.9009832842</v>
      </c>
      <c r="Q436" s="33">
        <v>96923977.772698388</v>
      </c>
      <c r="R436" s="146">
        <v>-93349485.871715099</v>
      </c>
      <c r="S436" s="31">
        <v>89124.155894795287</v>
      </c>
      <c r="T436" s="31">
        <v>18699.43490357068</v>
      </c>
      <c r="U436" s="142">
        <v>70424.720991224603</v>
      </c>
      <c r="AE436" s="137">
        <f t="shared" si="34"/>
        <v>2.7143360527015998</v>
      </c>
      <c r="AF436" s="131">
        <f t="shared" ca="1" si="30"/>
        <v>-61378028.586096369</v>
      </c>
      <c r="AG436" s="131">
        <f t="shared" ca="1" si="31"/>
        <v>21764388.573109195</v>
      </c>
      <c r="AI436" s="131">
        <f t="shared" si="32"/>
        <v>-93349485.871715099</v>
      </c>
      <c r="AJ436" s="31">
        <f t="shared" si="33"/>
        <v>70424.720991224603</v>
      </c>
    </row>
    <row r="437" spans="15:36">
      <c r="O437" s="15">
        <v>434</v>
      </c>
      <c r="P437" s="33">
        <v>3627994.3772863233</v>
      </c>
      <c r="Q437" s="33">
        <v>89984148.228363186</v>
      </c>
      <c r="R437" s="146">
        <v>-86356153.851076856</v>
      </c>
      <c r="S437" s="31">
        <v>87745.246822150308</v>
      </c>
      <c r="T437" s="31">
        <v>16760.13471415035</v>
      </c>
      <c r="U437" s="142">
        <v>70985.112107999958</v>
      </c>
      <c r="AE437" s="137">
        <f t="shared" si="34"/>
        <v>2.7206192380087795</v>
      </c>
      <c r="AF437" s="131">
        <f t="shared" ca="1" si="30"/>
        <v>-61316315.389644355</v>
      </c>
      <c r="AG437" s="131">
        <f t="shared" ca="1" si="31"/>
        <v>21826700.82797778</v>
      </c>
      <c r="AI437" s="131">
        <f t="shared" si="32"/>
        <v>-86356153.851076856</v>
      </c>
      <c r="AJ437" s="31">
        <f t="shared" si="33"/>
        <v>70985.112107999958</v>
      </c>
    </row>
    <row r="438" spans="15:36">
      <c r="O438" s="15">
        <v>435</v>
      </c>
      <c r="P438" s="33">
        <v>2799145.7025576206</v>
      </c>
      <c r="Q438" s="33">
        <v>83905612.411159396</v>
      </c>
      <c r="R438" s="146">
        <v>-81106466.708601773</v>
      </c>
      <c r="S438" s="31">
        <v>31999.965684817333</v>
      </c>
      <c r="T438" s="31">
        <v>7721.2231021417238</v>
      </c>
      <c r="U438" s="142">
        <v>24278.742582675608</v>
      </c>
      <c r="AE438" s="137">
        <f t="shared" si="34"/>
        <v>2.7269024233159591</v>
      </c>
      <c r="AF438" s="131">
        <f t="shared" ca="1" si="30"/>
        <v>-61255462.236353427</v>
      </c>
      <c r="AG438" s="131">
        <f t="shared" ca="1" si="31"/>
        <v>21888154.727358125</v>
      </c>
      <c r="AI438" s="131">
        <f t="shared" si="32"/>
        <v>-81106466.708601773</v>
      </c>
      <c r="AJ438" s="31">
        <f t="shared" si="33"/>
        <v>24278.742582675608</v>
      </c>
    </row>
    <row r="439" spans="15:36">
      <c r="O439" s="15">
        <v>436</v>
      </c>
      <c r="P439" s="33">
        <v>2875089.5687245526</v>
      </c>
      <c r="Q439" s="33">
        <v>96430262.040162086</v>
      </c>
      <c r="R439" s="146">
        <v>-93555172.471437529</v>
      </c>
      <c r="S439" s="31">
        <v>107189.81369449587</v>
      </c>
      <c r="T439" s="31">
        <v>9252.4832754786839</v>
      </c>
      <c r="U439" s="142">
        <v>97937.330419017177</v>
      </c>
      <c r="AE439" s="137">
        <f t="shared" si="34"/>
        <v>2.7331856086231388</v>
      </c>
      <c r="AF439" s="131">
        <f t="shared" ca="1" si="30"/>
        <v>-61195471.528601885</v>
      </c>
      <c r="AG439" s="131">
        <f t="shared" ca="1" si="31"/>
        <v>21948747.8451555</v>
      </c>
      <c r="AI439" s="131">
        <f t="shared" si="32"/>
        <v>-93555172.471437529</v>
      </c>
      <c r="AJ439" s="31">
        <f t="shared" si="33"/>
        <v>97937.330419017177</v>
      </c>
    </row>
    <row r="440" spans="15:36">
      <c r="O440" s="15">
        <v>437</v>
      </c>
      <c r="P440" s="33">
        <v>4042969.544103588</v>
      </c>
      <c r="Q440" s="33">
        <v>70990595.701071829</v>
      </c>
      <c r="R440" s="146">
        <v>-66947626.156968243</v>
      </c>
      <c r="S440" s="31">
        <v>198233.06397892628</v>
      </c>
      <c r="T440" s="31">
        <v>13016.767940218127</v>
      </c>
      <c r="U440" s="142">
        <v>185216.29603870815</v>
      </c>
      <c r="AE440" s="137">
        <f t="shared" si="34"/>
        <v>2.7394687939303184</v>
      </c>
      <c r="AF440" s="131">
        <f t="shared" ca="1" si="30"/>
        <v>-61136345.634720147</v>
      </c>
      <c r="AG440" s="131">
        <f t="shared" ca="1" si="31"/>
        <v>22008477.789257366</v>
      </c>
      <c r="AI440" s="131">
        <f t="shared" si="32"/>
        <v>-66947626.156968243</v>
      </c>
      <c r="AJ440" s="31">
        <f t="shared" si="33"/>
        <v>185216.29603870815</v>
      </c>
    </row>
    <row r="441" spans="15:36">
      <c r="O441" s="15">
        <v>438</v>
      </c>
      <c r="P441" s="33">
        <v>2933913.9537209491</v>
      </c>
      <c r="Q441" s="33">
        <v>92757430.320153594</v>
      </c>
      <c r="R441" s="146">
        <v>-89823516.366432652</v>
      </c>
      <c r="S441" s="31">
        <v>172480.45408950103</v>
      </c>
      <c r="T441" s="31">
        <v>4161.5267578407475</v>
      </c>
      <c r="U441" s="142">
        <v>168318.92733166029</v>
      </c>
      <c r="AE441" s="137">
        <f t="shared" si="34"/>
        <v>2.745751979237498</v>
      </c>
      <c r="AF441" s="131">
        <f t="shared" ca="1" si="30"/>
        <v>-61078086.88889727</v>
      </c>
      <c r="AG441" s="131">
        <f t="shared" ca="1" si="31"/>
        <v>22067342.20162781</v>
      </c>
      <c r="AI441" s="131">
        <f t="shared" si="32"/>
        <v>-89823516.366432652</v>
      </c>
      <c r="AJ441" s="31">
        <f t="shared" si="33"/>
        <v>168318.92733166029</v>
      </c>
    </row>
    <row r="442" spans="15:36">
      <c r="O442" s="15">
        <v>439</v>
      </c>
      <c r="P442" s="33">
        <v>3751972.9485491011</v>
      </c>
      <c r="Q442" s="33">
        <v>61852662.282904625</v>
      </c>
      <c r="R442" s="146">
        <v>-58100689.334355526</v>
      </c>
      <c r="S442" s="31">
        <v>70556.685198704887</v>
      </c>
      <c r="T442" s="31">
        <v>16541.457644199589</v>
      </c>
      <c r="U442" s="142">
        <v>54015.227554505298</v>
      </c>
      <c r="AE442" s="137">
        <f t="shared" si="34"/>
        <v>2.7520351645446777</v>
      </c>
      <c r="AF442" s="131">
        <f t="shared" ca="1" si="30"/>
        <v>-61020697.591088787</v>
      </c>
      <c r="AG442" s="131">
        <f t="shared" ca="1" si="31"/>
        <v>22125338.758400619</v>
      </c>
      <c r="AI442" s="131">
        <f t="shared" si="32"/>
        <v>-58100689.334355526</v>
      </c>
      <c r="AJ442" s="31">
        <f t="shared" si="33"/>
        <v>54015.227554505298</v>
      </c>
    </row>
    <row r="443" spans="15:36">
      <c r="O443" s="15">
        <v>440</v>
      </c>
      <c r="P443" s="33">
        <v>3071642.0168927158</v>
      </c>
      <c r="Q443" s="33">
        <v>82079294.322015747</v>
      </c>
      <c r="R443" s="146">
        <v>-79007652.305123031</v>
      </c>
      <c r="S443" s="31">
        <v>90100.220251727689</v>
      </c>
      <c r="T443" s="31">
        <v>9010.6687358700838</v>
      </c>
      <c r="U443" s="142">
        <v>81089.551515857602</v>
      </c>
      <c r="AE443" s="137">
        <f t="shared" si="34"/>
        <v>2.7583183498518573</v>
      </c>
      <c r="AF443" s="131">
        <f t="shared" ca="1" si="30"/>
        <v>-60964180.006925896</v>
      </c>
      <c r="AG443" s="131">
        <f t="shared" ca="1" si="31"/>
        <v>22182465.169971041</v>
      </c>
      <c r="AI443" s="131">
        <f t="shared" si="32"/>
        <v>-79007652.305123031</v>
      </c>
      <c r="AJ443" s="31">
        <f t="shared" si="33"/>
        <v>81089.551515857602</v>
      </c>
    </row>
    <row r="444" spans="15:36">
      <c r="O444" s="15">
        <v>441</v>
      </c>
      <c r="P444" s="33">
        <v>3813262.485264644</v>
      </c>
      <c r="Q444" s="33">
        <v>87990224.511772931</v>
      </c>
      <c r="R444" s="146">
        <v>-84176962.026508287</v>
      </c>
      <c r="S444" s="31">
        <v>90310.241296248132</v>
      </c>
      <c r="T444" s="31">
        <v>9825.457115692554</v>
      </c>
      <c r="U444" s="142">
        <v>80484.78418055558</v>
      </c>
      <c r="AE444" s="137">
        <f t="shared" si="34"/>
        <v>2.7646015351590369</v>
      </c>
      <c r="AF444" s="131">
        <f t="shared" ca="1" si="30"/>
        <v>-60908536.367626056</v>
      </c>
      <c r="AG444" s="131">
        <f t="shared" ca="1" si="31"/>
        <v>22238719.181086157</v>
      </c>
      <c r="AI444" s="131">
        <f t="shared" si="32"/>
        <v>-84176962.026508287</v>
      </c>
      <c r="AJ444" s="31">
        <f t="shared" si="33"/>
        <v>80484.78418055558</v>
      </c>
    </row>
    <row r="445" spans="15:36">
      <c r="O445" s="15">
        <v>442</v>
      </c>
      <c r="P445" s="33">
        <v>3835484.0188733023</v>
      </c>
      <c r="Q445" s="33">
        <v>110280084.58755316</v>
      </c>
      <c r="R445" s="146">
        <v>-106444600.56867985</v>
      </c>
      <c r="S445" s="31">
        <v>155628.11222671479</v>
      </c>
      <c r="T445" s="31">
        <v>19882.287179825187</v>
      </c>
      <c r="U445" s="142">
        <v>135745.8250468896</v>
      </c>
      <c r="AE445" s="137">
        <f t="shared" si="34"/>
        <v>2.7708847204662166</v>
      </c>
      <c r="AF445" s="131">
        <f t="shared" ca="1" si="30"/>
        <v>-60853768.869904861</v>
      </c>
      <c r="AG445" s="131">
        <f t="shared" ca="1" si="31"/>
        <v>22294098.570933938</v>
      </c>
      <c r="AI445" s="131">
        <f t="shared" si="32"/>
        <v>-106444600.56867985</v>
      </c>
      <c r="AJ445" s="31">
        <f t="shared" si="33"/>
        <v>135745.8250468896</v>
      </c>
    </row>
    <row r="446" spans="15:36">
      <c r="O446" s="15">
        <v>443</v>
      </c>
      <c r="P446" s="33">
        <v>3934027.5570146674</v>
      </c>
      <c r="Q446" s="33">
        <v>82210511.180958211</v>
      </c>
      <c r="R446" s="146">
        <v>-78276483.623943537</v>
      </c>
      <c r="S446" s="31">
        <v>38714.248415034825</v>
      </c>
      <c r="T446" s="31">
        <v>8991.8564924624807</v>
      </c>
      <c r="U446" s="142">
        <v>29722.391922572344</v>
      </c>
      <c r="AE446" s="137">
        <f t="shared" si="34"/>
        <v>2.7771679057733962</v>
      </c>
      <c r="AF446" s="131">
        <f t="shared" ca="1" si="30"/>
        <v>-60799879.675889358</v>
      </c>
      <c r="AG446" s="131">
        <f t="shared" ca="1" si="31"/>
        <v>22348601.153230894</v>
      </c>
      <c r="AI446" s="131">
        <f t="shared" si="32"/>
        <v>-78276483.623943537</v>
      </c>
      <c r="AJ446" s="31">
        <f t="shared" si="33"/>
        <v>29722.391922572344</v>
      </c>
    </row>
    <row r="447" spans="15:36">
      <c r="O447" s="15">
        <v>444</v>
      </c>
      <c r="P447" s="33">
        <v>3358122.7612653007</v>
      </c>
      <c r="Q447" s="33">
        <v>94365255.045058563</v>
      </c>
      <c r="R447" s="146">
        <v>-91007132.283793256</v>
      </c>
      <c r="S447" s="31">
        <v>172406.33151766134</v>
      </c>
      <c r="T447" s="31">
        <v>10389.720053602128</v>
      </c>
      <c r="U447" s="142">
        <v>162016.61146405921</v>
      </c>
      <c r="AE447" s="137">
        <f t="shared" si="34"/>
        <v>2.7834510910805759</v>
      </c>
      <c r="AF447" s="131">
        <f t="shared" ca="1" si="30"/>
        <v>-60746870.913032636</v>
      </c>
      <c r="AG447" s="131">
        <f t="shared" ca="1" si="31"/>
        <v>22402224.776308402</v>
      </c>
      <c r="AI447" s="131">
        <f t="shared" si="32"/>
        <v>-91007132.283793256</v>
      </c>
      <c r="AJ447" s="31">
        <f t="shared" si="33"/>
        <v>162016.61146405921</v>
      </c>
    </row>
    <row r="448" spans="15:36">
      <c r="O448" s="15">
        <v>445</v>
      </c>
      <c r="P448" s="33">
        <v>3539471.7937921146</v>
      </c>
      <c r="Q448" s="33">
        <v>85218373.083214968</v>
      </c>
      <c r="R448" s="146">
        <v>-81678901.289422855</v>
      </c>
      <c r="S448" s="31">
        <v>199729.72428772424</v>
      </c>
      <c r="T448" s="31">
        <v>6886.9685512141004</v>
      </c>
      <c r="U448" s="142">
        <v>192842.75573651015</v>
      </c>
      <c r="AE448" s="137">
        <f t="shared" si="34"/>
        <v>2.7897342763877555</v>
      </c>
      <c r="AF448" s="131">
        <f t="shared" ca="1" si="30"/>
        <v>-60694744.674029902</v>
      </c>
      <c r="AG448" s="131">
        <f t="shared" ca="1" si="31"/>
        <v>22454967.323197633</v>
      </c>
      <c r="AI448" s="131">
        <f t="shared" si="32"/>
        <v>-81678901.289422855</v>
      </c>
      <c r="AJ448" s="31">
        <f t="shared" si="33"/>
        <v>192842.75573651015</v>
      </c>
    </row>
    <row r="449" spans="15:36">
      <c r="O449" s="15">
        <v>446</v>
      </c>
      <c r="P449" s="33">
        <v>3554953.4360287022</v>
      </c>
      <c r="Q449" s="33">
        <v>88733089.731824711</v>
      </c>
      <c r="R449" s="146">
        <v>-85178136.295796007</v>
      </c>
      <c r="S449" s="31">
        <v>107226.32623790122</v>
      </c>
      <c r="T449" s="31">
        <v>15517.01279969409</v>
      </c>
      <c r="U449" s="142">
        <v>91709.313438207129</v>
      </c>
      <c r="AE449" s="137">
        <f t="shared" si="34"/>
        <v>2.7960174616949351</v>
      </c>
      <c r="AF449" s="131">
        <f t="shared" ca="1" si="30"/>
        <v>-60643503.016735807</v>
      </c>
      <c r="AG449" s="131">
        <f t="shared" ca="1" si="31"/>
        <v>22506826.711713158</v>
      </c>
      <c r="AI449" s="131">
        <f t="shared" si="32"/>
        <v>-85178136.295796007</v>
      </c>
      <c r="AJ449" s="31">
        <f t="shared" si="33"/>
        <v>91709.313438207129</v>
      </c>
    </row>
    <row r="450" spans="15:36">
      <c r="O450" s="15">
        <v>447</v>
      </c>
      <c r="P450" s="33">
        <v>3665856.9102819702</v>
      </c>
      <c r="Q450" s="33">
        <v>90413994.512009859</v>
      </c>
      <c r="R450" s="146">
        <v>-86748137.601727888</v>
      </c>
      <c r="S450" s="31">
        <v>83190.358547412019</v>
      </c>
      <c r="T450" s="31">
        <v>5984.7215965823243</v>
      </c>
      <c r="U450" s="142">
        <v>77205.636950829692</v>
      </c>
      <c r="AE450" s="137">
        <f t="shared" si="34"/>
        <v>2.8023006470021148</v>
      </c>
      <c r="AF450" s="131">
        <f t="shared" ca="1" si="30"/>
        <v>-60593147.964083254</v>
      </c>
      <c r="AG450" s="131">
        <f t="shared" ca="1" si="31"/>
        <v>22557800.894535106</v>
      </c>
      <c r="AI450" s="131">
        <f t="shared" si="32"/>
        <v>-86748137.601727888</v>
      </c>
      <c r="AJ450" s="31">
        <f t="shared" si="33"/>
        <v>77205.636950829692</v>
      </c>
    </row>
    <row r="451" spans="15:36">
      <c r="O451" s="15">
        <v>448</v>
      </c>
      <c r="P451" s="33">
        <v>3354631.4703853824</v>
      </c>
      <c r="Q451" s="33">
        <v>86561999.377580509</v>
      </c>
      <c r="R451" s="146">
        <v>-83207367.907195121</v>
      </c>
      <c r="S451" s="31">
        <v>155777.65662349746</v>
      </c>
      <c r="T451" s="31">
        <v>10130.70079612494</v>
      </c>
      <c r="U451" s="142">
        <v>145646.95582737253</v>
      </c>
      <c r="AE451" s="137">
        <f t="shared" si="34"/>
        <v>2.8085838323092944</v>
      </c>
      <c r="AF451" s="131">
        <f t="shared" ca="1" si="30"/>
        <v>-60543681.504003488</v>
      </c>
      <c r="AG451" s="131">
        <f t="shared" ca="1" si="31"/>
        <v>22607887.859290026</v>
      </c>
      <c r="AI451" s="131">
        <f t="shared" si="32"/>
        <v>-83207367.907195121</v>
      </c>
      <c r="AJ451" s="31">
        <f t="shared" si="33"/>
        <v>145646.95582737253</v>
      </c>
    </row>
    <row r="452" spans="15:36">
      <c r="O452" s="15">
        <v>449</v>
      </c>
      <c r="P452" s="33">
        <v>3370675.2869018475</v>
      </c>
      <c r="Q452" s="33">
        <v>89868837.550442249</v>
      </c>
      <c r="R452" s="146">
        <v>-86498162.263540402</v>
      </c>
      <c r="S452" s="31">
        <v>80138.77269273781</v>
      </c>
      <c r="T452" s="31">
        <v>6738.4256403789122</v>
      </c>
      <c r="U452" s="142">
        <v>73400.347052358891</v>
      </c>
      <c r="AE452" s="137">
        <f t="shared" si="34"/>
        <v>2.8148670176164741</v>
      </c>
      <c r="AF452" s="131">
        <f t="shared" ca="1" si="30"/>
        <v>-60495105.589347661</v>
      </c>
      <c r="AG452" s="131">
        <f t="shared" ca="1" si="31"/>
        <v>22657085.628630307</v>
      </c>
      <c r="AI452" s="131">
        <f t="shared" si="32"/>
        <v>-86498162.263540402</v>
      </c>
      <c r="AJ452" s="31">
        <f t="shared" si="33"/>
        <v>73400.347052358891</v>
      </c>
    </row>
    <row r="453" spans="15:36">
      <c r="O453" s="15">
        <v>450</v>
      </c>
      <c r="P453" s="33">
        <v>3639471.4483466623</v>
      </c>
      <c r="Q453" s="33">
        <v>93352845.461775929</v>
      </c>
      <c r="R453" s="146">
        <v>-89713374.013429269</v>
      </c>
      <c r="S453" s="31">
        <v>70361.353771641865</v>
      </c>
      <c r="T453" s="31">
        <v>15818.173737713552</v>
      </c>
      <c r="U453" s="142">
        <v>54543.180033928315</v>
      </c>
      <c r="AE453" s="137">
        <f t="shared" si="34"/>
        <v>2.8211502029236537</v>
      </c>
      <c r="AF453" s="131">
        <f t="shared" ref="AF453:AF516" ca="1" si="35">(AB$25*AC$19*COS(AE453)+AC$25*AC$20*SIN(AE453))+X$9</f>
        <v>-60447422.137809694</v>
      </c>
      <c r="AG453" s="131">
        <f t="shared" ref="AG453:AG516" ca="1" si="36">(AC$26*AC$19*COS(AE453)+AC$26*AC$20*SIN(AE453))+Y$9</f>
        <v>22705392.260312263</v>
      </c>
      <c r="AI453" s="131">
        <f t="shared" ref="AI453:AI516" si="37">R453</f>
        <v>-89713374.013429269</v>
      </c>
      <c r="AJ453" s="31">
        <f t="shared" ref="AJ453:AJ516" si="38">U453</f>
        <v>54543.180033928315</v>
      </c>
    </row>
    <row r="454" spans="15:36">
      <c r="O454" s="15">
        <v>451</v>
      </c>
      <c r="P454" s="33">
        <v>3598754.2373716049</v>
      </c>
      <c r="Q454" s="33">
        <v>83377440.10776782</v>
      </c>
      <c r="R454" s="146">
        <v>-79778685.870396212</v>
      </c>
      <c r="S454" s="31">
        <v>90646.776580914884</v>
      </c>
      <c r="T454" s="31">
        <v>9865.8886489801716</v>
      </c>
      <c r="U454" s="142">
        <v>80780.887931934718</v>
      </c>
      <c r="AE454" s="137">
        <f t="shared" si="34"/>
        <v>2.8274333882308333</v>
      </c>
      <c r="AF454" s="131">
        <f t="shared" ca="1" si="35"/>
        <v>-60400633.031850621</v>
      </c>
      <c r="AG454" s="131">
        <f t="shared" ca="1" si="36"/>
        <v>22752805.84727278</v>
      </c>
      <c r="AI454" s="131">
        <f t="shared" si="37"/>
        <v>-79778685.870396212</v>
      </c>
      <c r="AJ454" s="31">
        <f t="shared" si="38"/>
        <v>80780.887931934718</v>
      </c>
    </row>
    <row r="455" spans="15:36">
      <c r="O455" s="15">
        <v>452</v>
      </c>
      <c r="P455" s="33">
        <v>3957997.6879724925</v>
      </c>
      <c r="Q455" s="33">
        <v>81969434.491484165</v>
      </c>
      <c r="R455" s="146">
        <v>-78011436.803511679</v>
      </c>
      <c r="S455" s="31">
        <v>81265.453152853952</v>
      </c>
      <c r="T455" s="31">
        <v>6963.3610587198446</v>
      </c>
      <c r="U455" s="142">
        <v>74302.092094134103</v>
      </c>
      <c r="AE455" s="137">
        <f t="shared" ref="AE455:AE518" si="39">AE454+AE$5</f>
        <v>2.833716573538013</v>
      </c>
      <c r="AF455" s="131">
        <f t="shared" ca="1" si="35"/>
        <v>-60354740.118624225</v>
      </c>
      <c r="AG455" s="131">
        <f t="shared" ca="1" si="36"/>
        <v>22799324.51770464</v>
      </c>
      <c r="AI455" s="131">
        <f t="shared" si="37"/>
        <v>-78011436.803511679</v>
      </c>
      <c r="AJ455" s="31">
        <f t="shared" si="38"/>
        <v>74302.092094134103</v>
      </c>
    </row>
    <row r="456" spans="15:36">
      <c r="O456" s="15">
        <v>453</v>
      </c>
      <c r="P456" s="33">
        <v>3571888.5565211861</v>
      </c>
      <c r="Q456" s="33">
        <v>101823038.04904841</v>
      </c>
      <c r="R456" s="146">
        <v>-98251149.492527217</v>
      </c>
      <c r="S456" s="31">
        <v>53531.887847796766</v>
      </c>
      <c r="T456" s="31">
        <v>13225.098111863572</v>
      </c>
      <c r="U456" s="142">
        <v>40306.789735933198</v>
      </c>
      <c r="AE456" s="137">
        <f t="shared" si="39"/>
        <v>2.8399997588451926</v>
      </c>
      <c r="AF456" s="131">
        <f t="shared" ca="1" si="35"/>
        <v>-60309745.209904142</v>
      </c>
      <c r="AG456" s="131">
        <f t="shared" ca="1" si="36"/>
        <v>22844946.43513038</v>
      </c>
      <c r="AI456" s="131">
        <f t="shared" si="37"/>
        <v>-98251149.492527217</v>
      </c>
      <c r="AJ456" s="31">
        <f t="shared" si="38"/>
        <v>40306.789735933198</v>
      </c>
    </row>
    <row r="457" spans="15:36">
      <c r="O457" s="15">
        <v>454</v>
      </c>
      <c r="P457" s="33">
        <v>3156671.4428184861</v>
      </c>
      <c r="Q457" s="33">
        <v>70908425.412100554</v>
      </c>
      <c r="R457" s="146">
        <v>-67751753.969282061</v>
      </c>
      <c r="S457" s="31">
        <v>83181.669846472592</v>
      </c>
      <c r="T457" s="31">
        <v>14410.31196889005</v>
      </c>
      <c r="U457" s="142">
        <v>68771.357877582544</v>
      </c>
      <c r="AE457" s="137">
        <f t="shared" si="39"/>
        <v>2.8462829441523723</v>
      </c>
      <c r="AF457" s="131">
        <f t="shared" ca="1" si="35"/>
        <v>-60265650.082012318</v>
      </c>
      <c r="AG457" s="131">
        <f t="shared" ca="1" si="36"/>
        <v>22889669.798474822</v>
      </c>
      <c r="AI457" s="131">
        <f t="shared" si="37"/>
        <v>-67751753.969282061</v>
      </c>
      <c r="AJ457" s="31">
        <f t="shared" si="38"/>
        <v>68771.357877582544</v>
      </c>
    </row>
    <row r="458" spans="15:36">
      <c r="O458" s="15">
        <v>455</v>
      </c>
      <c r="P458" s="33">
        <v>3466540.4121879837</v>
      </c>
      <c r="Q458" s="33">
        <v>93881138.843157202</v>
      </c>
      <c r="R458" s="146">
        <v>-90414598.430969223</v>
      </c>
      <c r="S458" s="31">
        <v>110030.83602418064</v>
      </c>
      <c r="T458" s="31">
        <v>13782.555799582942</v>
      </c>
      <c r="U458" s="142">
        <v>96248.280224597693</v>
      </c>
      <c r="AE458" s="137">
        <f t="shared" si="39"/>
        <v>2.8525661294595519</v>
      </c>
      <c r="AF458" s="131">
        <f t="shared" ca="1" si="35"/>
        <v>-60222456.475748904</v>
      </c>
      <c r="AG458" s="131">
        <f t="shared" ca="1" si="36"/>
        <v>22933492.842136156</v>
      </c>
      <c r="AI458" s="131">
        <f t="shared" si="37"/>
        <v>-90414598.430969223</v>
      </c>
      <c r="AJ458" s="31">
        <f t="shared" si="38"/>
        <v>96248.280224597693</v>
      </c>
    </row>
    <row r="459" spans="15:36">
      <c r="O459" s="15">
        <v>456</v>
      </c>
      <c r="P459" s="33">
        <v>4310105.3414839059</v>
      </c>
      <c r="Q459" s="33">
        <v>95989889.033775598</v>
      </c>
      <c r="R459" s="146">
        <v>-91679783.692291692</v>
      </c>
      <c r="S459" s="31">
        <v>26745.97702486271</v>
      </c>
      <c r="T459" s="31">
        <v>14465.001970150792</v>
      </c>
      <c r="U459" s="142">
        <v>12280.975054711918</v>
      </c>
      <c r="AE459" s="137">
        <f t="shared" si="39"/>
        <v>2.8588493147667315</v>
      </c>
      <c r="AF459" s="131">
        <f t="shared" ca="1" si="35"/>
        <v>-60180166.09632352</v>
      </c>
      <c r="AG459" s="131">
        <f t="shared" ca="1" si="36"/>
        <v>22976413.836055655</v>
      </c>
      <c r="AI459" s="131">
        <f t="shared" si="37"/>
        <v>-91679783.692291692</v>
      </c>
      <c r="AJ459" s="31">
        <f t="shared" si="38"/>
        <v>12280.975054711918</v>
      </c>
    </row>
    <row r="460" spans="15:36">
      <c r="O460" s="15">
        <v>457</v>
      </c>
      <c r="P460" s="33">
        <v>3664849.8022348653</v>
      </c>
      <c r="Q460" s="33">
        <v>77314216.95603694</v>
      </c>
      <c r="R460" s="146">
        <v>-73649367.153802082</v>
      </c>
      <c r="S460" s="31">
        <v>55582.703583561291</v>
      </c>
      <c r="T460" s="31">
        <v>6611.511671432012</v>
      </c>
      <c r="U460" s="142">
        <v>48971.191912129281</v>
      </c>
      <c r="AE460" s="137">
        <f t="shared" si="39"/>
        <v>2.8651325000739112</v>
      </c>
      <c r="AF460" s="131">
        <f t="shared" ca="1" si="35"/>
        <v>-60138780.613287926</v>
      </c>
      <c r="AG460" s="131">
        <f t="shared" ca="1" si="36"/>
        <v>23018431.085785974</v>
      </c>
      <c r="AI460" s="131">
        <f t="shared" si="37"/>
        <v>-73649367.153802082</v>
      </c>
      <c r="AJ460" s="31">
        <f t="shared" si="38"/>
        <v>48971.191912129281</v>
      </c>
    </row>
    <row r="461" spans="15:36">
      <c r="O461" s="15">
        <v>458</v>
      </c>
      <c r="P461" s="33">
        <v>3316982.9426722857</v>
      </c>
      <c r="Q461" s="33">
        <v>85323818.248308122</v>
      </c>
      <c r="R461" s="146">
        <v>-82006835.30563584</v>
      </c>
      <c r="S461" s="31">
        <v>74244.017494938991</v>
      </c>
      <c r="T461" s="31">
        <v>18197.582794368296</v>
      </c>
      <c r="U461" s="142">
        <v>56046.434700570695</v>
      </c>
      <c r="AE461" s="137">
        <f t="shared" si="39"/>
        <v>2.8714156853810908</v>
      </c>
      <c r="AF461" s="131">
        <f t="shared" ca="1" si="35"/>
        <v>-60098301.660470121</v>
      </c>
      <c r="AG461" s="131">
        <f t="shared" ca="1" si="36"/>
        <v>23059542.932558041</v>
      </c>
      <c r="AI461" s="131">
        <f t="shared" si="37"/>
        <v>-82006835.30563584</v>
      </c>
      <c r="AJ461" s="31">
        <f t="shared" si="38"/>
        <v>56046.434700570695</v>
      </c>
    </row>
    <row r="462" spans="15:36">
      <c r="O462" s="15">
        <v>459</v>
      </c>
      <c r="P462" s="33">
        <v>3311214.4861639752</v>
      </c>
      <c r="Q462" s="33">
        <v>85121784.178724065</v>
      </c>
      <c r="R462" s="146">
        <v>-81810569.692560092</v>
      </c>
      <c r="S462" s="31">
        <v>188430.48139842783</v>
      </c>
      <c r="T462" s="31">
        <v>3921.1288249326126</v>
      </c>
      <c r="U462" s="142">
        <v>184509.35257349521</v>
      </c>
      <c r="AE462" s="137">
        <f t="shared" si="39"/>
        <v>2.8776988706882705</v>
      </c>
      <c r="AF462" s="131">
        <f t="shared" ca="1" si="35"/>
        <v>-60058730.835909873</v>
      </c>
      <c r="AG462" s="131">
        <f t="shared" ca="1" si="36"/>
        <v>23099747.753346533</v>
      </c>
      <c r="AI462" s="131">
        <f t="shared" si="37"/>
        <v>-81810569.692560092</v>
      </c>
      <c r="AJ462" s="31">
        <f t="shared" si="38"/>
        <v>184509.35257349521</v>
      </c>
    </row>
    <row r="463" spans="15:36">
      <c r="O463" s="15">
        <v>460</v>
      </c>
      <c r="P463" s="33">
        <v>2833604.1184390276</v>
      </c>
      <c r="Q463" s="33">
        <v>88822611.510900974</v>
      </c>
      <c r="R463" s="146">
        <v>-85989007.392461941</v>
      </c>
      <c r="S463" s="31">
        <v>27058.685635293699</v>
      </c>
      <c r="T463" s="31">
        <v>13368.042540046317</v>
      </c>
      <c r="U463" s="142">
        <v>13690.643095247382</v>
      </c>
      <c r="AE463" s="137">
        <f t="shared" si="39"/>
        <v>2.8839820559954501</v>
      </c>
      <c r="AF463" s="131">
        <f t="shared" ca="1" si="35"/>
        <v>-60020069.701795563</v>
      </c>
      <c r="AG463" s="131">
        <f t="shared" ca="1" si="36"/>
        <v>23139043.960933972</v>
      </c>
      <c r="AI463" s="131">
        <f t="shared" si="37"/>
        <v>-85989007.392461941</v>
      </c>
      <c r="AJ463" s="31">
        <f t="shared" si="38"/>
        <v>13690.643095247382</v>
      </c>
    </row>
    <row r="464" spans="15:36">
      <c r="O464" s="15">
        <v>461</v>
      </c>
      <c r="P464" s="33">
        <v>3461616.2147057401</v>
      </c>
      <c r="Q464" s="33">
        <v>82963549.67317152</v>
      </c>
      <c r="R464" s="146">
        <v>-79501933.458465785</v>
      </c>
      <c r="S464" s="31">
        <v>72904.446868848419</v>
      </c>
      <c r="T464" s="31">
        <v>10559.936057188472</v>
      </c>
      <c r="U464" s="142">
        <v>62344.510811659944</v>
      </c>
      <c r="AE464" s="137">
        <f t="shared" si="39"/>
        <v>2.8902652413026297</v>
      </c>
      <c r="AF464" s="131">
        <f t="shared" ca="1" si="35"/>
        <v>-59982319.784402564</v>
      </c>
      <c r="AG464" s="131">
        <f t="shared" ca="1" si="36"/>
        <v>23177430.003973369</v>
      </c>
      <c r="AI464" s="131">
        <f t="shared" si="37"/>
        <v>-79501933.458465785</v>
      </c>
      <c r="AJ464" s="31">
        <f t="shared" si="38"/>
        <v>62344.510811659944</v>
      </c>
    </row>
    <row r="465" spans="15:36">
      <c r="O465" s="15">
        <v>462</v>
      </c>
      <c r="P465" s="33">
        <v>3733046.1475749388</v>
      </c>
      <c r="Q465" s="33">
        <v>83472257.96231842</v>
      </c>
      <c r="R465" s="146">
        <v>-79739211.814743489</v>
      </c>
      <c r="S465" s="31">
        <v>90902.174800411653</v>
      </c>
      <c r="T465" s="31">
        <v>14012.402813398501</v>
      </c>
      <c r="U465" s="142">
        <v>76889.771987013155</v>
      </c>
      <c r="AE465" s="137">
        <f t="shared" si="39"/>
        <v>2.8965484266098094</v>
      </c>
      <c r="AF465" s="131">
        <f t="shared" ca="1" si="35"/>
        <v>-59945482.574032992</v>
      </c>
      <c r="AG465" s="131">
        <f t="shared" ca="1" si="36"/>
        <v>23214904.367049467</v>
      </c>
      <c r="AI465" s="131">
        <f t="shared" si="37"/>
        <v>-79739211.814743489</v>
      </c>
      <c r="AJ465" s="31">
        <f t="shared" si="38"/>
        <v>76889.771987013155</v>
      </c>
    </row>
    <row r="466" spans="15:36">
      <c r="O466" s="15">
        <v>463</v>
      </c>
      <c r="P466" s="33">
        <v>3584805.816680016</v>
      </c>
      <c r="Q466" s="33">
        <v>78961369.212288439</v>
      </c>
      <c r="R466" s="146">
        <v>-75376563.395608425</v>
      </c>
      <c r="S466" s="31">
        <v>100194.69638046516</v>
      </c>
      <c r="T466" s="31">
        <v>8030.8866714948335</v>
      </c>
      <c r="U466" s="142">
        <v>92163.809708970322</v>
      </c>
      <c r="AE466" s="137">
        <f t="shared" si="39"/>
        <v>2.902831611916989</v>
      </c>
      <c r="AF466" s="131">
        <f t="shared" ca="1" si="35"/>
        <v>-59909559.524956837</v>
      </c>
      <c r="AG466" s="131">
        <f t="shared" ca="1" si="36"/>
        <v>23251465.570738584</v>
      </c>
      <c r="AI466" s="131">
        <f t="shared" si="37"/>
        <v>-75376563.395608425</v>
      </c>
      <c r="AJ466" s="31">
        <f t="shared" si="38"/>
        <v>92163.809708970322</v>
      </c>
    </row>
    <row r="467" spans="15:36">
      <c r="O467" s="15">
        <v>464</v>
      </c>
      <c r="P467" s="33">
        <v>3545851.5223315582</v>
      </c>
      <c r="Q467" s="33">
        <v>92393590.305138156</v>
      </c>
      <c r="R467" s="146">
        <v>-88847738.782806605</v>
      </c>
      <c r="S467" s="31">
        <v>78458.733071404946</v>
      </c>
      <c r="T467" s="31">
        <v>2846.084227861857</v>
      </c>
      <c r="U467" s="142">
        <v>75612.648843543095</v>
      </c>
      <c r="AE467" s="137">
        <f t="shared" si="39"/>
        <v>2.9091147972241687</v>
      </c>
      <c r="AF467" s="131">
        <f t="shared" ca="1" si="35"/>
        <v>-59874552.05535455</v>
      </c>
      <c r="AG467" s="131">
        <f t="shared" ca="1" si="36"/>
        <v>23287112.171666998</v>
      </c>
      <c r="AI467" s="131">
        <f t="shared" si="37"/>
        <v>-88847738.782806605</v>
      </c>
      <c r="AJ467" s="31">
        <f t="shared" si="38"/>
        <v>75612.648843543095</v>
      </c>
    </row>
    <row r="468" spans="15:36">
      <c r="O468" s="15">
        <v>465</v>
      </c>
      <c r="P468" s="33">
        <v>3322723.7991118287</v>
      </c>
      <c r="Q468" s="33">
        <v>66876964.726979338</v>
      </c>
      <c r="R468" s="146">
        <v>-63554240.927867509</v>
      </c>
      <c r="S468" s="31">
        <v>208173.68015401371</v>
      </c>
      <c r="T468" s="31">
        <v>12448.855321779469</v>
      </c>
      <c r="U468" s="142">
        <v>195724.82483223424</v>
      </c>
      <c r="AE468" s="137">
        <f t="shared" si="39"/>
        <v>2.9153979825313483</v>
      </c>
      <c r="AF468" s="131">
        <f t="shared" ca="1" si="35"/>
        <v>-59840461.547261097</v>
      </c>
      <c r="AG468" s="131">
        <f t="shared" ca="1" si="36"/>
        <v>23321842.762567945</v>
      </c>
      <c r="AI468" s="131">
        <f t="shared" si="37"/>
        <v>-63554240.927867509</v>
      </c>
      <c r="AJ468" s="31">
        <f t="shared" si="38"/>
        <v>195724.82483223424</v>
      </c>
    </row>
    <row r="469" spans="15:36">
      <c r="O469" s="15">
        <v>466</v>
      </c>
      <c r="P469" s="33">
        <v>3682311.8842452914</v>
      </c>
      <c r="Q469" s="33">
        <v>68158122.061598688</v>
      </c>
      <c r="R469" s="146">
        <v>-64475810.177353397</v>
      </c>
      <c r="S469" s="31">
        <v>152170.43698350881</v>
      </c>
      <c r="T469" s="31">
        <v>11463.30894378815</v>
      </c>
      <c r="U469" s="142">
        <v>140707.12803972067</v>
      </c>
      <c r="AE469" s="137">
        <f t="shared" si="39"/>
        <v>2.9216811678385279</v>
      </c>
      <c r="AF469" s="131">
        <f t="shared" ca="1" si="35"/>
        <v>-59807289.346511364</v>
      </c>
      <c r="AG469" s="131">
        <f t="shared" ca="1" si="36"/>
        <v>23355655.97233716</v>
      </c>
      <c r="AI469" s="131">
        <f t="shared" si="37"/>
        <v>-64475810.177353397</v>
      </c>
      <c r="AJ469" s="31">
        <f t="shared" si="38"/>
        <v>140707.12803972067</v>
      </c>
    </row>
    <row r="470" spans="15:36">
      <c r="O470" s="15">
        <v>467</v>
      </c>
      <c r="P470" s="33">
        <v>3374528.5622555511</v>
      </c>
      <c r="Q470" s="33">
        <v>77681424.530612707</v>
      </c>
      <c r="R470" s="146">
        <v>-74306895.968357161</v>
      </c>
      <c r="S470" s="31">
        <v>109269.55298005004</v>
      </c>
      <c r="T470" s="31">
        <v>9390.0394780424595</v>
      </c>
      <c r="U470" s="142">
        <v>99879.513502007583</v>
      </c>
      <c r="AE470" s="137">
        <f t="shared" si="39"/>
        <v>2.9279643531457076</v>
      </c>
      <c r="AF470" s="131">
        <f t="shared" ca="1" si="35"/>
        <v>-59775036.762687042</v>
      </c>
      <c r="AG470" s="131">
        <f t="shared" ca="1" si="36"/>
        <v>23388550.466087021</v>
      </c>
      <c r="AI470" s="131">
        <f t="shared" si="37"/>
        <v>-74306895.968357161</v>
      </c>
      <c r="AJ470" s="31">
        <f t="shared" si="38"/>
        <v>99879.513502007583</v>
      </c>
    </row>
    <row r="471" spans="15:36">
      <c r="O471" s="15">
        <v>468</v>
      </c>
      <c r="P471" s="33">
        <v>3628205.9138839585</v>
      </c>
      <c r="Q471" s="33">
        <v>83291939.351593018</v>
      </c>
      <c r="R471" s="146">
        <v>-79663733.437709063</v>
      </c>
      <c r="S471" s="31">
        <v>49200.405739079994</v>
      </c>
      <c r="T471" s="31">
        <v>10374.808576866179</v>
      </c>
      <c r="U471" s="142">
        <v>38825.597162213817</v>
      </c>
      <c r="AE471" s="137">
        <f t="shared" si="39"/>
        <v>2.9342475384528872</v>
      </c>
      <c r="AF471" s="131">
        <f t="shared" ca="1" si="35"/>
        <v>-59743705.069064908</v>
      </c>
      <c r="AG471" s="131">
        <f t="shared" ca="1" si="36"/>
        <v>23420524.94519924</v>
      </c>
      <c r="AI471" s="131">
        <f t="shared" si="37"/>
        <v>-79663733.437709063</v>
      </c>
      <c r="AJ471" s="31">
        <f t="shared" si="38"/>
        <v>38825.597162213817</v>
      </c>
    </row>
    <row r="472" spans="15:36">
      <c r="O472" s="15">
        <v>469</v>
      </c>
      <c r="P472" s="33">
        <v>3140537.9892093749</v>
      </c>
      <c r="Q472" s="33">
        <v>71104266.297950715</v>
      </c>
      <c r="R472" s="146">
        <v>-67963728.308741346</v>
      </c>
      <c r="S472" s="31">
        <v>258715.35932961895</v>
      </c>
      <c r="T472" s="31">
        <v>12676.689092104851</v>
      </c>
      <c r="U472" s="142">
        <v>246038.6702375141</v>
      </c>
      <c r="AE472" s="137">
        <f t="shared" si="39"/>
        <v>2.9405307237600669</v>
      </c>
      <c r="AF472" s="131">
        <f t="shared" ca="1" si="35"/>
        <v>-59713295.502566576</v>
      </c>
      <c r="AG472" s="131">
        <f t="shared" ca="1" si="36"/>
        <v>23451578.147376128</v>
      </c>
      <c r="AI472" s="131">
        <f t="shared" si="37"/>
        <v>-67963728.308741346</v>
      </c>
      <c r="AJ472" s="31">
        <f t="shared" si="38"/>
        <v>246038.6702375141</v>
      </c>
    </row>
    <row r="473" spans="15:36">
      <c r="O473" s="15">
        <v>470</v>
      </c>
      <c r="P473" s="33">
        <v>3399114.9418832241</v>
      </c>
      <c r="Q473" s="33">
        <v>67981649.320631176</v>
      </c>
      <c r="R473" s="146">
        <v>-64582534.378747955</v>
      </c>
      <c r="S473" s="31">
        <v>64848.232273125308</v>
      </c>
      <c r="T473" s="31">
        <v>5056.376409411012</v>
      </c>
      <c r="U473" s="142">
        <v>59791.8558637143</v>
      </c>
      <c r="AE473" s="137">
        <f t="shared" si="39"/>
        <v>2.9468139090672465</v>
      </c>
      <c r="AF473" s="131">
        <f t="shared" ca="1" si="35"/>
        <v>-59683809.263709679</v>
      </c>
      <c r="AG473" s="131">
        <f t="shared" ca="1" si="36"/>
        <v>23481708.846690435</v>
      </c>
      <c r="AI473" s="131">
        <f t="shared" si="37"/>
        <v>-64582534.378747955</v>
      </c>
      <c r="AJ473" s="31">
        <f t="shared" si="38"/>
        <v>59791.8558637143</v>
      </c>
    </row>
    <row r="474" spans="15:36">
      <c r="O474" s="15">
        <v>471</v>
      </c>
      <c r="P474" s="33">
        <v>3121577.5517140087</v>
      </c>
      <c r="Q474" s="33">
        <v>101653531.38726178</v>
      </c>
      <c r="R474" s="146">
        <v>-98531953.835547775</v>
      </c>
      <c r="S474" s="31">
        <v>96612.83020909538</v>
      </c>
      <c r="T474" s="31">
        <v>18016.569695466991</v>
      </c>
      <c r="U474" s="142">
        <v>78596.260513628396</v>
      </c>
      <c r="AE474" s="137">
        <f t="shared" si="39"/>
        <v>2.9530970943744261</v>
      </c>
      <c r="AF474" s="131">
        <f t="shared" ca="1" si="35"/>
        <v>-59655247.51656042</v>
      </c>
      <c r="AG474" s="131">
        <f t="shared" ca="1" si="36"/>
        <v>23510915.853633739</v>
      </c>
      <c r="AI474" s="131">
        <f t="shared" si="37"/>
        <v>-98531953.835547775</v>
      </c>
      <c r="AJ474" s="31">
        <f t="shared" si="38"/>
        <v>78596.260513628396</v>
      </c>
    </row>
    <row r="475" spans="15:36">
      <c r="O475" s="15">
        <v>472</v>
      </c>
      <c r="P475" s="33">
        <v>3371482.3941610907</v>
      </c>
      <c r="Q475" s="33">
        <v>71426390.645631894</v>
      </c>
      <c r="R475" s="146">
        <v>-68054908.251470804</v>
      </c>
      <c r="S475" s="31">
        <v>132339.95550131588</v>
      </c>
      <c r="T475" s="31">
        <v>15798.202681191959</v>
      </c>
      <c r="U475" s="142">
        <v>116541.75282012392</v>
      </c>
      <c r="AE475" s="137">
        <f t="shared" si="39"/>
        <v>2.9593802796816058</v>
      </c>
      <c r="AF475" s="131">
        <f t="shared" ca="1" si="35"/>
        <v>-59627611.388687685</v>
      </c>
      <c r="AG475" s="131">
        <f t="shared" ca="1" si="36"/>
        <v>23539198.015163433</v>
      </c>
      <c r="AI475" s="131">
        <f t="shared" si="37"/>
        <v>-68054908.251470804</v>
      </c>
      <c r="AJ475" s="31">
        <f t="shared" si="38"/>
        <v>116541.75282012392</v>
      </c>
    </row>
    <row r="476" spans="15:36">
      <c r="O476" s="15">
        <v>473</v>
      </c>
      <c r="P476" s="33">
        <v>2971426.1912612077</v>
      </c>
      <c r="Q476" s="33">
        <v>83524094.851798207</v>
      </c>
      <c r="R476" s="146">
        <v>-80552668.660537004</v>
      </c>
      <c r="S476" s="31">
        <v>52470.903446049037</v>
      </c>
      <c r="T476" s="31">
        <v>10024.288674336271</v>
      </c>
      <c r="U476" s="142">
        <v>42446.614771712768</v>
      </c>
      <c r="AE476" s="137">
        <f t="shared" si="39"/>
        <v>2.9656634649887854</v>
      </c>
      <c r="AF476" s="131">
        <f t="shared" ca="1" si="35"/>
        <v>-59600901.971118465</v>
      </c>
      <c r="AG476" s="131">
        <f t="shared" ca="1" si="36"/>
        <v>23566554.214748189</v>
      </c>
      <c r="AI476" s="131">
        <f t="shared" si="37"/>
        <v>-80552668.660537004</v>
      </c>
      <c r="AJ476" s="31">
        <f t="shared" si="38"/>
        <v>42446.614771712768</v>
      </c>
    </row>
    <row r="477" spans="15:36">
      <c r="O477" s="15">
        <v>474</v>
      </c>
      <c r="P477" s="33">
        <v>3367535.3874403294</v>
      </c>
      <c r="Q477" s="33">
        <v>67220345.166602343</v>
      </c>
      <c r="R477" s="146">
        <v>-63852809.779162012</v>
      </c>
      <c r="S477" s="31">
        <v>133470.76210040212</v>
      </c>
      <c r="T477" s="31">
        <v>10626.844933225644</v>
      </c>
      <c r="U477" s="142">
        <v>122843.91716717648</v>
      </c>
      <c r="AE477" s="137">
        <f t="shared" si="39"/>
        <v>2.9719466502959651</v>
      </c>
      <c r="AF477" s="131">
        <f t="shared" ca="1" si="35"/>
        <v>-59575120.318294846</v>
      </c>
      <c r="AG477" s="131">
        <f t="shared" ca="1" si="36"/>
        <v>23592983.372412097</v>
      </c>
      <c r="AI477" s="131">
        <f t="shared" si="37"/>
        <v>-63852809.779162012</v>
      </c>
      <c r="AJ477" s="31">
        <f t="shared" si="38"/>
        <v>122843.91716717648</v>
      </c>
    </row>
    <row r="478" spans="15:36">
      <c r="O478" s="15">
        <v>475</v>
      </c>
      <c r="P478" s="33">
        <v>3001122.5083521083</v>
      </c>
      <c r="Q478" s="33">
        <v>64618995.861226767</v>
      </c>
      <c r="R478" s="146">
        <v>-61617873.352874659</v>
      </c>
      <c r="S478" s="31">
        <v>120878.27268197134</v>
      </c>
      <c r="T478" s="31">
        <v>9099.7952214445068</v>
      </c>
      <c r="U478" s="142">
        <v>111778.47746052683</v>
      </c>
      <c r="AE478" s="137">
        <f t="shared" si="39"/>
        <v>2.9782298356031447</v>
      </c>
      <c r="AF478" s="131">
        <f t="shared" ca="1" si="35"/>
        <v>-59550267.448032327</v>
      </c>
      <c r="AG478" s="131">
        <f t="shared" ca="1" si="36"/>
        <v>23618484.444777265</v>
      </c>
      <c r="AI478" s="131">
        <f t="shared" si="37"/>
        <v>-61617873.352874659</v>
      </c>
      <c r="AJ478" s="31">
        <f t="shared" si="38"/>
        <v>111778.47746052683</v>
      </c>
    </row>
    <row r="479" spans="15:36">
      <c r="O479" s="15">
        <v>476</v>
      </c>
      <c r="P479" s="33">
        <v>3415305.0267145326</v>
      </c>
      <c r="Q479" s="33">
        <v>72639146.116563678</v>
      </c>
      <c r="R479" s="146">
        <v>-69223841.089849144</v>
      </c>
      <c r="S479" s="31">
        <v>110171.72706873686</v>
      </c>
      <c r="T479" s="31">
        <v>9355.0134160703292</v>
      </c>
      <c r="U479" s="142">
        <v>100816.71365266653</v>
      </c>
      <c r="AE479" s="137">
        <f t="shared" si="39"/>
        <v>2.9845130209103243</v>
      </c>
      <c r="AF479" s="131">
        <f t="shared" ca="1" si="35"/>
        <v>-59526344.341479674</v>
      </c>
      <c r="AG479" s="131">
        <f t="shared" ca="1" si="36"/>
        <v>23643056.425105024</v>
      </c>
      <c r="AI479" s="131">
        <f t="shared" si="37"/>
        <v>-69223841.089849144</v>
      </c>
      <c r="AJ479" s="31">
        <f t="shared" si="38"/>
        <v>100816.71365266653</v>
      </c>
    </row>
    <row r="480" spans="15:36">
      <c r="O480" s="15">
        <v>477</v>
      </c>
      <c r="P480" s="33">
        <v>3536735.3733595689</v>
      </c>
      <c r="Q480" s="33">
        <v>78586252.96918948</v>
      </c>
      <c r="R480" s="146">
        <v>-75049517.595829904</v>
      </c>
      <c r="S480" s="31">
        <v>73076.562124535689</v>
      </c>
      <c r="T480" s="31">
        <v>9472.6020831257938</v>
      </c>
      <c r="U480" s="142">
        <v>63603.960041409897</v>
      </c>
      <c r="AE480" s="137">
        <f t="shared" si="39"/>
        <v>2.990796206217504</v>
      </c>
      <c r="AF480" s="131">
        <f t="shared" ca="1" si="35"/>
        <v>-59503351.943080172</v>
      </c>
      <c r="AG480" s="131">
        <f t="shared" ca="1" si="36"/>
        <v>23666698.343335658</v>
      </c>
      <c r="AI480" s="131">
        <f t="shared" si="37"/>
        <v>-75049517.595829904</v>
      </c>
      <c r="AJ480" s="31">
        <f t="shared" si="38"/>
        <v>63603.960041409897</v>
      </c>
    </row>
    <row r="481" spans="15:36">
      <c r="O481" s="15">
        <v>478</v>
      </c>
      <c r="P481" s="33">
        <v>3187180.7871051393</v>
      </c>
      <c r="Q481" s="33">
        <v>83264307.910283536</v>
      </c>
      <c r="R481" s="146">
        <v>-80077127.123178393</v>
      </c>
      <c r="S481" s="31">
        <v>96420.921277013724</v>
      </c>
      <c r="T481" s="31">
        <v>8798.2323434759055</v>
      </c>
      <c r="U481" s="142">
        <v>87622.688933537822</v>
      </c>
      <c r="AE481" s="137">
        <f t="shared" si="39"/>
        <v>2.9970793915246836</v>
      </c>
      <c r="AF481" s="131">
        <f t="shared" ca="1" si="35"/>
        <v>-59481291.160534352</v>
      </c>
      <c r="AG481" s="131">
        <f t="shared" ca="1" si="36"/>
        <v>23689409.266126722</v>
      </c>
      <c r="AI481" s="131">
        <f t="shared" si="37"/>
        <v>-80077127.123178393</v>
      </c>
      <c r="AJ481" s="31">
        <f t="shared" si="38"/>
        <v>87622.688933537822</v>
      </c>
    </row>
    <row r="482" spans="15:36">
      <c r="O482" s="15">
        <v>479</v>
      </c>
      <c r="P482" s="33">
        <v>2843855.4303433616</v>
      </c>
      <c r="Q482" s="33">
        <v>93367198.587414265</v>
      </c>
      <c r="R482" s="146">
        <v>-90523343.157070905</v>
      </c>
      <c r="S482" s="31">
        <v>58880.226773093455</v>
      </c>
      <c r="T482" s="31">
        <v>22913.326148404791</v>
      </c>
      <c r="U482" s="142">
        <v>35966.900624688664</v>
      </c>
      <c r="AE482" s="137">
        <f t="shared" si="39"/>
        <v>3.0033625768318633</v>
      </c>
      <c r="AF482" s="131">
        <f t="shared" ca="1" si="35"/>
        <v>-59460162.864764109</v>
      </c>
      <c r="AG482" s="131">
        <f t="shared" ca="1" si="36"/>
        <v>23711188.296889864</v>
      </c>
      <c r="AI482" s="131">
        <f t="shared" si="37"/>
        <v>-90523343.157070905</v>
      </c>
      <c r="AJ482" s="31">
        <f t="shared" si="38"/>
        <v>35966.900624688664</v>
      </c>
    </row>
    <row r="483" spans="15:36">
      <c r="O483" s="15">
        <v>480</v>
      </c>
      <c r="P483" s="33">
        <v>3457261.9528282392</v>
      </c>
      <c r="Q483" s="33">
        <v>100492060.34078917</v>
      </c>
      <c r="R483" s="146">
        <v>-97034798.387960926</v>
      </c>
      <c r="S483" s="31">
        <v>150535.34047507349</v>
      </c>
      <c r="T483" s="31">
        <v>15558.222060867432</v>
      </c>
      <c r="U483" s="142">
        <v>134977.11841420605</v>
      </c>
      <c r="AE483" s="137">
        <f t="shared" si="39"/>
        <v>3.0096457621390429</v>
      </c>
      <c r="AF483" s="131">
        <f t="shared" ca="1" si="35"/>
        <v>-59439967.889878407</v>
      </c>
      <c r="AG483" s="131">
        <f t="shared" ca="1" si="36"/>
        <v>23732034.575826257</v>
      </c>
      <c r="AI483" s="131">
        <f t="shared" si="37"/>
        <v>-97034798.387960926</v>
      </c>
      <c r="AJ483" s="31">
        <f t="shared" si="38"/>
        <v>134977.11841420605</v>
      </c>
    </row>
    <row r="484" spans="15:36">
      <c r="O484" s="15">
        <v>481</v>
      </c>
      <c r="P484" s="33">
        <v>3204062.5945438016</v>
      </c>
      <c r="Q484" s="33">
        <v>100282578.64701903</v>
      </c>
      <c r="R484" s="146">
        <v>-97078516.052475229</v>
      </c>
      <c r="S484" s="31">
        <v>136125.96987293818</v>
      </c>
      <c r="T484" s="31">
        <v>9368.5789495978643</v>
      </c>
      <c r="U484" s="142">
        <v>126757.39092334031</v>
      </c>
      <c r="AE484" s="137">
        <f t="shared" si="39"/>
        <v>3.0159289474462225</v>
      </c>
      <c r="AF484" s="131">
        <f t="shared" ca="1" si="35"/>
        <v>-59420707.033140257</v>
      </c>
      <c r="AG484" s="131">
        <f t="shared" ca="1" si="36"/>
        <v>23751947.279960487</v>
      </c>
      <c r="AI484" s="131">
        <f t="shared" si="37"/>
        <v>-97078516.052475229</v>
      </c>
      <c r="AJ484" s="31">
        <f t="shared" si="38"/>
        <v>126757.39092334031</v>
      </c>
    </row>
    <row r="485" spans="15:36">
      <c r="O485" s="15">
        <v>482</v>
      </c>
      <c r="P485" s="33">
        <v>2844411.520092878</v>
      </c>
      <c r="Q485" s="33">
        <v>86242950.342355341</v>
      </c>
      <c r="R485" s="146">
        <v>-83398538.822262466</v>
      </c>
      <c r="S485" s="31">
        <v>54275.567368323696</v>
      </c>
      <c r="T485" s="31">
        <v>10665.557506991769</v>
      </c>
      <c r="U485" s="142">
        <v>43610.009861331928</v>
      </c>
      <c r="AE485" s="137">
        <f t="shared" si="39"/>
        <v>3.0222121327534022</v>
      </c>
      <c r="AF485" s="131">
        <f t="shared" ca="1" si="35"/>
        <v>-59402381.054935321</v>
      </c>
      <c r="AG485" s="131">
        <f t="shared" ca="1" si="36"/>
        <v>23770925.623173095</v>
      </c>
      <c r="AI485" s="131">
        <f t="shared" si="37"/>
        <v>-83398538.822262466</v>
      </c>
      <c r="AJ485" s="31">
        <f t="shared" si="38"/>
        <v>43610.009861331928</v>
      </c>
    </row>
    <row r="486" spans="15:36">
      <c r="O486" s="15">
        <v>483</v>
      </c>
      <c r="P486" s="33">
        <v>3376959.7371104965</v>
      </c>
      <c r="Q486" s="33">
        <v>72037087.404948816</v>
      </c>
      <c r="R486" s="146">
        <v>-68660127.66783832</v>
      </c>
      <c r="S486" s="31">
        <v>82859.181397111213</v>
      </c>
      <c r="T486" s="31">
        <v>15662.482901209954</v>
      </c>
      <c r="U486" s="142">
        <v>67196.698495901263</v>
      </c>
      <c r="AE486" s="137">
        <f t="shared" si="39"/>
        <v>3.0284953180605818</v>
      </c>
      <c r="AF486" s="131">
        <f t="shared" ca="1" si="35"/>
        <v>-59384990.678741813</v>
      </c>
      <c r="AG486" s="131">
        <f t="shared" ca="1" si="36"/>
        <v>23788968.856231593</v>
      </c>
      <c r="AI486" s="131">
        <f t="shared" si="37"/>
        <v>-68660127.66783832</v>
      </c>
      <c r="AJ486" s="31">
        <f t="shared" si="38"/>
        <v>67196.698495901263</v>
      </c>
    </row>
    <row r="487" spans="15:36">
      <c r="O487" s="15">
        <v>484</v>
      </c>
      <c r="P487" s="33">
        <v>2870667.4297350151</v>
      </c>
      <c r="Q487" s="33">
        <v>71999483.010959268</v>
      </c>
      <c r="R487" s="146">
        <v>-69128815.581224248</v>
      </c>
      <c r="S487" s="31">
        <v>84292.360167459992</v>
      </c>
      <c r="T487" s="31">
        <v>10193.484768266066</v>
      </c>
      <c r="U487" s="142">
        <v>74098.87539919393</v>
      </c>
      <c r="AE487" s="137">
        <f t="shared" si="39"/>
        <v>3.0347785033677614</v>
      </c>
      <c r="AF487" s="131">
        <f t="shared" ca="1" si="35"/>
        <v>-59368536.591102034</v>
      </c>
      <c r="AG487" s="131">
        <f t="shared" ca="1" si="36"/>
        <v>23806076.266820032</v>
      </c>
      <c r="AI487" s="131">
        <f t="shared" si="37"/>
        <v>-69128815.581224248</v>
      </c>
      <c r="AJ487" s="31">
        <f t="shared" si="38"/>
        <v>74098.87539919393</v>
      </c>
    </row>
    <row r="488" spans="15:36">
      <c r="O488" s="15">
        <v>485</v>
      </c>
      <c r="P488" s="33">
        <v>3431210.1134255361</v>
      </c>
      <c r="Q488" s="33">
        <v>92839513.952514544</v>
      </c>
      <c r="R488" s="146">
        <v>-89408303.839089006</v>
      </c>
      <c r="S488" s="31">
        <v>109963.55283249648</v>
      </c>
      <c r="T488" s="31">
        <v>14250.668094828983</v>
      </c>
      <c r="U488" s="142">
        <v>95712.884737667497</v>
      </c>
      <c r="AE488" s="137">
        <f t="shared" si="39"/>
        <v>3.0410616886749411</v>
      </c>
      <c r="AF488" s="131">
        <f t="shared" ca="1" si="35"/>
        <v>-59353019.441595182</v>
      </c>
      <c r="AG488" s="131">
        <f t="shared" ca="1" si="36"/>
        <v>23822247.179567128</v>
      </c>
      <c r="AI488" s="131">
        <f t="shared" si="37"/>
        <v>-89408303.839089006</v>
      </c>
      <c r="AJ488" s="31">
        <f t="shared" si="38"/>
        <v>95712.884737667497</v>
      </c>
    </row>
    <row r="489" spans="15:36">
      <c r="O489" s="15">
        <v>486</v>
      </c>
      <c r="P489" s="33">
        <v>3097902.3303406495</v>
      </c>
      <c r="Q489" s="33">
        <v>84534731.530215785</v>
      </c>
      <c r="R489" s="146">
        <v>-81436829.199875131</v>
      </c>
      <c r="S489" s="31">
        <v>105024.0819833148</v>
      </c>
      <c r="T489" s="31">
        <v>17885.496700076485</v>
      </c>
      <c r="U489" s="142">
        <v>87138.58528323831</v>
      </c>
      <c r="AE489" s="137">
        <f t="shared" si="39"/>
        <v>3.0473448739821207</v>
      </c>
      <c r="AF489" s="131">
        <f t="shared" ca="1" si="35"/>
        <v>-59338439.842811748</v>
      </c>
      <c r="AG489" s="131">
        <f t="shared" ca="1" si="36"/>
        <v>23837480.956072945</v>
      </c>
      <c r="AI489" s="131">
        <f t="shared" si="37"/>
        <v>-81436829.199875131</v>
      </c>
      <c r="AJ489" s="31">
        <f t="shared" si="38"/>
        <v>87138.58528323831</v>
      </c>
    </row>
    <row r="490" spans="15:36">
      <c r="O490" s="15">
        <v>487</v>
      </c>
      <c r="P490" s="33">
        <v>3583342.0160738858</v>
      </c>
      <c r="Q490" s="33">
        <v>79817704.65831916</v>
      </c>
      <c r="R490" s="146">
        <v>-76234362.642245278</v>
      </c>
      <c r="S490" s="31">
        <v>76404.695638375953</v>
      </c>
      <c r="T490" s="31">
        <v>2458.4217096483408</v>
      </c>
      <c r="U490" s="142">
        <v>73946.273928727605</v>
      </c>
      <c r="AE490" s="137">
        <f t="shared" si="39"/>
        <v>3.0536280592893004</v>
      </c>
      <c r="AF490" s="131">
        <f t="shared" ca="1" si="35"/>
        <v>-59324798.370329335</v>
      </c>
      <c r="AG490" s="131">
        <f t="shared" ca="1" si="36"/>
        <v>23851776.994934063</v>
      </c>
      <c r="AI490" s="131">
        <f t="shared" si="37"/>
        <v>-76234362.642245278</v>
      </c>
      <c r="AJ490" s="31">
        <f t="shared" si="38"/>
        <v>73946.273928727605</v>
      </c>
    </row>
    <row r="491" spans="15:36">
      <c r="O491" s="15">
        <v>488</v>
      </c>
      <c r="P491" s="33">
        <v>3222394.6840596138</v>
      </c>
      <c r="Q491" s="33">
        <v>91018818.108272985</v>
      </c>
      <c r="R491" s="146">
        <v>-87796423.424213365</v>
      </c>
      <c r="S491" s="31">
        <v>118616.05591554209</v>
      </c>
      <c r="T491" s="31">
        <v>8031.54804527944</v>
      </c>
      <c r="U491" s="142">
        <v>110584.50787026265</v>
      </c>
      <c r="AE491" s="137">
        <f t="shared" si="39"/>
        <v>3.05991124459648</v>
      </c>
      <c r="AF491" s="131">
        <f t="shared" ca="1" si="35"/>
        <v>-59312095.5626899</v>
      </c>
      <c r="AG491" s="131">
        <f t="shared" ca="1" si="36"/>
        <v>23865134.731767349</v>
      </c>
      <c r="AI491" s="131">
        <f t="shared" si="37"/>
        <v>-87796423.424213365</v>
      </c>
      <c r="AJ491" s="31">
        <f t="shared" si="38"/>
        <v>110584.50787026265</v>
      </c>
    </row>
    <row r="492" spans="15:36">
      <c r="O492" s="15">
        <v>489</v>
      </c>
      <c r="P492" s="33">
        <v>3211702.5837487648</v>
      </c>
      <c r="Q492" s="33">
        <v>63992084.09056671</v>
      </c>
      <c r="R492" s="146">
        <v>-60780381.506817944</v>
      </c>
      <c r="S492" s="31">
        <v>66691.481046288405</v>
      </c>
      <c r="T492" s="31">
        <v>10652.037766975225</v>
      </c>
      <c r="U492" s="142">
        <v>56039.443279313178</v>
      </c>
      <c r="AE492" s="137">
        <f t="shared" si="39"/>
        <v>3.0661944299036596</v>
      </c>
      <c r="AF492" s="131">
        <f t="shared" ca="1" si="35"/>
        <v>-59300331.921378553</v>
      </c>
      <c r="AG492" s="131">
        <f t="shared" ca="1" si="36"/>
        <v>23877553.639232229</v>
      </c>
      <c r="AI492" s="131">
        <f t="shared" si="37"/>
        <v>-60780381.506817944</v>
      </c>
      <c r="AJ492" s="31">
        <f t="shared" si="38"/>
        <v>56039.443279313178</v>
      </c>
    </row>
    <row r="493" spans="15:36">
      <c r="O493" s="15">
        <v>490</v>
      </c>
      <c r="P493" s="33">
        <v>3831088.3379743621</v>
      </c>
      <c r="Q493" s="33">
        <v>95746160.652114138</v>
      </c>
      <c r="R493" s="146">
        <v>-91915072.314139783</v>
      </c>
      <c r="S493" s="31">
        <v>97093.631170680615</v>
      </c>
      <c r="T493" s="31">
        <v>7355.8984356691826</v>
      </c>
      <c r="U493" s="142">
        <v>89737.732735011436</v>
      </c>
      <c r="AE493" s="137">
        <f t="shared" si="39"/>
        <v>3.0724776152108393</v>
      </c>
      <c r="AF493" s="131">
        <f t="shared" ca="1" si="35"/>
        <v>-59289507.910803713</v>
      </c>
      <c r="AG493" s="131">
        <f t="shared" ca="1" si="36"/>
        <v>23889033.227051493</v>
      </c>
      <c r="AI493" s="131">
        <f t="shared" si="37"/>
        <v>-91915072.314139783</v>
      </c>
      <c r="AJ493" s="31">
        <f t="shared" si="38"/>
        <v>89737.732735011436</v>
      </c>
    </row>
    <row r="494" spans="15:36">
      <c r="O494" s="15">
        <v>491</v>
      </c>
      <c r="P494" s="33">
        <v>3698951.3575721057</v>
      </c>
      <c r="Q494" s="33">
        <v>93622189.241051868</v>
      </c>
      <c r="R494" s="146">
        <v>-89923237.883479759</v>
      </c>
      <c r="S494" s="31">
        <v>72964.2156709704</v>
      </c>
      <c r="T494" s="31">
        <v>5721.9910893415263</v>
      </c>
      <c r="U494" s="142">
        <v>67242.224581628878</v>
      </c>
      <c r="AE494" s="137">
        <f t="shared" si="39"/>
        <v>3.0787608005180189</v>
      </c>
      <c r="AF494" s="131">
        <f t="shared" ca="1" si="35"/>
        <v>-59279623.958278775</v>
      </c>
      <c r="AG494" s="131">
        <f t="shared" ca="1" si="36"/>
        <v>23899573.042030677</v>
      </c>
      <c r="AI494" s="131">
        <f t="shared" si="37"/>
        <v>-89923237.883479759</v>
      </c>
      <c r="AJ494" s="31">
        <f t="shared" si="38"/>
        <v>67242.224581628878</v>
      </c>
    </row>
    <row r="495" spans="15:36">
      <c r="O495" s="15">
        <v>492</v>
      </c>
      <c r="P495" s="33">
        <v>3090930.0611312119</v>
      </c>
      <c r="Q495" s="33">
        <v>91217293.972044855</v>
      </c>
      <c r="R495" s="146">
        <v>-88126363.910913646</v>
      </c>
      <c r="S495" s="31">
        <v>90266.982384315299</v>
      </c>
      <c r="T495" s="31">
        <v>5580.9222649983931</v>
      </c>
      <c r="U495" s="142">
        <v>84686.060119316913</v>
      </c>
      <c r="AE495" s="137">
        <f t="shared" si="39"/>
        <v>3.0850439858251986</v>
      </c>
      <c r="AF495" s="131">
        <f t="shared" ca="1" si="35"/>
        <v>-59270680.454005264</v>
      </c>
      <c r="AG495" s="131">
        <f t="shared" ca="1" si="36"/>
        <v>23909172.66807593</v>
      </c>
      <c r="AI495" s="131">
        <f t="shared" si="37"/>
        <v>-88126363.910913646</v>
      </c>
      <c r="AJ495" s="31">
        <f t="shared" si="38"/>
        <v>84686.060119316913</v>
      </c>
    </row>
    <row r="496" spans="15:36">
      <c r="O496" s="15">
        <v>493</v>
      </c>
      <c r="P496" s="33">
        <v>3128945.7838116521</v>
      </c>
      <c r="Q496" s="33">
        <v>61257702.953319214</v>
      </c>
      <c r="R496" s="146">
        <v>-58128757.169507563</v>
      </c>
      <c r="S496" s="31">
        <v>82770.185382373413</v>
      </c>
      <c r="T496" s="31">
        <v>15185.731205299227</v>
      </c>
      <c r="U496" s="142">
        <v>67584.454177074193</v>
      </c>
      <c r="AE496" s="137">
        <f t="shared" si="39"/>
        <v>3.0913271711323782</v>
      </c>
      <c r="AF496" s="131">
        <f t="shared" ca="1" si="35"/>
        <v>-59262677.751057416</v>
      </c>
      <c r="AG496" s="131">
        <f t="shared" ca="1" si="36"/>
        <v>23917831.726210453</v>
      </c>
      <c r="AI496" s="131">
        <f t="shared" si="37"/>
        <v>-58128757.169507563</v>
      </c>
      <c r="AJ496" s="31">
        <f t="shared" si="38"/>
        <v>67584.454177074193</v>
      </c>
    </row>
    <row r="497" spans="15:36">
      <c r="O497" s="15">
        <v>494</v>
      </c>
      <c r="P497" s="33">
        <v>3238337.9854991529</v>
      </c>
      <c r="Q497" s="33">
        <v>99704039.579282492</v>
      </c>
      <c r="R497" s="146">
        <v>-96465701.593783334</v>
      </c>
      <c r="S497" s="31">
        <v>134699.93167445916</v>
      </c>
      <c r="T497" s="31">
        <v>8363.7257389315128</v>
      </c>
      <c r="U497" s="142">
        <v>126336.20593552766</v>
      </c>
      <c r="AE497" s="137">
        <f t="shared" si="39"/>
        <v>3.0976103564395578</v>
      </c>
      <c r="AF497" s="131">
        <f t="shared" ca="1" si="35"/>
        <v>-59255616.165368237</v>
      </c>
      <c r="AG497" s="131">
        <f t="shared" ca="1" si="36"/>
        <v>23925549.874589454</v>
      </c>
      <c r="AI497" s="131">
        <f t="shared" si="37"/>
        <v>-96465701.593783334</v>
      </c>
      <c r="AJ497" s="31">
        <f t="shared" si="38"/>
        <v>126336.20593552766</v>
      </c>
    </row>
    <row r="498" spans="15:36">
      <c r="O498" s="15">
        <v>495</v>
      </c>
      <c r="P498" s="33">
        <v>3050687.5153975319</v>
      </c>
      <c r="Q498" s="33">
        <v>89104052.417092621</v>
      </c>
      <c r="R498" s="146">
        <v>-86053364.901695088</v>
      </c>
      <c r="S498" s="31">
        <v>36969.339139558011</v>
      </c>
      <c r="T498" s="31">
        <v>21347.727890614366</v>
      </c>
      <c r="U498" s="142">
        <v>15621.611248943645</v>
      </c>
      <c r="AE498" s="137">
        <f t="shared" si="39"/>
        <v>3.1038935417467375</v>
      </c>
      <c r="AF498" s="131">
        <f t="shared" ca="1" si="35"/>
        <v>-59249495.975717038</v>
      </c>
      <c r="AG498" s="131">
        <f t="shared" ca="1" si="36"/>
        <v>23932326.80851366</v>
      </c>
      <c r="AI498" s="131">
        <f t="shared" si="37"/>
        <v>-86053364.901695088</v>
      </c>
      <c r="AJ498" s="31">
        <f t="shared" si="38"/>
        <v>15621.611248943645</v>
      </c>
    </row>
    <row r="499" spans="15:36">
      <c r="O499" s="15">
        <v>496</v>
      </c>
      <c r="P499" s="33">
        <v>3252964.245026377</v>
      </c>
      <c r="Q499" s="33">
        <v>69330980.649176821</v>
      </c>
      <c r="R499" s="146">
        <v>-66078016.404150441</v>
      </c>
      <c r="S499" s="31">
        <v>74556.790026406248</v>
      </c>
      <c r="T499" s="31">
        <v>14615.895571946627</v>
      </c>
      <c r="U499" s="142">
        <v>59940.894454459623</v>
      </c>
      <c r="AE499" s="137">
        <f t="shared" si="39"/>
        <v>3.1101767270539171</v>
      </c>
      <c r="AF499" s="131">
        <f t="shared" ca="1" si="35"/>
        <v>-59244317.423718438</v>
      </c>
      <c r="AG499" s="131">
        <f t="shared" ca="1" si="36"/>
        <v>23938162.260441314</v>
      </c>
      <c r="AI499" s="131">
        <f t="shared" si="37"/>
        <v>-66078016.404150441</v>
      </c>
      <c r="AJ499" s="31">
        <f t="shared" si="38"/>
        <v>59940.894454459623</v>
      </c>
    </row>
    <row r="500" spans="15:36">
      <c r="O500" s="15">
        <v>497</v>
      </c>
      <c r="P500" s="33">
        <v>2889557.4559752424</v>
      </c>
      <c r="Q500" s="33">
        <v>75432898.160759658</v>
      </c>
      <c r="R500" s="146">
        <v>-72543340.704784408</v>
      </c>
      <c r="S500" s="31">
        <v>99564.031887615332</v>
      </c>
      <c r="T500" s="31">
        <v>7033.6521150545705</v>
      </c>
      <c r="U500" s="142">
        <v>92530.379772560758</v>
      </c>
      <c r="AE500" s="137">
        <f t="shared" si="39"/>
        <v>3.1164599123610968</v>
      </c>
      <c r="AF500" s="131">
        <f t="shared" ca="1" si="35"/>
        <v>-59240080.713812783</v>
      </c>
      <c r="AG500" s="131">
        <f t="shared" ca="1" si="36"/>
        <v>23943055.999998771</v>
      </c>
      <c r="AI500" s="131">
        <f t="shared" si="37"/>
        <v>-72543340.704784408</v>
      </c>
      <c r="AJ500" s="31">
        <f t="shared" si="38"/>
        <v>92530.379772560758</v>
      </c>
    </row>
    <row r="501" spans="15:36">
      <c r="O501" s="15">
        <v>498</v>
      </c>
      <c r="P501" s="33">
        <v>3028179.098242261</v>
      </c>
      <c r="Q501" s="33">
        <v>76901452.366162181</v>
      </c>
      <c r="R501" s="146">
        <v>-73873273.267919913</v>
      </c>
      <c r="S501" s="31">
        <v>63675.475951341985</v>
      </c>
      <c r="T501" s="31">
        <v>7571.2416374384766</v>
      </c>
      <c r="U501" s="142">
        <v>56104.234313903507</v>
      </c>
      <c r="AE501" s="137">
        <f t="shared" si="39"/>
        <v>3.1227430976682764</v>
      </c>
      <c r="AF501" s="131">
        <f t="shared" ca="1" si="35"/>
        <v>-59236786.013258144</v>
      </c>
      <c r="AG501" s="131">
        <f t="shared" ca="1" si="36"/>
        <v>23947007.833989568</v>
      </c>
      <c r="AI501" s="131">
        <f t="shared" si="37"/>
        <v>-73873273.267919913</v>
      </c>
      <c r="AJ501" s="31">
        <f t="shared" si="38"/>
        <v>56104.234313903507</v>
      </c>
    </row>
    <row r="502" spans="15:36">
      <c r="O502" s="15">
        <v>499</v>
      </c>
      <c r="P502" s="33">
        <v>3371125.3717052038</v>
      </c>
      <c r="Q502" s="33">
        <v>95255068.121421099</v>
      </c>
      <c r="R502" s="146">
        <v>-91883942.749715894</v>
      </c>
      <c r="S502" s="31">
        <v>59925.966276540734</v>
      </c>
      <c r="T502" s="31">
        <v>11277.304683907681</v>
      </c>
      <c r="U502" s="142">
        <v>48648.661592633056</v>
      </c>
      <c r="AE502" s="137">
        <f t="shared" si="39"/>
        <v>3.129026282975456</v>
      </c>
      <c r="AF502" s="131">
        <f t="shared" ca="1" si="35"/>
        <v>-59234433.452123657</v>
      </c>
      <c r="AG502" s="131">
        <f t="shared" ca="1" si="36"/>
        <v>23950017.606402073</v>
      </c>
      <c r="AI502" s="131">
        <f t="shared" si="37"/>
        <v>-91883942.749715894</v>
      </c>
      <c r="AJ502" s="31">
        <f t="shared" si="38"/>
        <v>48648.661592633056</v>
      </c>
    </row>
    <row r="503" spans="15:36">
      <c r="O503" s="15">
        <v>500</v>
      </c>
      <c r="P503" s="33">
        <v>3443854.3920021434</v>
      </c>
      <c r="Q503" s="33">
        <v>99143589.837447599</v>
      </c>
      <c r="R503" s="146">
        <v>-95699735.445445448</v>
      </c>
      <c r="S503" s="31">
        <v>98159.457425889821</v>
      </c>
      <c r="T503" s="31">
        <v>26936.02533301981</v>
      </c>
      <c r="U503" s="142">
        <v>71223.432092870004</v>
      </c>
      <c r="AE503" s="137">
        <f t="shared" si="39"/>
        <v>3.1353094682826357</v>
      </c>
      <c r="AF503" s="131">
        <f t="shared" ca="1" si="35"/>
        <v>-59233023.1232844</v>
      </c>
      <c r="AG503" s="131">
        <f t="shared" ca="1" si="36"/>
        <v>23952085.198415618</v>
      </c>
      <c r="AI503" s="131">
        <f t="shared" si="37"/>
        <v>-95699735.445445448</v>
      </c>
      <c r="AJ503" s="31">
        <f t="shared" si="38"/>
        <v>71223.432092870004</v>
      </c>
    </row>
    <row r="504" spans="15:36">
      <c r="O504" s="15">
        <v>501</v>
      </c>
      <c r="P504" s="33">
        <v>3508621.3747253199</v>
      </c>
      <c r="Q504" s="33">
        <v>96674438.306876212</v>
      </c>
      <c r="R504" s="146">
        <v>-93165816.932150885</v>
      </c>
      <c r="S504" s="31">
        <v>152597.19629980306</v>
      </c>
      <c r="T504" s="31">
        <v>5825.9182950631402</v>
      </c>
      <c r="U504" s="142">
        <v>146771.27800473993</v>
      </c>
      <c r="AE504" s="137">
        <f t="shared" si="39"/>
        <v>3.1415926535898153</v>
      </c>
      <c r="AF504" s="131">
        <f t="shared" ca="1" si="35"/>
        <v>-59232555.082417727</v>
      </c>
      <c r="AG504" s="131">
        <f t="shared" ca="1" si="36"/>
        <v>23953210.528405216</v>
      </c>
      <c r="AI504" s="131">
        <f t="shared" si="37"/>
        <v>-93165816.932150885</v>
      </c>
      <c r="AJ504" s="31">
        <f t="shared" si="38"/>
        <v>146771.27800473993</v>
      </c>
    </row>
    <row r="505" spans="15:36">
      <c r="O505" s="15">
        <v>502</v>
      </c>
      <c r="P505" s="33">
        <v>3467353.7106646812</v>
      </c>
      <c r="Q505" s="33">
        <v>79720468.663453817</v>
      </c>
      <c r="R505" s="146">
        <v>-76253114.952789143</v>
      </c>
      <c r="S505" s="31">
        <v>152965.51573218312</v>
      </c>
      <c r="T505" s="31">
        <v>18165.981774720734</v>
      </c>
      <c r="U505" s="142">
        <v>134799.53395746238</v>
      </c>
      <c r="AE505" s="137">
        <f t="shared" si="39"/>
        <v>3.147875838896995</v>
      </c>
      <c r="AF505" s="131">
        <f t="shared" ca="1" si="35"/>
        <v>-59233029.348001115</v>
      </c>
      <c r="AG505" s="131">
        <f t="shared" ca="1" si="36"/>
        <v>23953393.551944762</v>
      </c>
      <c r="AI505" s="131">
        <f t="shared" si="37"/>
        <v>-76253114.952789143</v>
      </c>
      <c r="AJ505" s="31">
        <f t="shared" si="38"/>
        <v>134799.53395746238</v>
      </c>
    </row>
    <row r="506" spans="15:36">
      <c r="O506" s="15">
        <v>503</v>
      </c>
      <c r="P506" s="33">
        <v>3185021.946719985</v>
      </c>
      <c r="Q506" s="33">
        <v>101760222.87705795</v>
      </c>
      <c r="R506" s="146">
        <v>-98575200.930337965</v>
      </c>
      <c r="S506" s="31">
        <v>109154.39605973731</v>
      </c>
      <c r="T506" s="31">
        <v>13079.925959552394</v>
      </c>
      <c r="U506" s="142">
        <v>96074.470100184917</v>
      </c>
      <c r="AE506" s="137">
        <f t="shared" si="39"/>
        <v>3.1541590242041746</v>
      </c>
      <c r="AF506" s="131">
        <f t="shared" ca="1" si="35"/>
        <v>-59234445.901311368</v>
      </c>
      <c r="AG506" s="131">
        <f t="shared" ca="1" si="36"/>
        <v>23952634.261808798</v>
      </c>
      <c r="AI506" s="131">
        <f t="shared" si="37"/>
        <v>-98575200.930337965</v>
      </c>
      <c r="AJ506" s="31">
        <f t="shared" si="38"/>
        <v>96074.470100184917</v>
      </c>
    </row>
    <row r="507" spans="15:36">
      <c r="O507" s="15">
        <v>504</v>
      </c>
      <c r="P507" s="33">
        <v>3797564.5071728802</v>
      </c>
      <c r="Q507" s="33">
        <v>97573993.423714966</v>
      </c>
      <c r="R507" s="146">
        <v>-93776428.916542083</v>
      </c>
      <c r="S507" s="31">
        <v>161935.43466955394</v>
      </c>
      <c r="T507" s="31">
        <v>12256.646844897625</v>
      </c>
      <c r="U507" s="142">
        <v>149678.78782465632</v>
      </c>
      <c r="AE507" s="137">
        <f t="shared" si="39"/>
        <v>3.1604422095113542</v>
      </c>
      <c r="AF507" s="131">
        <f t="shared" ca="1" si="35"/>
        <v>-59236804.686425366</v>
      </c>
      <c r="AG507" s="131">
        <f t="shared" ca="1" si="36"/>
        <v>23950932.687972806</v>
      </c>
      <c r="AI507" s="131">
        <f t="shared" si="37"/>
        <v>-93776428.916542083</v>
      </c>
      <c r="AJ507" s="31">
        <f t="shared" si="38"/>
        <v>149678.78782465632</v>
      </c>
    </row>
    <row r="508" spans="15:36">
      <c r="O508" s="15">
        <v>505</v>
      </c>
      <c r="P508" s="33">
        <v>3849176.7244898621</v>
      </c>
      <c r="Q508" s="33">
        <v>92983285.477854818</v>
      </c>
      <c r="R508" s="146">
        <v>-89134108.75336495</v>
      </c>
      <c r="S508" s="31">
        <v>184973.07555268955</v>
      </c>
      <c r="T508" s="31">
        <v>6447.7142444311576</v>
      </c>
      <c r="U508" s="142">
        <v>178525.36130825841</v>
      </c>
      <c r="AE508" s="137">
        <f t="shared" si="39"/>
        <v>3.1667253948185339</v>
      </c>
      <c r="AF508" s="131">
        <f t="shared" ca="1" si="35"/>
        <v>-59240105.610222332</v>
      </c>
      <c r="AG508" s="131">
        <f t="shared" ca="1" si="36"/>
        <v>23948288.897612002</v>
      </c>
      <c r="AI508" s="131">
        <f t="shared" si="37"/>
        <v>-89134108.75336495</v>
      </c>
      <c r="AJ508" s="31">
        <f t="shared" si="38"/>
        <v>178525.36130825841</v>
      </c>
    </row>
    <row r="509" spans="15:36">
      <c r="O509" s="15">
        <v>506</v>
      </c>
      <c r="P509" s="33">
        <v>3844288.0523877367</v>
      </c>
      <c r="Q509" s="33">
        <v>88705755.402301177</v>
      </c>
      <c r="R509" s="146">
        <v>-84861467.349913448</v>
      </c>
      <c r="S509" s="31">
        <v>122470.87483992925</v>
      </c>
      <c r="T509" s="31">
        <v>10208.255903641701</v>
      </c>
      <c r="U509" s="142">
        <v>112262.61893628756</v>
      </c>
      <c r="AE509" s="137">
        <f t="shared" si="39"/>
        <v>3.1730085801257135</v>
      </c>
      <c r="AF509" s="131">
        <f t="shared" ca="1" si="35"/>
        <v>-59244348.542387441</v>
      </c>
      <c r="AG509" s="131">
        <f t="shared" ca="1" si="36"/>
        <v>23944702.995098699</v>
      </c>
      <c r="AI509" s="131">
        <f t="shared" si="37"/>
        <v>-84861467.349913448</v>
      </c>
      <c r="AJ509" s="31">
        <f t="shared" si="38"/>
        <v>112262.61893628756</v>
      </c>
    </row>
    <row r="510" spans="15:36">
      <c r="O510" s="15">
        <v>507</v>
      </c>
      <c r="P510" s="33">
        <v>3148893.9900885387</v>
      </c>
      <c r="Q510" s="33">
        <v>79956503.204601973</v>
      </c>
      <c r="R510" s="146">
        <v>-76807609.214513436</v>
      </c>
      <c r="S510" s="31">
        <v>52140.656268419662</v>
      </c>
      <c r="T510" s="31">
        <v>9701.1866616009647</v>
      </c>
      <c r="U510" s="142">
        <v>42439.469606818697</v>
      </c>
      <c r="AE510" s="137">
        <f t="shared" si="39"/>
        <v>3.1792917654328932</v>
      </c>
      <c r="AF510" s="131">
        <f t="shared" ca="1" si="35"/>
        <v>-59249533.315416992</v>
      </c>
      <c r="AG510" s="131">
        <f t="shared" ca="1" si="36"/>
        <v>23940175.121998198</v>
      </c>
      <c r="AI510" s="131">
        <f t="shared" si="37"/>
        <v>-76807609.214513436</v>
      </c>
      <c r="AJ510" s="31">
        <f t="shared" si="38"/>
        <v>42439.469606818697</v>
      </c>
    </row>
    <row r="511" spans="15:36">
      <c r="O511" s="15">
        <v>508</v>
      </c>
      <c r="P511" s="33">
        <v>3963922.6079062568</v>
      </c>
      <c r="Q511" s="33">
        <v>85616438.217366725</v>
      </c>
      <c r="R511" s="146">
        <v>-81652515.609460473</v>
      </c>
      <c r="S511" s="31">
        <v>61525.716092890623</v>
      </c>
      <c r="T511" s="31">
        <v>13782.270301613031</v>
      </c>
      <c r="U511" s="142">
        <v>47743.445791277591</v>
      </c>
      <c r="AE511" s="137">
        <f t="shared" si="39"/>
        <v>3.1855749507400728</v>
      </c>
      <c r="AF511" s="131">
        <f t="shared" ca="1" si="35"/>
        <v>-59255659.724625029</v>
      </c>
      <c r="AG511" s="131">
        <f t="shared" ca="1" si="36"/>
        <v>23934705.457063168</v>
      </c>
      <c r="AI511" s="131">
        <f t="shared" si="37"/>
        <v>-81652515.609460473</v>
      </c>
      <c r="AJ511" s="31">
        <f t="shared" si="38"/>
        <v>47743.445791277591</v>
      </c>
    </row>
    <row r="512" spans="15:36">
      <c r="O512" s="15">
        <v>509</v>
      </c>
      <c r="P512" s="33">
        <v>3646066.9892124431</v>
      </c>
      <c r="Q512" s="33">
        <v>88220401.262215585</v>
      </c>
      <c r="R512" s="146">
        <v>-84574334.273003146</v>
      </c>
      <c r="S512" s="31">
        <v>48782.068520913213</v>
      </c>
      <c r="T512" s="31">
        <v>13194.798406727587</v>
      </c>
      <c r="U512" s="142">
        <v>35587.270114185623</v>
      </c>
      <c r="AE512" s="137">
        <f t="shared" si="39"/>
        <v>3.1918581360472524</v>
      </c>
      <c r="AF512" s="131">
        <f t="shared" ca="1" si="35"/>
        <v>-59262727.5281514</v>
      </c>
      <c r="AG512" s="131">
        <f t="shared" ca="1" si="36"/>
        <v>23928294.216226622</v>
      </c>
      <c r="AI512" s="131">
        <f t="shared" si="37"/>
        <v>-84574334.273003146</v>
      </c>
      <c r="AJ512" s="31">
        <f t="shared" si="38"/>
        <v>35587.270114185623</v>
      </c>
    </row>
    <row r="513" spans="15:36">
      <c r="O513" s="15">
        <v>510</v>
      </c>
      <c r="P513" s="33">
        <v>3443669.4816602189</v>
      </c>
      <c r="Q513" s="33">
        <v>90716047.125706643</v>
      </c>
      <c r="R513" s="146">
        <v>-87272377.644046426</v>
      </c>
      <c r="S513" s="31">
        <v>102901.37239825266</v>
      </c>
      <c r="T513" s="31">
        <v>7441.4195760250241</v>
      </c>
      <c r="U513" s="142">
        <v>95459.952822227628</v>
      </c>
      <c r="AE513" s="137">
        <f t="shared" si="39"/>
        <v>3.1981413213544321</v>
      </c>
      <c r="AF513" s="131">
        <f t="shared" ca="1" si="35"/>
        <v>-59270736.446971335</v>
      </c>
      <c r="AG513" s="131">
        <f t="shared" ca="1" si="36"/>
        <v>23920941.652593363</v>
      </c>
      <c r="AI513" s="131">
        <f t="shared" si="37"/>
        <v>-87272377.644046426</v>
      </c>
      <c r="AJ513" s="31">
        <f t="shared" si="38"/>
        <v>95459.952822227628</v>
      </c>
    </row>
    <row r="514" spans="15:36">
      <c r="O514" s="15">
        <v>511</v>
      </c>
      <c r="P514" s="33">
        <v>2981055.1779118665</v>
      </c>
      <c r="Q514" s="33">
        <v>106757488.35850209</v>
      </c>
      <c r="R514" s="146">
        <v>-103776433.18059023</v>
      </c>
      <c r="S514" s="31">
        <v>42914.441959018863</v>
      </c>
      <c r="T514" s="31">
        <v>9653.9664553815201</v>
      </c>
      <c r="U514" s="142">
        <v>33260.475503637339</v>
      </c>
      <c r="AE514" s="137">
        <f t="shared" si="39"/>
        <v>3.2044245066616117</v>
      </c>
      <c r="AF514" s="131">
        <f t="shared" ca="1" si="35"/>
        <v>-59279686.16490642</v>
      </c>
      <c r="AG514" s="131">
        <f t="shared" ca="1" si="36"/>
        <v>23912648.056430016</v>
      </c>
      <c r="AI514" s="131">
        <f t="shared" si="37"/>
        <v>-103776433.18059023</v>
      </c>
      <c r="AJ514" s="31">
        <f t="shared" si="38"/>
        <v>33260.475503637339</v>
      </c>
    </row>
    <row r="515" spans="15:36">
      <c r="O515" s="15">
        <v>512</v>
      </c>
      <c r="P515" s="33">
        <v>3359612.2016563411</v>
      </c>
      <c r="Q515" s="33">
        <v>94148562.879953101</v>
      </c>
      <c r="R515" s="146">
        <v>-90788950.67829676</v>
      </c>
      <c r="S515" s="31">
        <v>109403.0880225791</v>
      </c>
      <c r="T515" s="31">
        <v>9181.5061328252013</v>
      </c>
      <c r="U515" s="142">
        <v>100221.5818897539</v>
      </c>
      <c r="AE515" s="137">
        <f t="shared" si="39"/>
        <v>3.2107076919687914</v>
      </c>
      <c r="AF515" s="131">
        <f t="shared" ca="1" si="35"/>
        <v>-59289576.328637123</v>
      </c>
      <c r="AG515" s="131">
        <f t="shared" ca="1" si="36"/>
        <v>23903413.755153559</v>
      </c>
      <c r="AI515" s="131">
        <f t="shared" si="37"/>
        <v>-90788950.67829676</v>
      </c>
      <c r="AJ515" s="31">
        <f t="shared" si="38"/>
        <v>100221.5818897539</v>
      </c>
    </row>
    <row r="516" spans="15:36">
      <c r="O516" s="15">
        <v>513</v>
      </c>
      <c r="P516" s="33">
        <v>3674967.6773170489</v>
      </c>
      <c r="Q516" s="33">
        <v>93897619.169268101</v>
      </c>
      <c r="R516" s="146">
        <v>-90222651.491951048</v>
      </c>
      <c r="S516" s="31">
        <v>48294.903577225385</v>
      </c>
      <c r="T516" s="31">
        <v>14838.022278064844</v>
      </c>
      <c r="U516" s="142">
        <v>33456.881299160537</v>
      </c>
      <c r="AE516" s="137">
        <f t="shared" si="39"/>
        <v>3.216990877275971</v>
      </c>
      <c r="AF516" s="131">
        <f t="shared" ca="1" si="35"/>
        <v>-59300406.547716707</v>
      </c>
      <c r="AG516" s="131">
        <f t="shared" ca="1" si="36"/>
        <v>23893239.113318399</v>
      </c>
      <c r="AI516" s="131">
        <f t="shared" si="37"/>
        <v>-90222651.491951048</v>
      </c>
      <c r="AJ516" s="31">
        <f t="shared" si="38"/>
        <v>33456.881299160537</v>
      </c>
    </row>
    <row r="517" spans="15:36">
      <c r="O517" s="15">
        <v>514</v>
      </c>
      <c r="P517" s="33">
        <v>3854673.760534822</v>
      </c>
      <c r="Q517" s="33">
        <v>95953271.398420408</v>
      </c>
      <c r="R517" s="146">
        <v>-92098597.637885585</v>
      </c>
      <c r="S517" s="31">
        <v>72679.20847092192</v>
      </c>
      <c r="T517" s="31">
        <v>10077.221859939978</v>
      </c>
      <c r="U517" s="142">
        <v>62601.986610981941</v>
      </c>
      <c r="AE517" s="137">
        <f t="shared" si="39"/>
        <v>3.2232740625831506</v>
      </c>
      <c r="AF517" s="131">
        <f t="shared" ref="AF517:AF580" ca="1" si="40">(AB$25*AC$19*COS(AE517)+AC$25*AC$20*SIN(AE517))+X$9</f>
        <v>-59312176.394586682</v>
      </c>
      <c r="AG517" s="131">
        <f t="shared" ref="AG517:AG580" ca="1" si="41">(AC$26*AC$19*COS(AE517)+AC$26*AC$20*SIN(AE517))+Y$9</f>
        <v>23882124.532601956</v>
      </c>
      <c r="AI517" s="131">
        <f t="shared" ref="AI517:AI580" si="42">R517</f>
        <v>-92098597.637885585</v>
      </c>
      <c r="AJ517" s="31">
        <f t="shared" ref="AJ517:AJ580" si="43">U517</f>
        <v>62601.986610981941</v>
      </c>
    </row>
    <row r="518" spans="15:36">
      <c r="O518" s="15">
        <v>515</v>
      </c>
      <c r="P518" s="33">
        <v>3479556.7314451328</v>
      </c>
      <c r="Q518" s="33">
        <v>91292252.622499719</v>
      </c>
      <c r="R518" s="146">
        <v>-87812695.891054586</v>
      </c>
      <c r="S518" s="31">
        <v>173567.03614861393</v>
      </c>
      <c r="T518" s="31">
        <v>8874.467176781578</v>
      </c>
      <c r="U518" s="142">
        <v>164692.56897183234</v>
      </c>
      <c r="AE518" s="137">
        <f t="shared" si="39"/>
        <v>3.2295572478903303</v>
      </c>
      <c r="AF518" s="131">
        <f t="shared" ca="1" si="40"/>
        <v>-59324885.404593624</v>
      </c>
      <c r="AG518" s="131">
        <f t="shared" ca="1" si="41"/>
        <v>23870070.451788869</v>
      </c>
      <c r="AI518" s="131">
        <f t="shared" si="42"/>
        <v>-87812695.891054586</v>
      </c>
      <c r="AJ518" s="31">
        <f t="shared" si="43"/>
        <v>164692.56897183234</v>
      </c>
    </row>
    <row r="519" spans="15:36">
      <c r="O519" s="15">
        <v>516</v>
      </c>
      <c r="P519" s="33">
        <v>3802329.475290298</v>
      </c>
      <c r="Q519" s="33">
        <v>101692499.38922963</v>
      </c>
      <c r="R519" s="146">
        <v>-97890169.913939327</v>
      </c>
      <c r="S519" s="31">
        <v>33940.648915426529</v>
      </c>
      <c r="T519" s="31">
        <v>10424.348539966995</v>
      </c>
      <c r="U519" s="142">
        <v>23516.300375459534</v>
      </c>
      <c r="AE519" s="137">
        <f t="shared" ref="AE519:AE582" si="44">AE518+AE$5</f>
        <v>3.2358404331975099</v>
      </c>
      <c r="AF519" s="131">
        <f t="shared" ca="1" si="40"/>
        <v>-59338533.076007605</v>
      </c>
      <c r="AG519" s="131">
        <f t="shared" ca="1" si="41"/>
        <v>23857077.346753594</v>
      </c>
      <c r="AI519" s="131">
        <f t="shared" si="42"/>
        <v>-97890169.913939327</v>
      </c>
      <c r="AJ519" s="31">
        <f t="shared" si="43"/>
        <v>23516.300375459534</v>
      </c>
    </row>
    <row r="520" spans="15:36">
      <c r="O520" s="15">
        <v>517</v>
      </c>
      <c r="P520" s="33">
        <v>3307954.3758383654</v>
      </c>
      <c r="Q520" s="33">
        <v>83667765.565763637</v>
      </c>
      <c r="R520" s="146">
        <v>-80359811.189925268</v>
      </c>
      <c r="S520" s="31">
        <v>61774.849543093158</v>
      </c>
      <c r="T520" s="31">
        <v>7887.1319196650766</v>
      </c>
      <c r="U520" s="142">
        <v>53887.717623428078</v>
      </c>
      <c r="AE520" s="137">
        <f t="shared" si="44"/>
        <v>3.2421236185046896</v>
      </c>
      <c r="AF520" s="131">
        <f t="shared" ca="1" si="40"/>
        <v>-59353118.870041907</v>
      </c>
      <c r="AG520" s="131">
        <f t="shared" ca="1" si="41"/>
        <v>23843145.730441667</v>
      </c>
      <c r="AI520" s="131">
        <f t="shared" si="42"/>
        <v>-80359811.189925268</v>
      </c>
      <c r="AJ520" s="31">
        <f t="shared" si="43"/>
        <v>53887.717623428078</v>
      </c>
    </row>
    <row r="521" spans="15:36">
      <c r="O521" s="15">
        <v>518</v>
      </c>
      <c r="P521" s="33">
        <v>3395470.0389619912</v>
      </c>
      <c r="Q521" s="33">
        <v>85424997.807873055</v>
      </c>
      <c r="R521" s="146">
        <v>-82029527.768911064</v>
      </c>
      <c r="S521" s="31">
        <v>75640.226991926989</v>
      </c>
      <c r="T521" s="31">
        <v>10412.356250698786</v>
      </c>
      <c r="U521" s="142">
        <v>65227.870741228202</v>
      </c>
      <c r="AE521" s="137">
        <f t="shared" si="44"/>
        <v>3.2484068038118692</v>
      </c>
      <c r="AF521" s="131">
        <f t="shared" ca="1" si="40"/>
        <v>-59368642.210874364</v>
      </c>
      <c r="AG521" s="131">
        <f t="shared" ca="1" si="41"/>
        <v>23828276.152849458</v>
      </c>
      <c r="AI521" s="131">
        <f t="shared" si="42"/>
        <v>-82029527.768911064</v>
      </c>
      <c r="AJ521" s="31">
        <f t="shared" si="43"/>
        <v>65227.870741228202</v>
      </c>
    </row>
    <row r="522" spans="15:36">
      <c r="O522" s="15">
        <v>519</v>
      </c>
      <c r="P522" s="33">
        <v>3382629.2386452942</v>
      </c>
      <c r="Q522" s="33">
        <v>95522173.406820416</v>
      </c>
      <c r="R522" s="146">
        <v>-92139544.168175116</v>
      </c>
      <c r="S522" s="31">
        <v>62070.077134170773</v>
      </c>
      <c r="T522" s="31">
        <v>22294.154706040808</v>
      </c>
      <c r="U522" s="142">
        <v>39775.922428129968</v>
      </c>
      <c r="AE522" s="137">
        <f t="shared" si="44"/>
        <v>3.2546899891190488</v>
      </c>
      <c r="AF522" s="131">
        <f t="shared" ca="1" si="40"/>
        <v>-59385102.48567006</v>
      </c>
      <c r="AG522" s="131">
        <f t="shared" ca="1" si="41"/>
        <v>23812469.201002423</v>
      </c>
      <c r="AI522" s="131">
        <f t="shared" si="42"/>
        <v>-92139544.168175116</v>
      </c>
      <c r="AJ522" s="31">
        <f t="shared" si="43"/>
        <v>39775.922428129968</v>
      </c>
    </row>
    <row r="523" spans="15:36">
      <c r="O523" s="15">
        <v>520</v>
      </c>
      <c r="P523" s="33">
        <v>3253805.7819936574</v>
      </c>
      <c r="Q523" s="33">
        <v>98599483.426519841</v>
      </c>
      <c r="R523" s="146">
        <v>-95345677.644526184</v>
      </c>
      <c r="S523" s="31">
        <v>67586.563438327328</v>
      </c>
      <c r="T523" s="31">
        <v>10100.120946181982</v>
      </c>
      <c r="U523" s="142">
        <v>57486.442492145346</v>
      </c>
      <c r="AE523" s="137">
        <f t="shared" si="44"/>
        <v>3.2609731744262285</v>
      </c>
      <c r="AF523" s="131">
        <f t="shared" ca="1" si="40"/>
        <v>-59402499.044605523</v>
      </c>
      <c r="AG523" s="131">
        <f t="shared" ca="1" si="41"/>
        <v>23795725.498931952</v>
      </c>
      <c r="AI523" s="131">
        <f t="shared" si="42"/>
        <v>-95345677.644526184</v>
      </c>
      <c r="AJ523" s="31">
        <f t="shared" si="43"/>
        <v>57486.442492145346</v>
      </c>
    </row>
    <row r="524" spans="15:36">
      <c r="O524" s="15">
        <v>521</v>
      </c>
      <c r="P524" s="33">
        <v>3306127.53717543</v>
      </c>
      <c r="Q524" s="33">
        <v>82576623.681849077</v>
      </c>
      <c r="R524" s="146">
        <v>-79270496.144673645</v>
      </c>
      <c r="S524" s="31">
        <v>81536.252125190615</v>
      </c>
      <c r="T524" s="31">
        <v>9643.8224421530413</v>
      </c>
      <c r="U524" s="142">
        <v>71892.429683037568</v>
      </c>
      <c r="AE524" s="137">
        <f t="shared" si="44"/>
        <v>3.2672563597334081</v>
      </c>
      <c r="AF524" s="131">
        <f t="shared" ca="1" si="40"/>
        <v>-59420831.200894408</v>
      </c>
      <c r="AG524" s="131">
        <f t="shared" ca="1" si="41"/>
        <v>23778045.707650736</v>
      </c>
      <c r="AI524" s="131">
        <f t="shared" si="42"/>
        <v>-79270496.144673645</v>
      </c>
      <c r="AJ524" s="31">
        <f t="shared" si="43"/>
        <v>71892.429683037568</v>
      </c>
    </row>
    <row r="525" spans="15:36">
      <c r="O525" s="15">
        <v>522</v>
      </c>
      <c r="P525" s="33">
        <v>3321533.6845570044</v>
      </c>
      <c r="Q525" s="33">
        <v>89482125.176618889</v>
      </c>
      <c r="R525" s="146">
        <v>-86160591.492061883</v>
      </c>
      <c r="S525" s="31">
        <v>127097.01558355254</v>
      </c>
      <c r="T525" s="31">
        <v>5430.0598567453972</v>
      </c>
      <c r="U525" s="142">
        <v>121666.95572680714</v>
      </c>
      <c r="AE525" s="137">
        <f t="shared" si="44"/>
        <v>3.2735395450405878</v>
      </c>
      <c r="AF525" s="131">
        <f t="shared" ca="1" si="40"/>
        <v>-59440098.230814561</v>
      </c>
      <c r="AG525" s="131">
        <f t="shared" ca="1" si="41"/>
        <v>23759430.52512667</v>
      </c>
      <c r="AI525" s="131">
        <f t="shared" si="42"/>
        <v>-86160591.492061883</v>
      </c>
      <c r="AJ525" s="31">
        <f t="shared" si="43"/>
        <v>121666.95572680714</v>
      </c>
    </row>
    <row r="526" spans="15:36">
      <c r="O526" s="15">
        <v>523</v>
      </c>
      <c r="P526" s="33">
        <v>3700775.4644192336</v>
      </c>
      <c r="Q526" s="33">
        <v>70554207.670387</v>
      </c>
      <c r="R526" s="146">
        <v>-66853432.205967769</v>
      </c>
      <c r="S526" s="31">
        <v>47983.980305822719</v>
      </c>
      <c r="T526" s="31">
        <v>6279.2454063575988</v>
      </c>
      <c r="U526" s="142">
        <v>41704.734899465118</v>
      </c>
      <c r="AE526" s="137">
        <f t="shared" si="44"/>
        <v>3.2798227303477674</v>
      </c>
      <c r="AF526" s="131">
        <f t="shared" ca="1" si="40"/>
        <v>-59460299.373736642</v>
      </c>
      <c r="AG526" s="131">
        <f t="shared" ca="1" si="41"/>
        <v>23739880.686255269</v>
      </c>
      <c r="AI526" s="131">
        <f t="shared" si="42"/>
        <v>-66853432.205967769</v>
      </c>
      <c r="AJ526" s="31">
        <f t="shared" si="43"/>
        <v>41704.734899465118</v>
      </c>
    </row>
    <row r="527" spans="15:36">
      <c r="O527" s="15">
        <v>524</v>
      </c>
      <c r="P527" s="33">
        <v>3361025.5544387354</v>
      </c>
      <c r="Q527" s="33">
        <v>96824494.323230356</v>
      </c>
      <c r="R527" s="146">
        <v>-93463468.768791616</v>
      </c>
      <c r="S527" s="31">
        <v>80279.291496652455</v>
      </c>
      <c r="T527" s="31">
        <v>11607.582242479708</v>
      </c>
      <c r="U527" s="142">
        <v>68671.709254172747</v>
      </c>
      <c r="AE527" s="137">
        <f t="shared" si="44"/>
        <v>3.286105915654947</v>
      </c>
      <c r="AF527" s="131">
        <f t="shared" ca="1" si="40"/>
        <v>-59481433.83215411</v>
      </c>
      <c r="AG527" s="131">
        <f t="shared" ca="1" si="41"/>
        <v>23719396.962830711</v>
      </c>
      <c r="AI527" s="131">
        <f t="shared" si="42"/>
        <v>-93463468.768791616</v>
      </c>
      <c r="AJ527" s="31">
        <f t="shared" si="43"/>
        <v>68671.709254172747</v>
      </c>
    </row>
    <row r="528" spans="15:36">
      <c r="O528" s="15">
        <v>525</v>
      </c>
      <c r="P528" s="33">
        <v>3215156.470752887</v>
      </c>
      <c r="Q528" s="33">
        <v>91262061.007774696</v>
      </c>
      <c r="R528" s="146">
        <v>-88046904.537021816</v>
      </c>
      <c r="S528" s="31">
        <v>71877.259463995666</v>
      </c>
      <c r="T528" s="31">
        <v>8311.3908903483043</v>
      </c>
      <c r="U528" s="142">
        <v>63565.868573647364</v>
      </c>
      <c r="AE528" s="137">
        <f t="shared" si="44"/>
        <v>3.2923891009621267</v>
      </c>
      <c r="AF528" s="131">
        <f t="shared" ca="1" si="40"/>
        <v>-59503500.77171474</v>
      </c>
      <c r="AG528" s="131">
        <f t="shared" ca="1" si="41"/>
        <v>23697980.163515314</v>
      </c>
      <c r="AI528" s="131">
        <f t="shared" si="42"/>
        <v>-88046904.537021816</v>
      </c>
      <c r="AJ528" s="31">
        <f t="shared" si="43"/>
        <v>63565.868573647364</v>
      </c>
    </row>
    <row r="529" spans="15:36">
      <c r="O529" s="15">
        <v>526</v>
      </c>
      <c r="P529" s="33">
        <v>3008504.60602393</v>
      </c>
      <c r="Q529" s="33">
        <v>84443030.831831425</v>
      </c>
      <c r="R529" s="146">
        <v>-81434526.225807488</v>
      </c>
      <c r="S529" s="31">
        <v>84398.208935050716</v>
      </c>
      <c r="T529" s="31">
        <v>10944.889525953917</v>
      </c>
      <c r="U529" s="142">
        <v>73453.319409096803</v>
      </c>
      <c r="AE529" s="137">
        <f t="shared" si="44"/>
        <v>3.2986722862693063</v>
      </c>
      <c r="AF529" s="131">
        <f t="shared" ca="1" si="40"/>
        <v>-59526499.321253538</v>
      </c>
      <c r="AG529" s="131">
        <f t="shared" ca="1" si="41"/>
        <v>23675631.133807652</v>
      </c>
      <c r="AI529" s="131">
        <f t="shared" si="42"/>
        <v>-81434526.225807488</v>
      </c>
      <c r="AJ529" s="31">
        <f t="shared" si="43"/>
        <v>73453.319409096803</v>
      </c>
    </row>
    <row r="530" spans="15:36">
      <c r="O530" s="15">
        <v>527</v>
      </c>
      <c r="P530" s="33">
        <v>3825111.6019735811</v>
      </c>
      <c r="Q530" s="33">
        <v>93122445.601092502</v>
      </c>
      <c r="R530" s="146">
        <v>-89297333.999118924</v>
      </c>
      <c r="S530" s="31">
        <v>29626.303617357</v>
      </c>
      <c r="T530" s="31">
        <v>11277.371333150686</v>
      </c>
      <c r="U530" s="142">
        <v>18348.932284206312</v>
      </c>
      <c r="AE530" s="137">
        <f t="shared" si="44"/>
        <v>3.3049554715764859</v>
      </c>
      <c r="AF530" s="131">
        <f t="shared" ca="1" si="40"/>
        <v>-59550428.572827153</v>
      </c>
      <c r="AG530" s="131">
        <f t="shared" ca="1" si="41"/>
        <v>23652350.756009143</v>
      </c>
      <c r="AI530" s="131">
        <f t="shared" si="42"/>
        <v>-89297333.999118924</v>
      </c>
      <c r="AJ530" s="31">
        <f t="shared" si="43"/>
        <v>18348.932284206312</v>
      </c>
    </row>
    <row r="531" spans="15:36">
      <c r="O531" s="15">
        <v>528</v>
      </c>
      <c r="P531" s="33">
        <v>3216508.6190876635</v>
      </c>
      <c r="Q531" s="33">
        <v>79387870.304977894</v>
      </c>
      <c r="R531" s="146">
        <v>-76171361.685890228</v>
      </c>
      <c r="S531" s="31">
        <v>109627.48289157213</v>
      </c>
      <c r="T531" s="31">
        <v>11547.699542102597</v>
      </c>
      <c r="U531" s="142">
        <v>98079.783349469537</v>
      </c>
      <c r="AE531" s="137">
        <f t="shared" si="44"/>
        <v>3.3112386568836656</v>
      </c>
      <c r="AF531" s="131">
        <f t="shared" ca="1" si="40"/>
        <v>-59575287.581749707</v>
      </c>
      <c r="AG531" s="131">
        <f t="shared" ca="1" si="41"/>
        <v>23628139.949189246</v>
      </c>
      <c r="AI531" s="131">
        <f t="shared" si="42"/>
        <v>-76171361.685890228</v>
      </c>
      <c r="AJ531" s="31">
        <f t="shared" si="43"/>
        <v>98079.783349469537</v>
      </c>
    </row>
    <row r="532" spans="15:36">
      <c r="O532" s="15">
        <v>529</v>
      </c>
      <c r="P532" s="33">
        <v>3216465.861697691</v>
      </c>
      <c r="Q532" s="33">
        <v>85978802.595983371</v>
      </c>
      <c r="R532" s="146">
        <v>-82762336.734285682</v>
      </c>
      <c r="S532" s="31">
        <v>54865.08852201431</v>
      </c>
      <c r="T532" s="31">
        <v>14419.348870779188</v>
      </c>
      <c r="U532" s="142">
        <v>40445.739651235126</v>
      </c>
      <c r="AE532" s="137">
        <f t="shared" si="44"/>
        <v>3.3175218421908452</v>
      </c>
      <c r="AF532" s="131">
        <f t="shared" ca="1" si="40"/>
        <v>-59601075.366630085</v>
      </c>
      <c r="AG532" s="131">
        <f t="shared" ca="1" si="41"/>
        <v>23602999.669149149</v>
      </c>
      <c r="AI532" s="131">
        <f t="shared" si="42"/>
        <v>-82762336.734285682</v>
      </c>
      <c r="AJ532" s="31">
        <f t="shared" si="43"/>
        <v>40445.739651235126</v>
      </c>
    </row>
    <row r="533" spans="15:36">
      <c r="O533" s="15">
        <v>530</v>
      </c>
      <c r="P533" s="33">
        <v>3109683.0467171352</v>
      </c>
      <c r="Q533" s="33">
        <v>86247953.043693066</v>
      </c>
      <c r="R533" s="146">
        <v>-83138269.996975929</v>
      </c>
      <c r="S533" s="31">
        <v>104357.66005205832</v>
      </c>
      <c r="T533" s="31">
        <v>15235.153209022099</v>
      </c>
      <c r="U533" s="142">
        <v>89122.506843036215</v>
      </c>
      <c r="AE533" s="137">
        <f t="shared" si="44"/>
        <v>3.3238050274980249</v>
      </c>
      <c r="AF533" s="131">
        <f t="shared" ca="1" si="40"/>
        <v>-59627790.9094107</v>
      </c>
      <c r="AG533" s="131">
        <f t="shared" ca="1" si="41"/>
        <v>23576930.908384074</v>
      </c>
      <c r="AI533" s="131">
        <f t="shared" si="42"/>
        <v>-83138269.996975929</v>
      </c>
      <c r="AJ533" s="31">
        <f t="shared" si="43"/>
        <v>89122.506843036215</v>
      </c>
    </row>
    <row r="534" spans="15:36">
      <c r="O534" s="15">
        <v>531</v>
      </c>
      <c r="P534" s="33">
        <v>3248710.4329550937</v>
      </c>
      <c r="Q534" s="33">
        <v>75882047.497713625</v>
      </c>
      <c r="R534" s="146">
        <v>-72633337.064758539</v>
      </c>
      <c r="S534" s="31">
        <v>81384.64577395533</v>
      </c>
      <c r="T534" s="31">
        <v>20263.015263024587</v>
      </c>
      <c r="U534" s="142">
        <v>61121.630510930743</v>
      </c>
      <c r="AE534" s="137">
        <f t="shared" si="44"/>
        <v>3.3300882128052045</v>
      </c>
      <c r="AF534" s="131">
        <f t="shared" ca="1" si="40"/>
        <v>-59655433.155407675</v>
      </c>
      <c r="AG534" s="131">
        <f t="shared" ca="1" si="41"/>
        <v>23549934.69604405</v>
      </c>
      <c r="AI534" s="131">
        <f t="shared" si="42"/>
        <v>-72633337.064758539</v>
      </c>
      <c r="AJ534" s="31">
        <f t="shared" si="43"/>
        <v>61121.630510930743</v>
      </c>
    </row>
    <row r="535" spans="15:36">
      <c r="O535" s="15">
        <v>532</v>
      </c>
      <c r="P535" s="33">
        <v>3553711.0609921115</v>
      </c>
      <c r="Q535" s="33">
        <v>79955468.616067037</v>
      </c>
      <c r="R535" s="146">
        <v>-76401757.55507493</v>
      </c>
      <c r="S535" s="31">
        <v>98768.990843181542</v>
      </c>
      <c r="T535" s="31">
        <v>10712.805984870862</v>
      </c>
      <c r="U535" s="142">
        <v>88056.184858310677</v>
      </c>
      <c r="AE535" s="137">
        <f t="shared" si="44"/>
        <v>3.3363713981123841</v>
      </c>
      <c r="AF535" s="131">
        <f t="shared" ca="1" si="40"/>
        <v>-59684001.013352454</v>
      </c>
      <c r="AG535" s="131">
        <f t="shared" ca="1" si="41"/>
        <v>23522012.09789332</v>
      </c>
      <c r="AI535" s="131">
        <f t="shared" si="42"/>
        <v>-76401757.55507493</v>
      </c>
      <c r="AJ535" s="31">
        <f t="shared" si="43"/>
        <v>88056.184858310677</v>
      </c>
    </row>
    <row r="536" spans="15:36">
      <c r="O536" s="15">
        <v>533</v>
      </c>
      <c r="P536" s="33">
        <v>2942298.6072086971</v>
      </c>
      <c r="Q536" s="33">
        <v>83906957.833991796</v>
      </c>
      <c r="R536" s="146">
        <v>-80964659.226783097</v>
      </c>
      <c r="S536" s="31">
        <v>117668.20853512888</v>
      </c>
      <c r="T536" s="31">
        <v>14296.548240746397</v>
      </c>
      <c r="U536" s="142">
        <v>103371.66029438248</v>
      </c>
      <c r="AE536" s="137">
        <f t="shared" si="44"/>
        <v>3.3426545834195638</v>
      </c>
      <c r="AF536" s="131">
        <f t="shared" ca="1" si="40"/>
        <v>-59713493.355434939</v>
      </c>
      <c r="AG536" s="131">
        <f t="shared" ca="1" si="41"/>
        <v>23493164.216268241</v>
      </c>
      <c r="AI536" s="131">
        <f t="shared" si="42"/>
        <v>-80964659.226783097</v>
      </c>
      <c r="AJ536" s="31">
        <f t="shared" si="43"/>
        <v>103371.66029438248</v>
      </c>
    </row>
    <row r="537" spans="15:36">
      <c r="O537" s="15">
        <v>534</v>
      </c>
      <c r="P537" s="33">
        <v>3052283.8445493728</v>
      </c>
      <c r="Q537" s="33">
        <v>76718321.441302508</v>
      </c>
      <c r="R537" s="146">
        <v>-73666037.596753135</v>
      </c>
      <c r="S537" s="31">
        <v>82472.051800924353</v>
      </c>
      <c r="T537" s="31">
        <v>26069.457322477119</v>
      </c>
      <c r="U537" s="142">
        <v>56402.594478447238</v>
      </c>
      <c r="AE537" s="137">
        <f t="shared" si="44"/>
        <v>3.3489377687267434</v>
      </c>
      <c r="AF537" s="131">
        <f t="shared" ca="1" si="40"/>
        <v>-59743909.017347947</v>
      </c>
      <c r="AG537" s="131">
        <f t="shared" ca="1" si="41"/>
        <v>23463392.19003379</v>
      </c>
      <c r="AI537" s="131">
        <f t="shared" si="42"/>
        <v>-73666037.596753135</v>
      </c>
      <c r="AJ537" s="31">
        <f t="shared" si="43"/>
        <v>56402.594478447238</v>
      </c>
    </row>
    <row r="538" spans="15:36">
      <c r="O538" s="15">
        <v>535</v>
      </c>
      <c r="P538" s="33">
        <v>3410317.0816626218</v>
      </c>
      <c r="Q538" s="33">
        <v>85874216.270692959</v>
      </c>
      <c r="R538" s="146">
        <v>-82463899.189030334</v>
      </c>
      <c r="S538" s="31">
        <v>55813.176144942576</v>
      </c>
      <c r="T538" s="31">
        <v>12627.500523106435</v>
      </c>
      <c r="U538" s="142">
        <v>43185.675621836141</v>
      </c>
      <c r="AE538" s="137">
        <f t="shared" si="44"/>
        <v>3.3552209540339231</v>
      </c>
      <c r="AF538" s="131">
        <f t="shared" ca="1" si="40"/>
        <v>-59775246.798333243</v>
      </c>
      <c r="AG538" s="131">
        <f t="shared" ca="1" si="41"/>
        <v>23432697.194538586</v>
      </c>
      <c r="AI538" s="131">
        <f t="shared" si="42"/>
        <v>-82463899.189030334</v>
      </c>
      <c r="AJ538" s="31">
        <f t="shared" si="43"/>
        <v>43185.675621836141</v>
      </c>
    </row>
    <row r="539" spans="15:36">
      <c r="O539" s="15">
        <v>536</v>
      </c>
      <c r="P539" s="33">
        <v>3712465.0966591206</v>
      </c>
      <c r="Q539" s="33">
        <v>96006956.458353713</v>
      </c>
      <c r="R539" s="146">
        <v>-92294491.361694589</v>
      </c>
      <c r="S539" s="31">
        <v>147371.50946758405</v>
      </c>
      <c r="T539" s="31">
        <v>4281.8453626953797</v>
      </c>
      <c r="U539" s="142">
        <v>143089.66410488868</v>
      </c>
      <c r="AE539" s="137">
        <f t="shared" si="44"/>
        <v>3.3615041393411027</v>
      </c>
      <c r="AF539" s="131">
        <f t="shared" ca="1" si="40"/>
        <v>-59807505.461228877</v>
      </c>
      <c r="AG539" s="131">
        <f t="shared" ca="1" si="41"/>
        <v>23401080.441568494</v>
      </c>
      <c r="AI539" s="131">
        <f t="shared" si="42"/>
        <v>-92294491.361694589</v>
      </c>
      <c r="AJ539" s="31">
        <f t="shared" si="43"/>
        <v>143089.66410488868</v>
      </c>
    </row>
    <row r="540" spans="15:36">
      <c r="O540" s="15">
        <v>537</v>
      </c>
      <c r="P540" s="33">
        <v>3289376.9430258009</v>
      </c>
      <c r="Q540" s="33">
        <v>72687019.066349685</v>
      </c>
      <c r="R540" s="146">
        <v>-69397642.123323888</v>
      </c>
      <c r="S540" s="31">
        <v>53247.46606232717</v>
      </c>
      <c r="T540" s="31">
        <v>15342.376753233824</v>
      </c>
      <c r="U540" s="142">
        <v>37905.089309093346</v>
      </c>
      <c r="AE540" s="137">
        <f t="shared" si="44"/>
        <v>3.3677873246482823</v>
      </c>
      <c r="AF540" s="131">
        <f t="shared" ca="1" si="40"/>
        <v>-59840683.732518077</v>
      </c>
      <c r="AG540" s="131">
        <f t="shared" ca="1" si="41"/>
        <v>23368543.179298773</v>
      </c>
      <c r="AI540" s="131">
        <f t="shared" si="42"/>
        <v>-69397642.123323888</v>
      </c>
      <c r="AJ540" s="31">
        <f t="shared" si="43"/>
        <v>37905.089309093346</v>
      </c>
    </row>
    <row r="541" spans="15:36">
      <c r="O541" s="15">
        <v>538</v>
      </c>
      <c r="P541" s="33">
        <v>3508932.4725728477</v>
      </c>
      <c r="Q541" s="33">
        <v>97662444.06430994</v>
      </c>
      <c r="R541" s="146">
        <v>-94153511.591737092</v>
      </c>
      <c r="S541" s="31">
        <v>123339.884606687</v>
      </c>
      <c r="T541" s="31">
        <v>8980.4619781459005</v>
      </c>
      <c r="U541" s="142">
        <v>114359.4226285411</v>
      </c>
      <c r="AE541" s="137">
        <f t="shared" si="44"/>
        <v>3.374070509955462</v>
      </c>
      <c r="AF541" s="131">
        <f t="shared" ca="1" si="40"/>
        <v>-59874780.302379504</v>
      </c>
      <c r="AG541" s="131">
        <f t="shared" ca="1" si="41"/>
        <v>23335086.692244839</v>
      </c>
      <c r="AI541" s="131">
        <f t="shared" si="42"/>
        <v>-94153511.591737092</v>
      </c>
      <c r="AJ541" s="31">
        <f t="shared" si="43"/>
        <v>114359.4226285411</v>
      </c>
    </row>
    <row r="542" spans="15:36">
      <c r="O542" s="15">
        <v>539</v>
      </c>
      <c r="P542" s="33">
        <v>3318130.7547848606</v>
      </c>
      <c r="Q542" s="33">
        <v>76977107.703243271</v>
      </c>
      <c r="R542" s="146">
        <v>-73658976.948458403</v>
      </c>
      <c r="S542" s="31">
        <v>72619.955259943425</v>
      </c>
      <c r="T542" s="31">
        <v>7656.8653964716977</v>
      </c>
      <c r="U542" s="142">
        <v>64963.08986347173</v>
      </c>
      <c r="AE542" s="137">
        <f t="shared" si="44"/>
        <v>3.3803536952626416</v>
      </c>
      <c r="AF542" s="131">
        <f t="shared" ca="1" si="40"/>
        <v>-59909793.824738964</v>
      </c>
      <c r="AG542" s="131">
        <f t="shared" ca="1" si="41"/>
        <v>23300712.301211506</v>
      </c>
      <c r="AI542" s="131">
        <f t="shared" si="42"/>
        <v>-73658976.948458403</v>
      </c>
      <c r="AJ542" s="31">
        <f t="shared" si="43"/>
        <v>64963.08986347173</v>
      </c>
    </row>
    <row r="543" spans="15:36">
      <c r="O543" s="15">
        <v>540</v>
      </c>
      <c r="P543" s="33">
        <v>2863584.5630366984</v>
      </c>
      <c r="Q543" s="33">
        <v>86167347.911922991</v>
      </c>
      <c r="R543" s="146">
        <v>-83303763.348886296</v>
      </c>
      <c r="S543" s="31">
        <v>82807.244244504021</v>
      </c>
      <c r="T543" s="31">
        <v>14209.620284201257</v>
      </c>
      <c r="U543" s="142">
        <v>68597.623960302764</v>
      </c>
      <c r="AE543" s="137">
        <f t="shared" si="44"/>
        <v>3.3866368805698213</v>
      </c>
      <c r="AF543" s="131">
        <f t="shared" ca="1" si="40"/>
        <v>-59945722.917322546</v>
      </c>
      <c r="AG543" s="131">
        <f t="shared" ca="1" si="41"/>
        <v>23265421.363240875</v>
      </c>
      <c r="AI543" s="131">
        <f t="shared" si="42"/>
        <v>-83303763.348886296</v>
      </c>
      <c r="AJ543" s="31">
        <f t="shared" si="43"/>
        <v>68597.623960302764</v>
      </c>
    </row>
    <row r="544" spans="15:36">
      <c r="O544" s="15">
        <v>541</v>
      </c>
      <c r="P544" s="33">
        <v>3205403.4393017963</v>
      </c>
      <c r="Q544" s="33">
        <v>104631800.68606398</v>
      </c>
      <c r="R544" s="146">
        <v>-101426397.24676219</v>
      </c>
      <c r="S544" s="31">
        <v>65067.319139952771</v>
      </c>
      <c r="T544" s="31">
        <v>9928.4942469124526</v>
      </c>
      <c r="U544" s="142">
        <v>55138.824893040321</v>
      </c>
      <c r="AE544" s="137">
        <f t="shared" si="44"/>
        <v>3.3929200658770009</v>
      </c>
      <c r="AF544" s="131">
        <f t="shared" ca="1" si="40"/>
        <v>-59982566.161711201</v>
      </c>
      <c r="AG544" s="131">
        <f t="shared" ca="1" si="41"/>
        <v>23229215.27155875</v>
      </c>
      <c r="AI544" s="131">
        <f t="shared" si="42"/>
        <v>-101426397.24676219</v>
      </c>
      <c r="AJ544" s="31">
        <f t="shared" si="43"/>
        <v>55138.824893040321</v>
      </c>
    </row>
    <row r="545" spans="15:36">
      <c r="O545" s="15">
        <v>542</v>
      </c>
      <c r="P545" s="33">
        <v>3372004.2641203464</v>
      </c>
      <c r="Q545" s="33">
        <v>94227369.134414434</v>
      </c>
      <c r="R545" s="146">
        <v>-90855364.870294094</v>
      </c>
      <c r="S545" s="31">
        <v>153448.25322875349</v>
      </c>
      <c r="T545" s="31">
        <v>7078.6666863701839</v>
      </c>
      <c r="U545" s="142">
        <v>146369.5865423833</v>
      </c>
      <c r="AE545" s="137">
        <f t="shared" si="44"/>
        <v>3.3992032511841805</v>
      </c>
      <c r="AF545" s="131">
        <f t="shared" ca="1" si="40"/>
        <v>-60020322.103396714</v>
      </c>
      <c r="AG545" s="131">
        <f t="shared" ca="1" si="41"/>
        <v>23192095.455519639</v>
      </c>
      <c r="AI545" s="131">
        <f t="shared" si="42"/>
        <v>-90855364.870294094</v>
      </c>
      <c r="AJ545" s="31">
        <f t="shared" si="43"/>
        <v>146369.5865423833</v>
      </c>
    </row>
    <row r="546" spans="15:36">
      <c r="O546" s="15">
        <v>543</v>
      </c>
      <c r="P546" s="33">
        <v>3159913.7354118838</v>
      </c>
      <c r="Q546" s="33">
        <v>92058084.323375493</v>
      </c>
      <c r="R546" s="146">
        <v>-88898170.587963611</v>
      </c>
      <c r="S546" s="31">
        <v>109168.8614025197</v>
      </c>
      <c r="T546" s="31">
        <v>19859.61165303654</v>
      </c>
      <c r="U546" s="142">
        <v>89309.249749483162</v>
      </c>
      <c r="AE546" s="137">
        <f t="shared" si="44"/>
        <v>3.4054864364913602</v>
      </c>
      <c r="AF546" s="131">
        <f t="shared" ca="1" si="40"/>
        <v>-60058989.251839176</v>
      </c>
      <c r="AG546" s="131">
        <f t="shared" ca="1" si="41"/>
        <v>23154063.380550314</v>
      </c>
      <c r="AI546" s="131">
        <f t="shared" si="42"/>
        <v>-88898170.587963611</v>
      </c>
      <c r="AJ546" s="31">
        <f t="shared" si="43"/>
        <v>89309.249749483162</v>
      </c>
    </row>
    <row r="547" spans="15:36">
      <c r="O547" s="15">
        <v>544</v>
      </c>
      <c r="P547" s="33">
        <v>3454868.5876777777</v>
      </c>
      <c r="Q547" s="33">
        <v>81127439.254363909</v>
      </c>
      <c r="R547" s="146">
        <v>-77672570.666686133</v>
      </c>
      <c r="S547" s="31">
        <v>48284.857119102693</v>
      </c>
      <c r="T547" s="31">
        <v>16226.47895385479</v>
      </c>
      <c r="U547" s="142">
        <v>32058.378165247901</v>
      </c>
      <c r="AE547" s="137">
        <f t="shared" si="44"/>
        <v>3.4117696217985398</v>
      </c>
      <c r="AF547" s="131">
        <f t="shared" ca="1" si="40"/>
        <v>-60098566.080525748</v>
      </c>
      <c r="AG547" s="131">
        <f t="shared" ca="1" si="41"/>
        <v>23115120.548091978</v>
      </c>
      <c r="AI547" s="131">
        <f t="shared" si="42"/>
        <v>-77672570.666686133</v>
      </c>
      <c r="AJ547" s="31">
        <f t="shared" si="43"/>
        <v>32058.378165247901</v>
      </c>
    </row>
    <row r="548" spans="15:36">
      <c r="O548" s="15">
        <v>545</v>
      </c>
      <c r="P548" s="33">
        <v>3621620.3241795404</v>
      </c>
      <c r="Q548" s="33">
        <v>114984443.11927697</v>
      </c>
      <c r="R548" s="146">
        <v>-111362822.79509743</v>
      </c>
      <c r="S548" s="31">
        <v>95857.23671496239</v>
      </c>
      <c r="T548" s="31">
        <v>15748.200465997194</v>
      </c>
      <c r="U548" s="142">
        <v>80109.036248965189</v>
      </c>
      <c r="AE548" s="137">
        <f t="shared" si="44"/>
        <v>3.4180528071057195</v>
      </c>
      <c r="AF548" s="131">
        <f t="shared" ca="1" si="40"/>
        <v>-60139051.027031019</v>
      </c>
      <c r="AG548" s="131">
        <f t="shared" ca="1" si="41"/>
        <v>23075268.495540973</v>
      </c>
      <c r="AI548" s="131">
        <f t="shared" si="42"/>
        <v>-111362822.79509743</v>
      </c>
      <c r="AJ548" s="31">
        <f t="shared" si="43"/>
        <v>80109.036248965189</v>
      </c>
    </row>
    <row r="549" spans="15:36">
      <c r="O549" s="15">
        <v>546</v>
      </c>
      <c r="P549" s="33">
        <v>3322151.5828939648</v>
      </c>
      <c r="Q549" s="33">
        <v>96694715.523893729</v>
      </c>
      <c r="R549" s="146">
        <v>-93372563.940999761</v>
      </c>
      <c r="S549" s="31">
        <v>92314.956743930365</v>
      </c>
      <c r="T549" s="31">
        <v>12838.733145198412</v>
      </c>
      <c r="U549" s="142">
        <v>79476.223598731958</v>
      </c>
      <c r="AE549" s="137">
        <f t="shared" si="44"/>
        <v>3.4243359924128991</v>
      </c>
      <c r="AF549" s="131">
        <f t="shared" ca="1" si="40"/>
        <v>-60180442.493078619</v>
      </c>
      <c r="AG549" s="131">
        <f t="shared" ca="1" si="41"/>
        <v>23034508.796188097</v>
      </c>
      <c r="AI549" s="131">
        <f t="shared" si="42"/>
        <v>-93372563.940999761</v>
      </c>
      <c r="AJ549" s="31">
        <f t="shared" si="43"/>
        <v>79476.223598731958</v>
      </c>
    </row>
    <row r="550" spans="15:36">
      <c r="O550" s="15">
        <v>547</v>
      </c>
      <c r="P550" s="33">
        <v>2841274.2135884929</v>
      </c>
      <c r="Q550" s="33">
        <v>97951012.717083588</v>
      </c>
      <c r="R550" s="146">
        <v>-95109738.503495097</v>
      </c>
      <c r="S550" s="31">
        <v>84162.201428988803</v>
      </c>
      <c r="T550" s="31">
        <v>9678.6764345728061</v>
      </c>
      <c r="U550" s="142">
        <v>74483.524994416002</v>
      </c>
      <c r="AE550" s="137">
        <f t="shared" si="44"/>
        <v>3.4306191777200787</v>
      </c>
      <c r="AF550" s="131">
        <f t="shared" ca="1" si="40"/>
        <v>-60222738.844604343</v>
      </c>
      <c r="AG550" s="131">
        <f t="shared" ca="1" si="41"/>
        <v>22992843.059156489</v>
      </c>
      <c r="AI550" s="131">
        <f t="shared" si="42"/>
        <v>-95109738.503495097</v>
      </c>
      <c r="AJ550" s="31">
        <f t="shared" si="43"/>
        <v>74483.524994416002</v>
      </c>
    </row>
    <row r="551" spans="15:36">
      <c r="O551" s="15">
        <v>548</v>
      </c>
      <c r="P551" s="33">
        <v>3290580.8434214033</v>
      </c>
      <c r="Q551" s="33">
        <v>76773748.258926451</v>
      </c>
      <c r="R551" s="146">
        <v>-73483167.415505052</v>
      </c>
      <c r="S551" s="31">
        <v>73103.293888221117</v>
      </c>
      <c r="T551" s="31">
        <v>12064.613639279198</v>
      </c>
      <c r="U551" s="142">
        <v>61038.680248941921</v>
      </c>
      <c r="AE551" s="137">
        <f t="shared" si="44"/>
        <v>3.4369023630272584</v>
      </c>
      <c r="AF551" s="131">
        <f t="shared" ca="1" si="40"/>
        <v>-60265938.41182065</v>
      </c>
      <c r="AG551" s="131">
        <f t="shared" ca="1" si="41"/>
        <v>22950272.929338101</v>
      </c>
      <c r="AI551" s="131">
        <f t="shared" si="42"/>
        <v>-73483167.415505052</v>
      </c>
      <c r="AJ551" s="31">
        <f t="shared" si="43"/>
        <v>61038.680248941921</v>
      </c>
    </row>
    <row r="552" spans="15:36">
      <c r="O552" s="15">
        <v>549</v>
      </c>
      <c r="P552" s="33">
        <v>2986144.8635912752</v>
      </c>
      <c r="Q552" s="33">
        <v>85179023.128612131</v>
      </c>
      <c r="R552" s="146">
        <v>-82192878.265020862</v>
      </c>
      <c r="S552" s="31">
        <v>86111.067233126741</v>
      </c>
      <c r="T552" s="31">
        <v>14054.936758934036</v>
      </c>
      <c r="U552" s="142">
        <v>72056.130474192702</v>
      </c>
      <c r="AE552" s="137">
        <f t="shared" si="44"/>
        <v>3.443185548334438</v>
      </c>
      <c r="AF552" s="131">
        <f t="shared" ca="1" si="40"/>
        <v>-60310039.489282593</v>
      </c>
      <c r="AG552" s="131">
        <f t="shared" ca="1" si="41"/>
        <v>22906800.087328773</v>
      </c>
      <c r="AI552" s="131">
        <f t="shared" si="42"/>
        <v>-82192878.265020862</v>
      </c>
      <c r="AJ552" s="31">
        <f t="shared" si="43"/>
        <v>72056.130474192702</v>
      </c>
    </row>
    <row r="553" spans="15:36">
      <c r="O553" s="15">
        <v>550</v>
      </c>
      <c r="P553" s="33">
        <v>3776351.0388064468</v>
      </c>
      <c r="Q553" s="33">
        <v>84292555.26837486</v>
      </c>
      <c r="R553" s="146">
        <v>-80516204.229568407</v>
      </c>
      <c r="S553" s="31">
        <v>95493.206647501444</v>
      </c>
      <c r="T553" s="31">
        <v>21760.876773247735</v>
      </c>
      <c r="U553" s="142">
        <v>73732.329874253715</v>
      </c>
      <c r="AE553" s="137">
        <f t="shared" si="44"/>
        <v>3.4494687336416177</v>
      </c>
      <c r="AF553" s="131">
        <f t="shared" ca="1" si="40"/>
        <v>-60355040.335955158</v>
      </c>
      <c r="AG553" s="131">
        <f t="shared" ca="1" si="41"/>
        <v>22862426.249361865</v>
      </c>
      <c r="AI553" s="131">
        <f t="shared" si="42"/>
        <v>-80516204.229568407</v>
      </c>
      <c r="AJ553" s="31">
        <f t="shared" si="43"/>
        <v>73732.329874253715</v>
      </c>
    </row>
    <row r="554" spans="15:36">
      <c r="O554" s="15">
        <v>551</v>
      </c>
      <c r="P554" s="33">
        <v>2828007.1340227704</v>
      </c>
      <c r="Q554" s="33">
        <v>92388881.050153792</v>
      </c>
      <c r="R554" s="146">
        <v>-89560873.91613102</v>
      </c>
      <c r="S554" s="31">
        <v>126727.68352459956</v>
      </c>
      <c r="T554" s="31">
        <v>11405.922127484971</v>
      </c>
      <c r="U554" s="142">
        <v>115321.76139711459</v>
      </c>
      <c r="AE554" s="137">
        <f t="shared" si="44"/>
        <v>3.4557519189487973</v>
      </c>
      <c r="AF554" s="131">
        <f t="shared" ca="1" si="40"/>
        <v>-60400939.175281957</v>
      </c>
      <c r="AG554" s="131">
        <f t="shared" ca="1" si="41"/>
        <v>22817153.167240523</v>
      </c>
      <c r="AI554" s="131">
        <f t="shared" si="42"/>
        <v>-89560873.91613102</v>
      </c>
      <c r="AJ554" s="31">
        <f t="shared" si="43"/>
        <v>115321.76139711459</v>
      </c>
    </row>
    <row r="555" spans="15:36">
      <c r="O555" s="15">
        <v>552</v>
      </c>
      <c r="P555" s="33">
        <v>3499761.6764117293</v>
      </c>
      <c r="Q555" s="33">
        <v>73804482.404489309</v>
      </c>
      <c r="R555" s="146">
        <v>-70304720.728077576</v>
      </c>
      <c r="S555" s="31">
        <v>56641.286675574447</v>
      </c>
      <c r="T555" s="31">
        <v>8190.227710450421</v>
      </c>
      <c r="U555" s="142">
        <v>48451.05896512403</v>
      </c>
      <c r="AE555" s="137">
        <f t="shared" si="44"/>
        <v>3.4620351042559769</v>
      </c>
      <c r="AF555" s="131">
        <f t="shared" ca="1" si="40"/>
        <v>-60447734.195255429</v>
      </c>
      <c r="AG555" s="131">
        <f t="shared" ca="1" si="41"/>
        <v>22770982.628268506</v>
      </c>
      <c r="AI555" s="131">
        <f t="shared" si="42"/>
        <v>-70304720.728077576</v>
      </c>
      <c r="AJ555" s="31">
        <f t="shared" si="43"/>
        <v>48451.05896512403</v>
      </c>
    </row>
    <row r="556" spans="15:36">
      <c r="O556" s="15">
        <v>553</v>
      </c>
      <c r="P556" s="33">
        <v>3760765.3512349585</v>
      </c>
      <c r="Q556" s="33">
        <v>99261749.648888603</v>
      </c>
      <c r="R556" s="146">
        <v>-95500984.297653645</v>
      </c>
      <c r="S556" s="31">
        <v>86385.658807979504</v>
      </c>
      <c r="T556" s="31">
        <v>15871.532993603705</v>
      </c>
      <c r="U556" s="142">
        <v>70514.125814375802</v>
      </c>
      <c r="AE556" s="137">
        <f t="shared" si="44"/>
        <v>3.4683182895631566</v>
      </c>
      <c r="AF556" s="131">
        <f t="shared" ca="1" si="40"/>
        <v>-60495423.548488289</v>
      </c>
      <c r="AG556" s="131">
        <f t="shared" ca="1" si="41"/>
        <v>22723916.455179632</v>
      </c>
      <c r="AI556" s="131">
        <f t="shared" si="42"/>
        <v>-95500984.297653645</v>
      </c>
      <c r="AJ556" s="31">
        <f t="shared" si="43"/>
        <v>70514.125814375802</v>
      </c>
    </row>
    <row r="557" spans="15:36">
      <c r="O557" s="15">
        <v>554</v>
      </c>
      <c r="P557" s="33">
        <v>3341224.6753645092</v>
      </c>
      <c r="Q557" s="33">
        <v>83906808.82543692</v>
      </c>
      <c r="R557" s="146">
        <v>-80565584.150072411</v>
      </c>
      <c r="S557" s="31">
        <v>108882.87463560922</v>
      </c>
      <c r="T557" s="31">
        <v>10935.643775756811</v>
      </c>
      <c r="U557" s="142">
        <v>97947.230859852411</v>
      </c>
      <c r="AE557" s="137">
        <f t="shared" si="44"/>
        <v>3.4746014748703362</v>
      </c>
      <c r="AF557" s="131">
        <f t="shared" ca="1" si="40"/>
        <v>-60544005.35228654</v>
      </c>
      <c r="AG557" s="131">
        <f t="shared" ca="1" si="41"/>
        <v>22675956.506065834</v>
      </c>
      <c r="AI557" s="131">
        <f t="shared" si="42"/>
        <v>-80565584.150072411</v>
      </c>
      <c r="AJ557" s="31">
        <f t="shared" si="43"/>
        <v>97947.230859852411</v>
      </c>
    </row>
    <row r="558" spans="15:36">
      <c r="O558" s="15">
        <v>555</v>
      </c>
      <c r="P558" s="33">
        <v>2903147.9248924362</v>
      </c>
      <c r="Q558" s="33">
        <v>81030178.790465593</v>
      </c>
      <c r="R558" s="146">
        <v>-78127030.865573153</v>
      </c>
      <c r="S558" s="31">
        <v>71384.770889418636</v>
      </c>
      <c r="T558" s="31">
        <v>22810.034102254995</v>
      </c>
      <c r="U558" s="142">
        <v>48574.736787163638</v>
      </c>
      <c r="AE558" s="137">
        <f t="shared" si="44"/>
        <v>3.4808846601775159</v>
      </c>
      <c r="AF558" s="131">
        <f t="shared" ca="1" si="40"/>
        <v>-60593477.68872375</v>
      </c>
      <c r="AG558" s="131">
        <f t="shared" ca="1" si="41"/>
        <v>22627104.674303778</v>
      </c>
      <c r="AI558" s="131">
        <f t="shared" si="42"/>
        <v>-78127030.865573153</v>
      </c>
      <c r="AJ558" s="31">
        <f t="shared" si="43"/>
        <v>48574.736787163638</v>
      </c>
    </row>
    <row r="559" spans="15:36">
      <c r="O559" s="15">
        <v>556</v>
      </c>
      <c r="P559" s="33">
        <v>3787365.5248783859</v>
      </c>
      <c r="Q559" s="33">
        <v>88959337.912715793</v>
      </c>
      <c r="R559" s="146">
        <v>-85171972.38783741</v>
      </c>
      <c r="S559" s="31">
        <v>81218.980494421601</v>
      </c>
      <c r="T559" s="31">
        <v>15499.805254032814</v>
      </c>
      <c r="U559" s="142">
        <v>65719.17524038878</v>
      </c>
      <c r="AE559" s="137">
        <f t="shared" si="44"/>
        <v>3.4871678454846955</v>
      </c>
      <c r="AF559" s="131">
        <f t="shared" ca="1" si="40"/>
        <v>-60643838.604716793</v>
      </c>
      <c r="AG559" s="131">
        <f t="shared" ca="1" si="41"/>
        <v>22577362.888480131</v>
      </c>
      <c r="AI559" s="131">
        <f t="shared" si="42"/>
        <v>-85171972.38783741</v>
      </c>
      <c r="AJ559" s="31">
        <f t="shared" si="43"/>
        <v>65719.17524038878</v>
      </c>
    </row>
    <row r="560" spans="15:36">
      <c r="O560" s="15">
        <v>557</v>
      </c>
      <c r="P560" s="33">
        <v>3193600.2886641421</v>
      </c>
      <c r="Q560" s="33">
        <v>66187192.226298608</v>
      </c>
      <c r="R560" s="146">
        <v>-62993591.937634468</v>
      </c>
      <c r="S560" s="31">
        <v>115785.96406904706</v>
      </c>
      <c r="T560" s="31">
        <v>20114.985167383351</v>
      </c>
      <c r="U560" s="142">
        <v>95670.978901663708</v>
      </c>
      <c r="AE560" s="137">
        <f t="shared" si="44"/>
        <v>3.4934510307918751</v>
      </c>
      <c r="AF560" s="131">
        <f t="shared" ca="1" si="40"/>
        <v>-60695086.112102918</v>
      </c>
      <c r="AG560" s="131">
        <f t="shared" ca="1" si="41"/>
        <v>22526733.112315431</v>
      </c>
      <c r="AI560" s="131">
        <f t="shared" si="42"/>
        <v>-62993591.937634468</v>
      </c>
      <c r="AJ560" s="31">
        <f t="shared" si="43"/>
        <v>95670.978901663708</v>
      </c>
    </row>
    <row r="561" spans="15:36">
      <c r="O561" s="15">
        <v>558</v>
      </c>
      <c r="P561" s="33">
        <v>3291563.9979445846</v>
      </c>
      <c r="Q561" s="33">
        <v>78385396.78014791</v>
      </c>
      <c r="R561" s="146">
        <v>-75093832.782203332</v>
      </c>
      <c r="S561" s="31">
        <v>135828.49935837201</v>
      </c>
      <c r="T561" s="31">
        <v>3604.3799060494171</v>
      </c>
      <c r="U561" s="142">
        <v>132224.1194523226</v>
      </c>
      <c r="AE561" s="137">
        <f t="shared" si="44"/>
        <v>3.4997342160990548</v>
      </c>
      <c r="AF561" s="131">
        <f t="shared" ca="1" si="40"/>
        <v>-60747218.187718302</v>
      </c>
      <c r="AG561" s="131">
        <f t="shared" ca="1" si="41"/>
        <v>22475217.344586547</v>
      </c>
      <c r="AI561" s="131">
        <f t="shared" si="42"/>
        <v>-75093832.782203332</v>
      </c>
      <c r="AJ561" s="31">
        <f t="shared" si="43"/>
        <v>132224.1194523226</v>
      </c>
    </row>
    <row r="562" spans="15:36">
      <c r="O562" s="15">
        <v>559</v>
      </c>
      <c r="P562" s="33">
        <v>2875175.6512093861</v>
      </c>
      <c r="Q562" s="33">
        <v>86789165.356776476</v>
      </c>
      <c r="R562" s="146">
        <v>-83913989.705567092</v>
      </c>
      <c r="S562" s="31">
        <v>72464.086648084354</v>
      </c>
      <c r="T562" s="31">
        <v>8425.601752814684</v>
      </c>
      <c r="U562" s="142">
        <v>64038.48489526967</v>
      </c>
      <c r="AE562" s="137">
        <f t="shared" si="44"/>
        <v>3.5060174014062344</v>
      </c>
      <c r="AF562" s="131">
        <f t="shared" ca="1" si="40"/>
        <v>-60800232.77347786</v>
      </c>
      <c r="AG562" s="131">
        <f t="shared" ca="1" si="41"/>
        <v>22422817.61904778</v>
      </c>
      <c r="AI562" s="131">
        <f t="shared" si="42"/>
        <v>-83913989.705567092</v>
      </c>
      <c r="AJ562" s="31">
        <f t="shared" si="43"/>
        <v>64038.48489526967</v>
      </c>
    </row>
    <row r="563" spans="15:36">
      <c r="O563" s="15">
        <v>560</v>
      </c>
      <c r="P563" s="33">
        <v>2745644.4250867041</v>
      </c>
      <c r="Q563" s="33">
        <v>79400154.992679447</v>
      </c>
      <c r="R563" s="146">
        <v>-76654510.56759274</v>
      </c>
      <c r="S563" s="31">
        <v>76727.678159656134</v>
      </c>
      <c r="T563" s="31">
        <v>12944.495111369944</v>
      </c>
      <c r="U563" s="142">
        <v>63783.183048286191</v>
      </c>
      <c r="AE563" s="137">
        <f t="shared" si="44"/>
        <v>3.5123005867134141</v>
      </c>
      <c r="AF563" s="131">
        <f t="shared" ca="1" si="40"/>
        <v>-60854127.77645652</v>
      </c>
      <c r="AG563" s="131">
        <f t="shared" ca="1" si="41"/>
        <v>22369536.004350569</v>
      </c>
      <c r="AI563" s="131">
        <f t="shared" si="42"/>
        <v>-76654510.56759274</v>
      </c>
      <c r="AJ563" s="31">
        <f t="shared" si="43"/>
        <v>63783.183048286191</v>
      </c>
    </row>
    <row r="564" spans="15:36">
      <c r="O564" s="15">
        <v>561</v>
      </c>
      <c r="P564" s="33">
        <v>3552186.5206419164</v>
      </c>
      <c r="Q564" s="33">
        <v>86534312.985351428</v>
      </c>
      <c r="R564" s="146">
        <v>-82982126.464709505</v>
      </c>
      <c r="S564" s="31">
        <v>22278.149687566976</v>
      </c>
      <c r="T564" s="31">
        <v>9996.788413724571</v>
      </c>
      <c r="U564" s="142">
        <v>12281.361273842405</v>
      </c>
      <c r="AE564" s="137">
        <f t="shared" si="44"/>
        <v>3.5185837720205937</v>
      </c>
      <c r="AF564" s="131">
        <f t="shared" ca="1" si="40"/>
        <v>-60908901.068971843</v>
      </c>
      <c r="AG564" s="131">
        <f t="shared" ca="1" si="41"/>
        <v>22315374.603961833</v>
      </c>
      <c r="AI564" s="131">
        <f t="shared" si="42"/>
        <v>-82982126.464709505</v>
      </c>
      <c r="AJ564" s="31">
        <f t="shared" si="43"/>
        <v>12281.361273842405</v>
      </c>
    </row>
    <row r="565" spans="15:36">
      <c r="O565" s="15">
        <v>562</v>
      </c>
      <c r="P565" s="33">
        <v>3060374.4399429336</v>
      </c>
      <c r="Q565" s="33">
        <v>85595709.034341723</v>
      </c>
      <c r="R565" s="146">
        <v>-82535334.594398797</v>
      </c>
      <c r="S565" s="31">
        <v>136043.10433088135</v>
      </c>
      <c r="T565" s="31">
        <v>8236.90750066894</v>
      </c>
      <c r="U565" s="142">
        <v>127806.19683021242</v>
      </c>
      <c r="AE565" s="137">
        <f t="shared" si="44"/>
        <v>3.5248669573277733</v>
      </c>
      <c r="AF565" s="131">
        <f t="shared" ca="1" si="40"/>
        <v>-60964550.488668032</v>
      </c>
      <c r="AG565" s="131">
        <f t="shared" ca="1" si="41"/>
        <v>22260335.556080919</v>
      </c>
      <c r="AI565" s="131">
        <f t="shared" si="42"/>
        <v>-82535334.594398797</v>
      </c>
      <c r="AJ565" s="31">
        <f t="shared" si="43"/>
        <v>127806.19683021242</v>
      </c>
    </row>
    <row r="566" spans="15:36">
      <c r="O566" s="15">
        <v>563</v>
      </c>
      <c r="P566" s="33">
        <v>3592389.5930329445</v>
      </c>
      <c r="Q566" s="33">
        <v>63054382.076658592</v>
      </c>
      <c r="R566" s="146">
        <v>-59461992.48362565</v>
      </c>
      <c r="S566" s="31">
        <v>90392.184080144143</v>
      </c>
      <c r="T566" s="31">
        <v>10733.96384742119</v>
      </c>
      <c r="U566" s="142">
        <v>79658.220232722961</v>
      </c>
      <c r="AE566" s="137">
        <f t="shared" si="44"/>
        <v>3.531150142634953</v>
      </c>
      <c r="AF566" s="131">
        <f t="shared" ca="1" si="40"/>
        <v>-61021073.838601291</v>
      </c>
      <c r="AG566" s="131">
        <f t="shared" ca="1" si="41"/>
        <v>22204421.033555198</v>
      </c>
      <c r="AI566" s="131">
        <f t="shared" si="42"/>
        <v>-59461992.48362565</v>
      </c>
      <c r="AJ566" s="31">
        <f t="shared" si="43"/>
        <v>79658.220232722961</v>
      </c>
    </row>
    <row r="567" spans="15:36">
      <c r="O567" s="15">
        <v>564</v>
      </c>
      <c r="P567" s="33">
        <v>3430313.0663884738</v>
      </c>
      <c r="Q567" s="33">
        <v>93179256.783788666</v>
      </c>
      <c r="R567" s="146">
        <v>-89748943.717400193</v>
      </c>
      <c r="S567" s="31">
        <v>76146.320047716974</v>
      </c>
      <c r="T567" s="31">
        <v>9539.1983549752331</v>
      </c>
      <c r="U567" s="142">
        <v>66607.121692741741</v>
      </c>
      <c r="AE567" s="137">
        <f t="shared" si="44"/>
        <v>3.5374333279421326</v>
      </c>
      <c r="AF567" s="131">
        <f t="shared" ca="1" si="40"/>
        <v>-61078468.887326539</v>
      </c>
      <c r="AG567" s="131">
        <f t="shared" ca="1" si="41"/>
        <v>22147633.24379427</v>
      </c>
      <c r="AI567" s="131">
        <f t="shared" si="42"/>
        <v>-89748943.717400193</v>
      </c>
      <c r="AJ567" s="31">
        <f t="shared" si="43"/>
        <v>66607.121692741741</v>
      </c>
    </row>
    <row r="568" spans="15:36">
      <c r="O568" s="15">
        <v>565</v>
      </c>
      <c r="P568" s="33">
        <v>2882606.4586426779</v>
      </c>
      <c r="Q568" s="33">
        <v>86086546.619187623</v>
      </c>
      <c r="R568" s="146">
        <v>-83203940.160544947</v>
      </c>
      <c r="S568" s="31">
        <v>100967.36863785188</v>
      </c>
      <c r="T568" s="31">
        <v>10697.065814093283</v>
      </c>
      <c r="U568" s="142">
        <v>90270.302823758597</v>
      </c>
      <c r="AE568" s="137">
        <f t="shared" si="44"/>
        <v>3.5437165132493122</v>
      </c>
      <c r="AF568" s="131">
        <f t="shared" ca="1" si="40"/>
        <v>-61136733.368985519</v>
      </c>
      <c r="AG568" s="131">
        <f t="shared" ca="1" si="41"/>
        <v>22089974.428682849</v>
      </c>
      <c r="AI568" s="131">
        <f t="shared" si="42"/>
        <v>-83203940.160544947</v>
      </c>
      <c r="AJ568" s="31">
        <f t="shared" si="43"/>
        <v>90270.302823758597</v>
      </c>
    </row>
    <row r="569" spans="15:36">
      <c r="O569" s="15">
        <v>566</v>
      </c>
      <c r="P569" s="33">
        <v>3649005.9272768544</v>
      </c>
      <c r="Q569" s="33">
        <v>61603718.612045363</v>
      </c>
      <c r="R569" s="146">
        <v>-57954712.684768505</v>
      </c>
      <c r="S569" s="31">
        <v>204875.78322218373</v>
      </c>
      <c r="T569" s="31">
        <v>9573.180284873546</v>
      </c>
      <c r="U569" s="142">
        <v>195302.60293731018</v>
      </c>
      <c r="AE569" s="137">
        <f t="shared" si="44"/>
        <v>3.5499996985564919</v>
      </c>
      <c r="AF569" s="131">
        <f t="shared" ca="1" si="40"/>
        <v>-61195864.983396284</v>
      </c>
      <c r="AG569" s="131">
        <f t="shared" ca="1" si="41"/>
        <v>22031446.864492219</v>
      </c>
      <c r="AI569" s="131">
        <f t="shared" si="42"/>
        <v>-57954712.684768505</v>
      </c>
      <c r="AJ569" s="31">
        <f t="shared" si="43"/>
        <v>195302.60293731018</v>
      </c>
    </row>
    <row r="570" spans="15:36">
      <c r="O570" s="15">
        <v>567</v>
      </c>
      <c r="P570" s="33">
        <v>3617349.0444325283</v>
      </c>
      <c r="Q570" s="33">
        <v>79313421.029240161</v>
      </c>
      <c r="R570" s="146">
        <v>-75696071.98480764</v>
      </c>
      <c r="S570" s="31">
        <v>28978.579637839473</v>
      </c>
      <c r="T570" s="31">
        <v>15355.252992605338</v>
      </c>
      <c r="U570" s="142">
        <v>13623.326645234136</v>
      </c>
      <c r="AE570" s="137">
        <f t="shared" si="44"/>
        <v>3.5562828838636715</v>
      </c>
      <c r="AF570" s="131">
        <f t="shared" ca="1" si="40"/>
        <v>-61255861.396143936</v>
      </c>
      <c r="AG570" s="131">
        <f t="shared" ca="1" si="41"/>
        <v>21972052.861790404</v>
      </c>
      <c r="AI570" s="131">
        <f t="shared" si="42"/>
        <v>-75696071.98480764</v>
      </c>
      <c r="AJ570" s="31">
        <f t="shared" si="43"/>
        <v>13623.326645234136</v>
      </c>
    </row>
    <row r="571" spans="15:36">
      <c r="O571" s="15">
        <v>568</v>
      </c>
      <c r="P571" s="33">
        <v>3938612.6875922605</v>
      </c>
      <c r="Q571" s="33">
        <v>93846482.195750073</v>
      </c>
      <c r="R571" s="146">
        <v>-89907869.50815782</v>
      </c>
      <c r="S571" s="31">
        <v>99583.301635315802</v>
      </c>
      <c r="T571" s="31">
        <v>9778.784149852092</v>
      </c>
      <c r="U571" s="142">
        <v>89804.517485463715</v>
      </c>
      <c r="AE571" s="137">
        <f t="shared" si="44"/>
        <v>3.5625660691708512</v>
      </c>
      <c r="AF571" s="131">
        <f t="shared" ca="1" si="40"/>
        <v>-61316720.238672823</v>
      </c>
      <c r="AG571" s="131">
        <f t="shared" ca="1" si="41"/>
        <v>21911794.76535093</v>
      </c>
      <c r="AI571" s="131">
        <f t="shared" si="42"/>
        <v>-89907869.50815782</v>
      </c>
      <c r="AJ571" s="31">
        <f t="shared" si="43"/>
        <v>89804.517485463715</v>
      </c>
    </row>
    <row r="572" spans="15:36">
      <c r="O572" s="15">
        <v>569</v>
      </c>
      <c r="P572" s="33">
        <v>3171152.0661082603</v>
      </c>
      <c r="Q572" s="33">
        <v>81245676.015250027</v>
      </c>
      <c r="R572" s="146">
        <v>-78074523.949141771</v>
      </c>
      <c r="S572" s="31">
        <v>102605.12943098125</v>
      </c>
      <c r="T572" s="31">
        <v>16105.671629109453</v>
      </c>
      <c r="U572" s="142">
        <v>86499.457801871802</v>
      </c>
      <c r="AE572" s="137">
        <f t="shared" si="44"/>
        <v>3.5688492544780308</v>
      </c>
      <c r="AF572" s="131">
        <f t="shared" ca="1" si="40"/>
        <v>-61378439.108380057</v>
      </c>
      <c r="AG572" s="131">
        <f t="shared" ca="1" si="41"/>
        <v>21850674.954060268</v>
      </c>
      <c r="AI572" s="131">
        <f t="shared" si="42"/>
        <v>-78074523.949141771</v>
      </c>
      <c r="AJ572" s="31">
        <f t="shared" si="43"/>
        <v>86499.457801871802</v>
      </c>
    </row>
    <row r="573" spans="15:36">
      <c r="O573" s="15">
        <v>570</v>
      </c>
      <c r="P573" s="33">
        <v>3433993.9761968749</v>
      </c>
      <c r="Q573" s="33">
        <v>69464062.297171891</v>
      </c>
      <c r="R573" s="146">
        <v>-66030068.320975013</v>
      </c>
      <c r="S573" s="31">
        <v>63810.040812794476</v>
      </c>
      <c r="T573" s="31">
        <v>10841.26587570009</v>
      </c>
      <c r="U573" s="142">
        <v>52968.774937094386</v>
      </c>
      <c r="AE573" s="137">
        <f t="shared" si="44"/>
        <v>3.5751324397852104</v>
      </c>
      <c r="AF573" s="131">
        <f t="shared" ca="1" si="40"/>
        <v>-61441015.568710335</v>
      </c>
      <c r="AG573" s="131">
        <f t="shared" ca="1" si="41"/>
        <v>21788695.840823915</v>
      </c>
      <c r="AI573" s="131">
        <f t="shared" si="42"/>
        <v>-66030068.320975013</v>
      </c>
      <c r="AJ573" s="31">
        <f t="shared" si="43"/>
        <v>52968.774937094386</v>
      </c>
    </row>
    <row r="574" spans="15:36">
      <c r="O574" s="15">
        <v>571</v>
      </c>
      <c r="P574" s="33">
        <v>3066920.8081586268</v>
      </c>
      <c r="Q574" s="33">
        <v>93513518.626230851</v>
      </c>
      <c r="R574" s="146">
        <v>-90446597.81807223</v>
      </c>
      <c r="S574" s="31">
        <v>108400.14217847938</v>
      </c>
      <c r="T574" s="31">
        <v>10778.483580488666</v>
      </c>
      <c r="U574" s="142">
        <v>97621.65859799071</v>
      </c>
      <c r="AE574" s="137">
        <f t="shared" si="44"/>
        <v>3.5814156250923901</v>
      </c>
      <c r="AF574" s="131">
        <f t="shared" ca="1" si="40"/>
        <v>-61504447.149252161</v>
      </c>
      <c r="AG574" s="131">
        <f t="shared" ca="1" si="41"/>
        <v>21725859.872471131</v>
      </c>
      <c r="AI574" s="131">
        <f t="shared" si="42"/>
        <v>-90446597.81807223</v>
      </c>
      <c r="AJ574" s="31">
        <f t="shared" si="43"/>
        <v>97621.65859799071</v>
      </c>
    </row>
    <row r="575" spans="15:36">
      <c r="O575" s="15">
        <v>572</v>
      </c>
      <c r="P575" s="33">
        <v>3321037.52801758</v>
      </c>
      <c r="Q575" s="33">
        <v>84685082.367609411</v>
      </c>
      <c r="R575" s="146">
        <v>-81364044.839591831</v>
      </c>
      <c r="S575" s="31">
        <v>76694.731868748175</v>
      </c>
      <c r="T575" s="31">
        <v>5072.6966641894614</v>
      </c>
      <c r="U575" s="142">
        <v>71622.035204558721</v>
      </c>
      <c r="AE575" s="137">
        <f t="shared" si="44"/>
        <v>3.5876988103995697</v>
      </c>
      <c r="AF575" s="131">
        <f t="shared" ca="1" si="40"/>
        <v>-61568731.345835336</v>
      </c>
      <c r="AG575" s="131">
        <f t="shared" ca="1" si="41"/>
        <v>21662169.529658359</v>
      </c>
      <c r="AI575" s="131">
        <f t="shared" si="42"/>
        <v>-81364044.839591831</v>
      </c>
      <c r="AJ575" s="31">
        <f t="shared" si="43"/>
        <v>71622.035204558721</v>
      </c>
    </row>
    <row r="576" spans="15:36">
      <c r="O576" s="15">
        <v>573</v>
      </c>
      <c r="P576" s="33">
        <v>3633526.0161698279</v>
      </c>
      <c r="Q576" s="33">
        <v>100527342.20005392</v>
      </c>
      <c r="R576" s="146">
        <v>-96893816.183884084</v>
      </c>
      <c r="S576" s="31">
        <v>161122.0066144201</v>
      </c>
      <c r="T576" s="31">
        <v>19282.498230555761</v>
      </c>
      <c r="U576" s="142">
        <v>141839.50838386433</v>
      </c>
      <c r="AE576" s="137">
        <f t="shared" si="44"/>
        <v>3.5939819957067494</v>
      </c>
      <c r="AF576" s="131">
        <f t="shared" ca="1" si="40"/>
        <v>-61633865.620629862</v>
      </c>
      <c r="AG576" s="131">
        <f t="shared" ca="1" si="41"/>
        <v>21597627.326771274</v>
      </c>
      <c r="AI576" s="131">
        <f t="shared" si="42"/>
        <v>-96893816.183884084</v>
      </c>
      <c r="AJ576" s="31">
        <f t="shared" si="43"/>
        <v>141839.50838386433</v>
      </c>
    </row>
    <row r="577" spans="15:36">
      <c r="O577" s="15">
        <v>574</v>
      </c>
      <c r="P577" s="33">
        <v>3250198.173870584</v>
      </c>
      <c r="Q577" s="33">
        <v>85413578.932847723</v>
      </c>
      <c r="R577" s="146">
        <v>-82163380.758977145</v>
      </c>
      <c r="S577" s="31">
        <v>130011.9197102637</v>
      </c>
      <c r="T577" s="31">
        <v>8030.5866434162172</v>
      </c>
      <c r="U577" s="142">
        <v>121981.33306684748</v>
      </c>
      <c r="AE577" s="137">
        <f t="shared" si="44"/>
        <v>3.600265181013929</v>
      </c>
      <c r="AF577" s="131">
        <f t="shared" ca="1" si="40"/>
        <v>-61699847.402246088</v>
      </c>
      <c r="AG577" s="131">
        <f t="shared" ca="1" si="41"/>
        <v>21532235.811825532</v>
      </c>
      <c r="AI577" s="131">
        <f t="shared" si="42"/>
        <v>-82163380.758977145</v>
      </c>
      <c r="AJ577" s="31">
        <f t="shared" si="43"/>
        <v>121981.33306684748</v>
      </c>
    </row>
    <row r="578" spans="15:36">
      <c r="O578" s="15">
        <v>575</v>
      </c>
      <c r="P578" s="33">
        <v>3205537.4327244218</v>
      </c>
      <c r="Q578" s="33">
        <v>89391895.480895534</v>
      </c>
      <c r="R578" s="146">
        <v>-86186358.048171118</v>
      </c>
      <c r="S578" s="31">
        <v>150821.91544537235</v>
      </c>
      <c r="T578" s="31">
        <v>14720.358441743047</v>
      </c>
      <c r="U578" s="142">
        <v>136101.55700362931</v>
      </c>
      <c r="AE578" s="137">
        <f t="shared" si="44"/>
        <v>3.6065483663211086</v>
      </c>
      <c r="AF578" s="131">
        <f t="shared" ca="1" si="40"/>
        <v>-61766674.085836262</v>
      </c>
      <c r="AG578" s="131">
        <f t="shared" ca="1" si="41"/>
        <v>21465997.566366181</v>
      </c>
      <c r="AI578" s="131">
        <f t="shared" si="42"/>
        <v>-86186358.048171118</v>
      </c>
      <c r="AJ578" s="31">
        <f t="shared" si="43"/>
        <v>136101.55700362931</v>
      </c>
    </row>
    <row r="579" spans="15:36">
      <c r="O579" s="15">
        <v>576</v>
      </c>
      <c r="P579" s="33">
        <v>3491125.7905946239</v>
      </c>
      <c r="Q579" s="33">
        <v>92610960.687498212</v>
      </c>
      <c r="R579" s="146">
        <v>-89119834.896903589</v>
      </c>
      <c r="S579" s="31">
        <v>98197.67809598957</v>
      </c>
      <c r="T579" s="31">
        <v>17060.56209646866</v>
      </c>
      <c r="U579" s="142">
        <v>81137.115999520902</v>
      </c>
      <c r="AE579" s="137">
        <f t="shared" si="44"/>
        <v>3.6128315516282883</v>
      </c>
      <c r="AF579" s="131">
        <f t="shared" ca="1" si="40"/>
        <v>-61834343.033197336</v>
      </c>
      <c r="AG579" s="131">
        <f t="shared" ca="1" si="41"/>
        <v>21398915.205365729</v>
      </c>
      <c r="AI579" s="131">
        <f t="shared" si="42"/>
        <v>-89119834.896903589</v>
      </c>
      <c r="AJ579" s="31">
        <f t="shared" si="43"/>
        <v>81137.115999520902</v>
      </c>
    </row>
    <row r="580" spans="15:36">
      <c r="O580" s="15">
        <v>577</v>
      </c>
      <c r="P580" s="33">
        <v>3703217.7084737415</v>
      </c>
      <c r="Q580" s="33">
        <v>77661719.913872898</v>
      </c>
      <c r="R580" s="146">
        <v>-73958502.205399156</v>
      </c>
      <c r="S580" s="31">
        <v>73315.11178090125</v>
      </c>
      <c r="T580" s="31">
        <v>9732.246666781808</v>
      </c>
      <c r="U580" s="142">
        <v>63582.865114119442</v>
      </c>
      <c r="AE580" s="137">
        <f t="shared" si="44"/>
        <v>3.6191147369354679</v>
      </c>
      <c r="AF580" s="131">
        <f t="shared" ca="1" si="40"/>
        <v>-61902851.572875142</v>
      </c>
      <c r="AG580" s="131">
        <f t="shared" ca="1" si="41"/>
        <v>21330991.377120923</v>
      </c>
      <c r="AI580" s="131">
        <f t="shared" si="42"/>
        <v>-73958502.205399156</v>
      </c>
      <c r="AJ580" s="31">
        <f t="shared" si="43"/>
        <v>63582.865114119442</v>
      </c>
    </row>
    <row r="581" spans="15:36">
      <c r="O581" s="15">
        <v>578</v>
      </c>
      <c r="P581" s="33">
        <v>2682323.9221837004</v>
      </c>
      <c r="Q581" s="33">
        <v>94354203.695472434</v>
      </c>
      <c r="R581" s="146">
        <v>-91671879.773288727</v>
      </c>
      <c r="S581" s="31">
        <v>52173.162890501386</v>
      </c>
      <c r="T581" s="31">
        <v>23562.638805435083</v>
      </c>
      <c r="U581" s="142">
        <v>28610.524085066303</v>
      </c>
      <c r="AE581" s="137">
        <f t="shared" si="44"/>
        <v>3.6253979222426476</v>
      </c>
      <c r="AF581" s="131">
        <f t="shared" ref="AF581:AF644" ca="1" si="45">(AB$25*AC$19*COS(AE581)+AC$25*AC$20*SIN(AE581))+X$9</f>
        <v>-61972197.00026983</v>
      </c>
      <c r="AG581" s="131">
        <f t="shared" ref="AG581:AG644" ca="1" si="46">(AC$26*AC$19*COS(AE581)+AC$26*AC$20*SIN(AE581))+Y$9</f>
        <v>21262228.763148207</v>
      </c>
      <c r="AI581" s="131">
        <f t="shared" ref="AI581:AI644" si="47">R581</f>
        <v>-91671879.773288727</v>
      </c>
      <c r="AJ581" s="31">
        <f t="shared" ref="AJ581:AJ644" si="48">U581</f>
        <v>28610.524085066303</v>
      </c>
    </row>
    <row r="582" spans="15:36">
      <c r="O582" s="15">
        <v>579</v>
      </c>
      <c r="P582" s="33">
        <v>3124494.256284399</v>
      </c>
      <c r="Q582" s="33">
        <v>95311602.641618267</v>
      </c>
      <c r="R582" s="146">
        <v>-92187108.385333866</v>
      </c>
      <c r="S582" s="31">
        <v>73256.333706098827</v>
      </c>
      <c r="T582" s="31">
        <v>7258.4083940247065</v>
      </c>
      <c r="U582" s="142">
        <v>65997.92531207412</v>
      </c>
      <c r="AE582" s="137">
        <f t="shared" si="44"/>
        <v>3.6316811075498272</v>
      </c>
      <c r="AF582" s="131">
        <f t="shared" ca="1" si="45"/>
        <v>-62042376.577742673</v>
      </c>
      <c r="AG582" s="131">
        <f t="shared" ca="1" si="46"/>
        <v>21192630.078077827</v>
      </c>
      <c r="AI582" s="131">
        <f t="shared" si="47"/>
        <v>-92187108.385333866</v>
      </c>
      <c r="AJ582" s="31">
        <f t="shared" si="48"/>
        <v>65997.92531207412</v>
      </c>
    </row>
    <row r="583" spans="15:36">
      <c r="O583" s="15">
        <v>580</v>
      </c>
      <c r="P583" s="33">
        <v>3303413.268196838</v>
      </c>
      <c r="Q583" s="33">
        <v>85541139.847848907</v>
      </c>
      <c r="R583" s="146">
        <v>-82237726.579652071</v>
      </c>
      <c r="S583" s="31">
        <v>117515.20779655439</v>
      </c>
      <c r="T583" s="31">
        <v>10140.574046591284</v>
      </c>
      <c r="U583" s="142">
        <v>107374.6337499631</v>
      </c>
      <c r="AE583" s="137">
        <f t="shared" ref="AE583:AE646" si="49">AE582+AE$5</f>
        <v>3.6379642928570068</v>
      </c>
      <c r="AF583" s="131">
        <f t="shared" ca="1" si="45"/>
        <v>-62113387.534724116</v>
      </c>
      <c r="AG583" s="131">
        <f t="shared" ca="1" si="46"/>
        <v>21122198.069546707</v>
      </c>
      <c r="AI583" s="131">
        <f t="shared" si="47"/>
        <v>-82237726.579652071</v>
      </c>
      <c r="AJ583" s="31">
        <f t="shared" si="48"/>
        <v>107374.6337499631</v>
      </c>
    </row>
    <row r="584" spans="15:36">
      <c r="O584" s="15">
        <v>581</v>
      </c>
      <c r="P584" s="33">
        <v>3306976.6110078767</v>
      </c>
      <c r="Q584" s="33">
        <v>73085999.865922421</v>
      </c>
      <c r="R584" s="146">
        <v>-69779023.254914552</v>
      </c>
      <c r="S584" s="31">
        <v>62067.574230700273</v>
      </c>
      <c r="T584" s="31">
        <v>9008.0139821433186</v>
      </c>
      <c r="U584" s="142">
        <v>53059.560248556954</v>
      </c>
      <c r="AE584" s="137">
        <f t="shared" si="49"/>
        <v>3.6442474781641865</v>
      </c>
      <c r="AF584" s="131">
        <f t="shared" ca="1" si="45"/>
        <v>-62185227.067823172</v>
      </c>
      <c r="AG584" s="131">
        <f t="shared" ca="1" si="46"/>
        <v>21050935.518089946</v>
      </c>
      <c r="AI584" s="131">
        <f t="shared" si="47"/>
        <v>-69779023.254914552</v>
      </c>
      <c r="AJ584" s="31">
        <f t="shared" si="48"/>
        <v>53059.560248556954</v>
      </c>
    </row>
    <row r="585" spans="15:36">
      <c r="O585" s="15">
        <v>582</v>
      </c>
      <c r="P585" s="33">
        <v>3313880.4281723732</v>
      </c>
      <c r="Q585" s="33">
        <v>80684208.884017646</v>
      </c>
      <c r="R585" s="146">
        <v>-77370328.455845267</v>
      </c>
      <c r="S585" s="31">
        <v>105344.24317250613</v>
      </c>
      <c r="T585" s="31">
        <v>10737.345691106586</v>
      </c>
      <c r="U585" s="142">
        <v>94606.897481399545</v>
      </c>
      <c r="AE585" s="137">
        <f t="shared" si="49"/>
        <v>3.6505306634713661</v>
      </c>
      <c r="AF585" s="131">
        <f t="shared" ca="1" si="45"/>
        <v>-62257892.340938076</v>
      </c>
      <c r="AG585" s="131">
        <f t="shared" ca="1" si="46"/>
        <v>20978845.237031043</v>
      </c>
      <c r="AI585" s="131">
        <f t="shared" si="47"/>
        <v>-77370328.455845267</v>
      </c>
      <c r="AJ585" s="31">
        <f t="shared" si="48"/>
        <v>94606.897481399545</v>
      </c>
    </row>
    <row r="586" spans="15:36">
      <c r="O586" s="15">
        <v>583</v>
      </c>
      <c r="P586" s="33">
        <v>2863825.0442716246</v>
      </c>
      <c r="Q586" s="33">
        <v>83006813.049692631</v>
      </c>
      <c r="R586" s="146">
        <v>-80142988.005421013</v>
      </c>
      <c r="S586" s="31">
        <v>122073.63783505495</v>
      </c>
      <c r="T586" s="31">
        <v>7691.148506169111</v>
      </c>
      <c r="U586" s="142">
        <v>114382.48932888584</v>
      </c>
      <c r="AE586" s="137">
        <f t="shared" si="49"/>
        <v>3.6568138487785458</v>
      </c>
      <c r="AF586" s="131">
        <f t="shared" ca="1" si="45"/>
        <v>-62331380.485368274</v>
      </c>
      <c r="AG586" s="131">
        <f t="shared" ca="1" si="46"/>
        <v>20905930.072370864</v>
      </c>
      <c r="AI586" s="131">
        <f t="shared" si="47"/>
        <v>-80142988.005421013</v>
      </c>
      <c r="AJ586" s="31">
        <f t="shared" si="48"/>
        <v>114382.48932888584</v>
      </c>
    </row>
    <row r="587" spans="15:36">
      <c r="O587" s="15">
        <v>584</v>
      </c>
      <c r="P587" s="33">
        <v>3297201.7395359734</v>
      </c>
      <c r="Q587" s="33">
        <v>82481164.960687131</v>
      </c>
      <c r="R587" s="146">
        <v>-79183963.221151158</v>
      </c>
      <c r="S587" s="31">
        <v>111526.80983168221</v>
      </c>
      <c r="T587" s="31">
        <v>7385.5865944609359</v>
      </c>
      <c r="U587" s="142">
        <v>104141.22323722127</v>
      </c>
      <c r="AE587" s="137">
        <f t="shared" si="49"/>
        <v>3.6630970340857254</v>
      </c>
      <c r="AF587" s="131">
        <f t="shared" ca="1" si="45"/>
        <v>-62405688.599927649</v>
      </c>
      <c r="AG587" s="131">
        <f t="shared" ca="1" si="46"/>
        <v>20832192.902675264</v>
      </c>
      <c r="AI587" s="131">
        <f t="shared" si="47"/>
        <v>-79183963.221151158</v>
      </c>
      <c r="AJ587" s="31">
        <f t="shared" si="48"/>
        <v>104141.22323722127</v>
      </c>
    </row>
    <row r="588" spans="15:36">
      <c r="O588" s="15">
        <v>585</v>
      </c>
      <c r="P588" s="33">
        <v>3893751.2224922208</v>
      </c>
      <c r="Q588" s="33">
        <v>77634980.199590623</v>
      </c>
      <c r="R588" s="146">
        <v>-73741228.977098405</v>
      </c>
      <c r="S588" s="31">
        <v>116732.206692163</v>
      </c>
      <c r="T588" s="31">
        <v>4503.9743052623735</v>
      </c>
      <c r="U588" s="142">
        <v>112228.23238690064</v>
      </c>
      <c r="AE588" s="137">
        <f t="shared" si="49"/>
        <v>3.669380219392905</v>
      </c>
      <c r="AF588" s="131">
        <f t="shared" ca="1" si="45"/>
        <v>-62480813.751059085</v>
      </c>
      <c r="AG588" s="131">
        <f t="shared" ca="1" si="46"/>
        <v>20757636.638961434</v>
      </c>
      <c r="AI588" s="131">
        <f t="shared" si="47"/>
        <v>-73741228.977098405</v>
      </c>
      <c r="AJ588" s="31">
        <f t="shared" si="48"/>
        <v>112228.23238690064</v>
      </c>
    </row>
    <row r="589" spans="15:36">
      <c r="O589" s="15">
        <v>586</v>
      </c>
      <c r="P589" s="33">
        <v>3312378.9759159097</v>
      </c>
      <c r="Q589" s="33">
        <v>89088537.858623475</v>
      </c>
      <c r="R589" s="146">
        <v>-85776158.882707566</v>
      </c>
      <c r="S589" s="31">
        <v>78752.377749524065</v>
      </c>
      <c r="T589" s="31">
        <v>16417.281063932129</v>
      </c>
      <c r="U589" s="142">
        <v>62335.09668559194</v>
      </c>
      <c r="AE589" s="137">
        <f t="shared" si="49"/>
        <v>3.6756634047000847</v>
      </c>
      <c r="AF589" s="131">
        <f t="shared" ca="1" si="45"/>
        <v>-62556752.972950235</v>
      </c>
      <c r="AG589" s="131">
        <f t="shared" ca="1" si="46"/>
        <v>20682264.224583015</v>
      </c>
      <c r="AI589" s="131">
        <f t="shared" si="47"/>
        <v>-85776158.882707566</v>
      </c>
      <c r="AJ589" s="31">
        <f t="shared" si="48"/>
        <v>62335.09668559194</v>
      </c>
    </row>
    <row r="590" spans="15:36">
      <c r="O590" s="15">
        <v>587</v>
      </c>
      <c r="P590" s="33">
        <v>3409179.7634778712</v>
      </c>
      <c r="Q590" s="33">
        <v>83529905.838561758</v>
      </c>
      <c r="R590" s="146">
        <v>-80120726.075083882</v>
      </c>
      <c r="S590" s="31">
        <v>116794.60915179459</v>
      </c>
      <c r="T590" s="31">
        <v>9190.4779141077888</v>
      </c>
      <c r="U590" s="142">
        <v>107604.1312376868</v>
      </c>
      <c r="AE590" s="137">
        <f t="shared" si="49"/>
        <v>3.6819465900072643</v>
      </c>
      <c r="AF590" s="131">
        <f t="shared" ca="1" si="45"/>
        <v>-62633503.267650664</v>
      </c>
      <c r="AG590" s="131">
        <f t="shared" ca="1" si="46"/>
        <v>20606078.635113858</v>
      </c>
      <c r="AI590" s="131">
        <f t="shared" si="47"/>
        <v>-80120726.075083882</v>
      </c>
      <c r="AJ590" s="31">
        <f t="shared" si="48"/>
        <v>107604.1312376868</v>
      </c>
    </row>
    <row r="591" spans="15:36">
      <c r="O591" s="15">
        <v>588</v>
      </c>
      <c r="P591" s="33">
        <v>3271563.8701202506</v>
      </c>
      <c r="Q591" s="33">
        <v>74917344.130421668</v>
      </c>
      <c r="R591" s="146">
        <v>-71645780.260301411</v>
      </c>
      <c r="S591" s="31">
        <v>192055.68523108913</v>
      </c>
      <c r="T591" s="31">
        <v>23846.879317950032</v>
      </c>
      <c r="U591" s="142">
        <v>168208.80591313911</v>
      </c>
      <c r="AE591" s="137">
        <f t="shared" si="49"/>
        <v>3.688229775314444</v>
      </c>
      <c r="AF591" s="131">
        <f t="shared" ca="1" si="45"/>
        <v>-62711061.605190143</v>
      </c>
      <c r="AG591" s="131">
        <f t="shared" ca="1" si="46"/>
        <v>20529082.87823059</v>
      </c>
      <c r="AI591" s="131">
        <f t="shared" si="47"/>
        <v>-71645780.260301411</v>
      </c>
      <c r="AJ591" s="31">
        <f t="shared" si="48"/>
        <v>168208.80591313911</v>
      </c>
    </row>
    <row r="592" spans="15:36">
      <c r="O592" s="15">
        <v>589</v>
      </c>
      <c r="P592" s="33">
        <v>3305878.7261287747</v>
      </c>
      <c r="Q592" s="33">
        <v>88613802.247024834</v>
      </c>
      <c r="R592" s="146">
        <v>-85307923.520896062</v>
      </c>
      <c r="S592" s="31">
        <v>156689.08146064531</v>
      </c>
      <c r="T592" s="31">
        <v>4774.2183756390559</v>
      </c>
      <c r="U592" s="142">
        <v>151914.86308500625</v>
      </c>
      <c r="AE592" s="137">
        <f t="shared" si="49"/>
        <v>3.6945129606216236</v>
      </c>
      <c r="AF592" s="131">
        <f t="shared" ca="1" si="45"/>
        <v>-62789424.923698314</v>
      </c>
      <c r="AG592" s="131">
        <f t="shared" ca="1" si="46"/>
        <v>20451279.993593853</v>
      </c>
      <c r="AI592" s="131">
        <f t="shared" si="47"/>
        <v>-85307923.520896062</v>
      </c>
      <c r="AJ592" s="31">
        <f t="shared" si="48"/>
        <v>151914.86308500625</v>
      </c>
    </row>
    <row r="593" spans="15:36">
      <c r="O593" s="15">
        <v>590</v>
      </c>
      <c r="P593" s="33">
        <v>3432946.1147301067</v>
      </c>
      <c r="Q593" s="33">
        <v>84143888.719548911</v>
      </c>
      <c r="R593" s="146">
        <v>-80710942.604818806</v>
      </c>
      <c r="S593" s="31">
        <v>70619.812043052647</v>
      </c>
      <c r="T593" s="31">
        <v>9263.7055306876464</v>
      </c>
      <c r="U593" s="142">
        <v>61356.106512365004</v>
      </c>
      <c r="AE593" s="137">
        <f t="shared" si="49"/>
        <v>3.7007961459288032</v>
      </c>
      <c r="AF593" s="131">
        <f t="shared" ca="1" si="45"/>
        <v>-62868590.129525542</v>
      </c>
      <c r="AG593" s="131">
        <f t="shared" ca="1" si="46"/>
        <v>20372673.052728314</v>
      </c>
      <c r="AI593" s="131">
        <f t="shared" si="47"/>
        <v>-80710942.604818806</v>
      </c>
      <c r="AJ593" s="31">
        <f t="shared" si="48"/>
        <v>61356.106512365004</v>
      </c>
    </row>
    <row r="594" spans="15:36">
      <c r="O594" s="15">
        <v>591</v>
      </c>
      <c r="P594" s="33">
        <v>3377049.2279041749</v>
      </c>
      <c r="Q594" s="33">
        <v>83408390.357938215</v>
      </c>
      <c r="R594" s="146">
        <v>-80031341.130034044</v>
      </c>
      <c r="S594" s="31">
        <v>96157.529187674081</v>
      </c>
      <c r="T594" s="31">
        <v>29198.418417351095</v>
      </c>
      <c r="U594" s="142">
        <v>66959.110770322994</v>
      </c>
      <c r="AE594" s="137">
        <f t="shared" si="49"/>
        <v>3.7070793312359829</v>
      </c>
      <c r="AF594" s="131">
        <f t="shared" ca="1" si="45"/>
        <v>-62948554.097365044</v>
      </c>
      <c r="AG594" s="131">
        <f t="shared" ca="1" si="46"/>
        <v>20293265.158901405</v>
      </c>
      <c r="AI594" s="131">
        <f t="shared" si="47"/>
        <v>-80031341.130034044</v>
      </c>
      <c r="AJ594" s="31">
        <f t="shared" si="48"/>
        <v>66959.110770322994</v>
      </c>
    </row>
    <row r="595" spans="15:36">
      <c r="O595" s="15">
        <v>592</v>
      </c>
      <c r="P595" s="33">
        <v>3335940.6566217756</v>
      </c>
      <c r="Q595" s="33">
        <v>74292932.89566274</v>
      </c>
      <c r="R595" s="146">
        <v>-70956992.239040971</v>
      </c>
      <c r="S595" s="31">
        <v>35511.453811453721</v>
      </c>
      <c r="T595" s="31">
        <v>4999.7518026642783</v>
      </c>
      <c r="U595" s="142">
        <v>30511.702008789442</v>
      </c>
      <c r="AE595" s="137">
        <f t="shared" si="49"/>
        <v>3.7133625165431625</v>
      </c>
      <c r="AF595" s="131">
        <f t="shared" ca="1" si="45"/>
        <v>-63029313.670376293</v>
      </c>
      <c r="AG595" s="131">
        <f t="shared" ca="1" si="46"/>
        <v>20213059.447000802</v>
      </c>
      <c r="AI595" s="131">
        <f t="shared" si="47"/>
        <v>-70956992.239040971</v>
      </c>
      <c r="AJ595" s="31">
        <f t="shared" si="48"/>
        <v>30511.702008789442</v>
      </c>
    </row>
    <row r="596" spans="15:36">
      <c r="O596" s="15">
        <v>593</v>
      </c>
      <c r="P596" s="33">
        <v>3088845.8267228608</v>
      </c>
      <c r="Q596" s="33">
        <v>86311403.815955207</v>
      </c>
      <c r="R596" s="146">
        <v>-83222557.989232346</v>
      </c>
      <c r="S596" s="31">
        <v>61509.97217659514</v>
      </c>
      <c r="T596" s="31">
        <v>5015.1786951499089</v>
      </c>
      <c r="U596" s="142">
        <v>56494.793481445231</v>
      </c>
      <c r="AE596" s="137">
        <f t="shared" si="49"/>
        <v>3.7196457018503422</v>
      </c>
      <c r="AF596" s="131">
        <f t="shared" ca="1" si="45"/>
        <v>-63110865.660309643</v>
      </c>
      <c r="AG596" s="131">
        <f t="shared" ca="1" si="46"/>
        <v>20132059.083410677</v>
      </c>
      <c r="AI596" s="131">
        <f t="shared" si="47"/>
        <v>-83222557.989232346</v>
      </c>
      <c r="AJ596" s="31">
        <f t="shared" si="48"/>
        <v>56494.793481445231</v>
      </c>
    </row>
    <row r="597" spans="15:36">
      <c r="O597" s="15">
        <v>594</v>
      </c>
      <c r="P597" s="33">
        <v>4035467.4895492652</v>
      </c>
      <c r="Q597" s="33">
        <v>97397765.981568947</v>
      </c>
      <c r="R597" s="146">
        <v>-93362298.492019683</v>
      </c>
      <c r="S597" s="31">
        <v>94228.990239291335</v>
      </c>
      <c r="T597" s="31">
        <v>7147.8475381049375</v>
      </c>
      <c r="U597" s="142">
        <v>87081.1427011864</v>
      </c>
      <c r="AE597" s="137">
        <f t="shared" si="49"/>
        <v>3.7259288871575218</v>
      </c>
      <c r="AF597" s="131">
        <f t="shared" ca="1" si="45"/>
        <v>-63193206.847632155</v>
      </c>
      <c r="AG597" s="131">
        <f t="shared" ca="1" si="46"/>
        <v>20050267.265886687</v>
      </c>
      <c r="AI597" s="131">
        <f t="shared" si="47"/>
        <v>-93362298.492019683</v>
      </c>
      <c r="AJ597" s="31">
        <f t="shared" si="48"/>
        <v>87081.1427011864</v>
      </c>
    </row>
    <row r="598" spans="15:36">
      <c r="O598" s="15">
        <v>595</v>
      </c>
      <c r="P598" s="33">
        <v>2515974.1846094765</v>
      </c>
      <c r="Q598" s="33">
        <v>88530092.999124572</v>
      </c>
      <c r="R598" s="146">
        <v>-86014118.814515099</v>
      </c>
      <c r="S598" s="31">
        <v>159836.66082605231</v>
      </c>
      <c r="T598" s="31">
        <v>13481.561679929448</v>
      </c>
      <c r="U598" s="142">
        <v>146355.09914612287</v>
      </c>
      <c r="AE598" s="137">
        <f t="shared" si="49"/>
        <v>3.7322120724647014</v>
      </c>
      <c r="AF598" s="131">
        <f t="shared" ca="1" si="45"/>
        <v>-63276333.981654741</v>
      </c>
      <c r="AG598" s="131">
        <f t="shared" ca="1" si="46"/>
        <v>19967687.223429751</v>
      </c>
      <c r="AI598" s="131">
        <f t="shared" si="47"/>
        <v>-86014118.814515099</v>
      </c>
      <c r="AJ598" s="31">
        <f t="shared" si="48"/>
        <v>146355.09914612287</v>
      </c>
    </row>
    <row r="599" spans="15:36">
      <c r="O599" s="15">
        <v>596</v>
      </c>
      <c r="P599" s="33">
        <v>3486362.1230438817</v>
      </c>
      <c r="Q599" s="33">
        <v>93649374.075980961</v>
      </c>
      <c r="R599" s="146">
        <v>-90163011.952937081</v>
      </c>
      <c r="S599" s="31">
        <v>48469.091240083435</v>
      </c>
      <c r="T599" s="31">
        <v>13723.43414415573</v>
      </c>
      <c r="U599" s="142">
        <v>34745.657095927701</v>
      </c>
      <c r="AE599" s="137">
        <f t="shared" si="49"/>
        <v>3.7384952577718811</v>
      </c>
      <c r="AF599" s="131">
        <f t="shared" ca="1" si="45"/>
        <v>-63360243.780660503</v>
      </c>
      <c r="AG599" s="131">
        <f t="shared" ca="1" si="46"/>
        <v>19884322.216158528</v>
      </c>
      <c r="AI599" s="131">
        <f t="shared" si="47"/>
        <v>-90163011.952937081</v>
      </c>
      <c r="AJ599" s="31">
        <f t="shared" si="48"/>
        <v>34745.657095927701</v>
      </c>
    </row>
    <row r="600" spans="15:36">
      <c r="O600" s="15">
        <v>597</v>
      </c>
      <c r="P600" s="33">
        <v>3292081.7364637563</v>
      </c>
      <c r="Q600" s="33">
        <v>93686830.477920696</v>
      </c>
      <c r="R600" s="146">
        <v>-90394748.741456941</v>
      </c>
      <c r="S600" s="31">
        <v>111669.5997436215</v>
      </c>
      <c r="T600" s="31">
        <v>6608.5773999932881</v>
      </c>
      <c r="U600" s="142">
        <v>105061.02234362821</v>
      </c>
      <c r="AE600" s="137">
        <f t="shared" si="49"/>
        <v>3.7447784430790607</v>
      </c>
      <c r="AF600" s="131">
        <f t="shared" ca="1" si="45"/>
        <v>-63444932.932034239</v>
      </c>
      <c r="AG600" s="131">
        <f t="shared" ca="1" si="46"/>
        <v>19800175.535180766</v>
      </c>
      <c r="AI600" s="131">
        <f t="shared" si="47"/>
        <v>-90394748.741456941</v>
      </c>
      <c r="AJ600" s="31">
        <f t="shared" si="48"/>
        <v>105061.02234362821</v>
      </c>
    </row>
    <row r="601" spans="15:36">
      <c r="O601" s="15">
        <v>598</v>
      </c>
      <c r="P601" s="33">
        <v>3419842.5849368516</v>
      </c>
      <c r="Q601" s="33">
        <v>101606346.98146126</v>
      </c>
      <c r="R601" s="146">
        <v>-98186504.3965244</v>
      </c>
      <c r="S601" s="31">
        <v>71608.283841384226</v>
      </c>
      <c r="T601" s="31">
        <v>12830.310550500151</v>
      </c>
      <c r="U601" s="142">
        <v>58777.973290884074</v>
      </c>
      <c r="AE601" s="137">
        <f t="shared" si="49"/>
        <v>3.7510616283862404</v>
      </c>
      <c r="AF601" s="131">
        <f t="shared" ca="1" si="45"/>
        <v>-63530398.092393279</v>
      </c>
      <c r="AG601" s="131">
        <f t="shared" ca="1" si="46"/>
        <v>19715250.502463352</v>
      </c>
      <c r="AI601" s="131">
        <f t="shared" si="47"/>
        <v>-98186504.3965244</v>
      </c>
      <c r="AJ601" s="31">
        <f t="shared" si="48"/>
        <v>58777.973290884074</v>
      </c>
    </row>
    <row r="602" spans="15:36">
      <c r="O602" s="15">
        <v>599</v>
      </c>
      <c r="P602" s="33">
        <v>2804422.3622063585</v>
      </c>
      <c r="Q602" s="33">
        <v>88993264.268195167</v>
      </c>
      <c r="R602" s="146">
        <v>-86188841.905988812</v>
      </c>
      <c r="S602" s="31">
        <v>36671.164053626882</v>
      </c>
      <c r="T602" s="31">
        <v>18356.547862518426</v>
      </c>
      <c r="U602" s="142">
        <v>18314.616191108456</v>
      </c>
      <c r="AE602" s="137">
        <f t="shared" si="49"/>
        <v>3.75734481369342</v>
      </c>
      <c r="AF602" s="131">
        <f t="shared" ca="1" si="45"/>
        <v>-63616635.887719415</v>
      </c>
      <c r="AG602" s="131">
        <f t="shared" ca="1" si="46"/>
        <v>19629550.470701165</v>
      </c>
      <c r="AI602" s="131">
        <f t="shared" si="47"/>
        <v>-86188841.905988812</v>
      </c>
      <c r="AJ602" s="31">
        <f t="shared" si="48"/>
        <v>18314.616191108456</v>
      </c>
    </row>
    <row r="603" spans="15:36">
      <c r="O603" s="15">
        <v>600</v>
      </c>
      <c r="P603" s="33">
        <v>3019620.6640333645</v>
      </c>
      <c r="Q603" s="33">
        <v>71493862.868350923</v>
      </c>
      <c r="R603" s="146">
        <v>-68474242.204317555</v>
      </c>
      <c r="S603" s="31">
        <v>90225.004040221465</v>
      </c>
      <c r="T603" s="31">
        <v>3383.9151978920158</v>
      </c>
      <c r="U603" s="142">
        <v>86841.088842329453</v>
      </c>
      <c r="AE603" s="137">
        <f t="shared" si="49"/>
        <v>3.7636279990005996</v>
      </c>
      <c r="AF603" s="131">
        <f t="shared" ca="1" si="45"/>
        <v>-63703642.913492158</v>
      </c>
      <c r="AG603" s="131">
        <f t="shared" ca="1" si="46"/>
        <v>19543078.823184714</v>
      </c>
      <c r="AI603" s="131">
        <f t="shared" si="47"/>
        <v>-68474242.204317555</v>
      </c>
      <c r="AJ603" s="31">
        <f t="shared" si="48"/>
        <v>86841.088842329453</v>
      </c>
    </row>
    <row r="604" spans="15:36">
      <c r="O604" s="15">
        <v>601</v>
      </c>
      <c r="P604" s="33">
        <v>3511148.2739065224</v>
      </c>
      <c r="Q604" s="33">
        <v>91790724.924648911</v>
      </c>
      <c r="R604" s="146">
        <v>-88279576.650742382</v>
      </c>
      <c r="S604" s="31">
        <v>73812.433379447524</v>
      </c>
      <c r="T604" s="31">
        <v>16443.104976191273</v>
      </c>
      <c r="U604" s="142">
        <v>57369.328403256251</v>
      </c>
      <c r="AE604" s="137">
        <f t="shared" si="49"/>
        <v>3.7699111843077793</v>
      </c>
      <c r="AF604" s="131">
        <f t="shared" ca="1" si="45"/>
        <v>-63791415.734823108</v>
      </c>
      <c r="AG604" s="131">
        <f t="shared" ca="1" si="46"/>
        <v>19455838.973666579</v>
      </c>
      <c r="AI604" s="131">
        <f t="shared" si="47"/>
        <v>-88279576.650742382</v>
      </c>
      <c r="AJ604" s="31">
        <f t="shared" si="48"/>
        <v>57369.328403256251</v>
      </c>
    </row>
    <row r="605" spans="15:36">
      <c r="O605" s="15">
        <v>602</v>
      </c>
      <c r="P605" s="33">
        <v>3177732.9823957584</v>
      </c>
      <c r="Q605" s="33">
        <v>96850081.037540168</v>
      </c>
      <c r="R605" s="146">
        <v>-93672348.055144414</v>
      </c>
      <c r="S605" s="31">
        <v>199804.08814379314</v>
      </c>
      <c r="T605" s="31">
        <v>12313.958680099488</v>
      </c>
      <c r="U605" s="142">
        <v>187490.12946369365</v>
      </c>
      <c r="AE605" s="137">
        <f t="shared" si="49"/>
        <v>3.7761943696149589</v>
      </c>
      <c r="AF605" s="131">
        <f t="shared" ca="1" si="45"/>
        <v>-63879950.886591583</v>
      </c>
      <c r="AG605" s="131">
        <f t="shared" ca="1" si="46"/>
        <v>19367834.366226636</v>
      </c>
      <c r="AI605" s="131">
        <f t="shared" si="47"/>
        <v>-93672348.055144414</v>
      </c>
      <c r="AJ605" s="31">
        <f t="shared" si="48"/>
        <v>187490.12946369365</v>
      </c>
    </row>
    <row r="606" spans="15:36">
      <c r="O606" s="15">
        <v>603</v>
      </c>
      <c r="P606" s="33">
        <v>3670850.2644668277</v>
      </c>
      <c r="Q606" s="33">
        <v>93192316.362795502</v>
      </c>
      <c r="R606" s="146">
        <v>-89521466.09832868</v>
      </c>
      <c r="S606" s="31">
        <v>103136.8489733766</v>
      </c>
      <c r="T606" s="31">
        <v>12174.533835901166</v>
      </c>
      <c r="U606" s="142">
        <v>90962.315137475438</v>
      </c>
      <c r="AE606" s="137">
        <f t="shared" si="49"/>
        <v>3.7824775549221386</v>
      </c>
      <c r="AF606" s="131">
        <f t="shared" ca="1" si="45"/>
        <v>-63969244.873581365</v>
      </c>
      <c r="AG606" s="131">
        <f t="shared" ca="1" si="46"/>
        <v>19279068.475136105</v>
      </c>
      <c r="AI606" s="131">
        <f t="shared" si="47"/>
        <v>-89521466.09832868</v>
      </c>
      <c r="AJ606" s="31">
        <f t="shared" si="48"/>
        <v>90962.315137475438</v>
      </c>
    </row>
    <row r="607" spans="15:36">
      <c r="O607" s="15">
        <v>604</v>
      </c>
      <c r="P607" s="33">
        <v>3567058.4729314246</v>
      </c>
      <c r="Q607" s="33">
        <v>81970950.619812071</v>
      </c>
      <c r="R607" s="146">
        <v>-78403892.146880642</v>
      </c>
      <c r="S607" s="31">
        <v>95199.233255108978</v>
      </c>
      <c r="T607" s="31">
        <v>7525.2432587986932</v>
      </c>
      <c r="U607" s="142">
        <v>87673.98999631028</v>
      </c>
      <c r="AE607" s="137">
        <f t="shared" si="49"/>
        <v>3.7887607402293182</v>
      </c>
      <c r="AF607" s="131">
        <f t="shared" ca="1" si="45"/>
        <v>-64059294.170618758</v>
      </c>
      <c r="AG607" s="131">
        <f t="shared" ca="1" si="46"/>
        <v>19189544.804720379</v>
      </c>
      <c r="AI607" s="131">
        <f t="shared" si="47"/>
        <v>-78403892.146880642</v>
      </c>
      <c r="AJ607" s="31">
        <f t="shared" si="48"/>
        <v>87673.98999631028</v>
      </c>
    </row>
    <row r="608" spans="15:36">
      <c r="O608" s="15">
        <v>605</v>
      </c>
      <c r="P608" s="33">
        <v>3857794.7408853639</v>
      </c>
      <c r="Q608" s="33">
        <v>78881680.256851271</v>
      </c>
      <c r="R608" s="146">
        <v>-75023885.515965909</v>
      </c>
      <c r="S608" s="31">
        <v>137352.51919548967</v>
      </c>
      <c r="T608" s="31">
        <v>10011.015630663213</v>
      </c>
      <c r="U608" s="142">
        <v>127341.50356482646</v>
      </c>
      <c r="AE608" s="137">
        <f t="shared" si="49"/>
        <v>3.7950439255364978</v>
      </c>
      <c r="AF608" s="131">
        <f t="shared" ca="1" si="45"/>
        <v>-64150095.222711697</v>
      </c>
      <c r="AG608" s="131">
        <f t="shared" ca="1" si="46"/>
        <v>19099266.889220662</v>
      </c>
      <c r="AI608" s="131">
        <f t="shared" si="47"/>
        <v>-75023885.515965909</v>
      </c>
      <c r="AJ608" s="31">
        <f t="shared" si="48"/>
        <v>127341.50356482646</v>
      </c>
    </row>
    <row r="609" spans="15:36">
      <c r="O609" s="15">
        <v>606</v>
      </c>
      <c r="P609" s="33">
        <v>3155360.1224754951</v>
      </c>
      <c r="Q609" s="33">
        <v>78117264.344113365</v>
      </c>
      <c r="R609" s="146">
        <v>-74961904.221637875</v>
      </c>
      <c r="S609" s="31">
        <v>87132.639074304287</v>
      </c>
      <c r="T609" s="31">
        <v>8782.7732326570749</v>
      </c>
      <c r="U609" s="142">
        <v>78349.865841647217</v>
      </c>
      <c r="AE609" s="137">
        <f t="shared" si="49"/>
        <v>3.8013271108436775</v>
      </c>
      <c r="AF609" s="131">
        <f t="shared" ca="1" si="45"/>
        <v>-64241644.445190132</v>
      </c>
      <c r="AG609" s="131">
        <f t="shared" ca="1" si="46"/>
        <v>19008238.292654492</v>
      </c>
      <c r="AI609" s="131">
        <f t="shared" si="47"/>
        <v>-74961904.221637875</v>
      </c>
      <c r="AJ609" s="31">
        <f t="shared" si="48"/>
        <v>78349.865841647217</v>
      </c>
    </row>
    <row r="610" spans="15:36">
      <c r="O610" s="15">
        <v>607</v>
      </c>
      <c r="P610" s="33">
        <v>3164868.6561160232</v>
      </c>
      <c r="Q610" s="33">
        <v>83068227.443646833</v>
      </c>
      <c r="R610" s="146">
        <v>-79903358.78753081</v>
      </c>
      <c r="S610" s="31">
        <v>60187.688442667284</v>
      </c>
      <c r="T610" s="31">
        <v>8050.1324983617196</v>
      </c>
      <c r="U610" s="142">
        <v>52137.555944305568</v>
      </c>
      <c r="AE610" s="137">
        <f t="shared" si="49"/>
        <v>3.8076102961508571</v>
      </c>
      <c r="AF610" s="131">
        <f t="shared" ca="1" si="45"/>
        <v>-64333938.223847508</v>
      </c>
      <c r="AG610" s="131">
        <f t="shared" ca="1" si="46"/>
        <v>18916462.608674988</v>
      </c>
      <c r="AI610" s="131">
        <f t="shared" si="47"/>
        <v>-79903358.78753081</v>
      </c>
      <c r="AJ610" s="31">
        <f t="shared" si="48"/>
        <v>52137.555944305568</v>
      </c>
    </row>
    <row r="611" spans="15:36">
      <c r="O611" s="15">
        <v>608</v>
      </c>
      <c r="P611" s="33">
        <v>3324819.8111724183</v>
      </c>
      <c r="Q611" s="33">
        <v>103823483.61952442</v>
      </c>
      <c r="R611" s="146">
        <v>-100498663.80835199</v>
      </c>
      <c r="S611" s="31">
        <v>71286.50178689239</v>
      </c>
      <c r="T611" s="31">
        <v>11878.57595726722</v>
      </c>
      <c r="U611" s="142">
        <v>59407.925829625172</v>
      </c>
      <c r="AE611" s="137">
        <f t="shared" si="49"/>
        <v>3.8138934814580367</v>
      </c>
      <c r="AF611" s="131">
        <f t="shared" ca="1" si="45"/>
        <v>-64426972.915083475</v>
      </c>
      <c r="AG611" s="131">
        <f t="shared" ca="1" si="46"/>
        <v>18823943.460429009</v>
      </c>
      <c r="AI611" s="131">
        <f t="shared" si="47"/>
        <v>-100498663.80835199</v>
      </c>
      <c r="AJ611" s="31">
        <f t="shared" si="48"/>
        <v>59407.925829625172</v>
      </c>
    </row>
    <row r="612" spans="15:36">
      <c r="O612" s="15">
        <v>609</v>
      </c>
      <c r="P612" s="33">
        <v>3142568.9593191156</v>
      </c>
      <c r="Q612" s="33">
        <v>94111172.983968645</v>
      </c>
      <c r="R612" s="146">
        <v>-90968604.024649531</v>
      </c>
      <c r="S612" s="31">
        <v>107437.60442708871</v>
      </c>
      <c r="T612" s="31">
        <v>9355.302736352478</v>
      </c>
      <c r="U612" s="142">
        <v>98082.301690736233</v>
      </c>
      <c r="AE612" s="137">
        <f t="shared" si="49"/>
        <v>3.8201766667652164</v>
      </c>
      <c r="AF612" s="131">
        <f t="shared" ca="1" si="45"/>
        <v>-64520744.846047729</v>
      </c>
      <c r="AG612" s="131">
        <f t="shared" ca="1" si="46"/>
        <v>18730684.500414114</v>
      </c>
      <c r="AI612" s="131">
        <f t="shared" si="47"/>
        <v>-90968604.024649531</v>
      </c>
      <c r="AJ612" s="31">
        <f t="shared" si="48"/>
        <v>98082.301690736233</v>
      </c>
    </row>
    <row r="613" spans="15:36">
      <c r="O613" s="15">
        <v>610</v>
      </c>
      <c r="P613" s="33">
        <v>3448365.2468993659</v>
      </c>
      <c r="Q613" s="33">
        <v>76468638.976883441</v>
      </c>
      <c r="R613" s="146">
        <v>-73020273.729984075</v>
      </c>
      <c r="S613" s="31">
        <v>26817.312879298035</v>
      </c>
      <c r="T613" s="31">
        <v>5188.9874514224821</v>
      </c>
      <c r="U613" s="142">
        <v>21628.325427875552</v>
      </c>
      <c r="AE613" s="137">
        <f t="shared" si="49"/>
        <v>3.826459852072396</v>
      </c>
      <c r="AF613" s="131">
        <f t="shared" ca="1" si="45"/>
        <v>-64615250.314784996</v>
      </c>
      <c r="AG613" s="131">
        <f t="shared" ca="1" si="46"/>
        <v>18636689.410334352</v>
      </c>
      <c r="AI613" s="131">
        <f t="shared" si="47"/>
        <v>-73020273.729984075</v>
      </c>
      <c r="AJ613" s="31">
        <f t="shared" si="48"/>
        <v>21628.325427875552</v>
      </c>
    </row>
    <row r="614" spans="15:36">
      <c r="O614" s="15">
        <v>611</v>
      </c>
      <c r="P614" s="33">
        <v>2843351.0289963707</v>
      </c>
      <c r="Q614" s="33">
        <v>85621307.95364809</v>
      </c>
      <c r="R614" s="146">
        <v>-82777956.924651712</v>
      </c>
      <c r="S614" s="31">
        <v>109852.61987027674</v>
      </c>
      <c r="T614" s="31">
        <v>8843.1628472740558</v>
      </c>
      <c r="U614" s="142">
        <v>101009.45702300269</v>
      </c>
      <c r="AE614" s="137">
        <f t="shared" si="49"/>
        <v>3.8327430373795757</v>
      </c>
      <c r="AF614" s="131">
        <f t="shared" ca="1" si="45"/>
        <v>-64710485.59038119</v>
      </c>
      <c r="AG614" s="131">
        <f t="shared" ca="1" si="46"/>
        <v>18541961.900954947</v>
      </c>
      <c r="AI614" s="131">
        <f t="shared" si="47"/>
        <v>-82777956.924651712</v>
      </c>
      <c r="AJ614" s="31">
        <f t="shared" si="48"/>
        <v>101009.45702300269</v>
      </c>
    </row>
    <row r="615" spans="15:36">
      <c r="O615" s="15">
        <v>612</v>
      </c>
      <c r="P615" s="33">
        <v>3005503.6064869892</v>
      </c>
      <c r="Q615" s="33">
        <v>80540838.056586862</v>
      </c>
      <c r="R615" s="146">
        <v>-77535334.450099871</v>
      </c>
      <c r="S615" s="31">
        <v>74570.958212776488</v>
      </c>
      <c r="T615" s="31">
        <v>9119.1002445546656</v>
      </c>
      <c r="U615" s="142">
        <v>65451.857968221826</v>
      </c>
      <c r="AE615" s="137">
        <f t="shared" si="49"/>
        <v>3.8390262226867553</v>
      </c>
      <c r="AF615" s="131">
        <f t="shared" ca="1" si="45"/>
        <v>-64806446.913110703</v>
      </c>
      <c r="AG615" s="131">
        <f t="shared" ca="1" si="46"/>
        <v>18446505.711955748</v>
      </c>
      <c r="AI615" s="131">
        <f t="shared" si="47"/>
        <v>-77535334.450099871</v>
      </c>
      <c r="AJ615" s="31">
        <f t="shared" si="48"/>
        <v>65451.857968221826</v>
      </c>
    </row>
    <row r="616" spans="15:36">
      <c r="O616" s="15">
        <v>613</v>
      </c>
      <c r="P616" s="33">
        <v>3362074.2398544345</v>
      </c>
      <c r="Q616" s="33">
        <v>71654799.544321582</v>
      </c>
      <c r="R616" s="146">
        <v>-68292725.304467142</v>
      </c>
      <c r="S616" s="31">
        <v>89157.130460159417</v>
      </c>
      <c r="T616" s="31">
        <v>15611.932226354693</v>
      </c>
      <c r="U616" s="142">
        <v>73545.198233804724</v>
      </c>
      <c r="AE616" s="137">
        <f t="shared" si="49"/>
        <v>3.8453094079939349</v>
      </c>
      <c r="AF616" s="131">
        <f t="shared" ca="1" si="45"/>
        <v>-64903130.494584829</v>
      </c>
      <c r="AG616" s="131">
        <f t="shared" ca="1" si="46"/>
        <v>18350324.611783672</v>
      </c>
      <c r="AI616" s="131">
        <f t="shared" si="47"/>
        <v>-68292725.304467142</v>
      </c>
      <c r="AJ616" s="31">
        <f t="shared" si="48"/>
        <v>73545.198233804724</v>
      </c>
    </row>
    <row r="617" spans="15:36">
      <c r="O617" s="15">
        <v>614</v>
      </c>
      <c r="P617" s="33">
        <v>3070531.8054993195</v>
      </c>
      <c r="Q617" s="33">
        <v>78340650.602536857</v>
      </c>
      <c r="R617" s="146">
        <v>-75270118.797037542</v>
      </c>
      <c r="S617" s="31">
        <v>92344.211849805695</v>
      </c>
      <c r="T617" s="31">
        <v>8658.4049613506486</v>
      </c>
      <c r="U617" s="142">
        <v>83685.806888455045</v>
      </c>
      <c r="AE617" s="137">
        <f t="shared" si="49"/>
        <v>3.8515925933011146</v>
      </c>
      <c r="AF617" s="131">
        <f t="shared" ca="1" si="45"/>
        <v>-65000532.517901301</v>
      </c>
      <c r="AG617" s="131">
        <f t="shared" ca="1" si="46"/>
        <v>18253422.397503853</v>
      </c>
      <c r="AI617" s="131">
        <f t="shared" si="47"/>
        <v>-75270118.797037542</v>
      </c>
      <c r="AJ617" s="31">
        <f t="shared" si="48"/>
        <v>83685.806888455045</v>
      </c>
    </row>
    <row r="618" spans="15:36">
      <c r="O618" s="15">
        <v>615</v>
      </c>
      <c r="P618" s="33">
        <v>2686997.9361124667</v>
      </c>
      <c r="Q618" s="33">
        <v>108172918.11851579</v>
      </c>
      <c r="R618" s="146">
        <v>-105485920.18240333</v>
      </c>
      <c r="S618" s="31">
        <v>43537.80946152212</v>
      </c>
      <c r="T618" s="31">
        <v>20416.076373729924</v>
      </c>
      <c r="U618" s="142">
        <v>23121.733087792196</v>
      </c>
      <c r="AE618" s="137">
        <f t="shared" si="49"/>
        <v>3.8578757786082942</v>
      </c>
      <c r="AF618" s="131">
        <f t="shared" ca="1" si="45"/>
        <v>-65098649.137795039</v>
      </c>
      <c r="AG618" s="131">
        <f t="shared" ca="1" si="46"/>
        <v>18155802.894649792</v>
      </c>
      <c r="AI618" s="131">
        <f t="shared" si="47"/>
        <v>-105485920.18240333</v>
      </c>
      <c r="AJ618" s="31">
        <f t="shared" si="48"/>
        <v>23121.733087792196</v>
      </c>
    </row>
    <row r="619" spans="15:36">
      <c r="O619" s="15">
        <v>616</v>
      </c>
      <c r="P619" s="33">
        <v>3625059.9864978734</v>
      </c>
      <c r="Q619" s="33">
        <v>80497898.973728642</v>
      </c>
      <c r="R619" s="146">
        <v>-76872838.987230763</v>
      </c>
      <c r="S619" s="31">
        <v>77237.874315704772</v>
      </c>
      <c r="T619" s="31">
        <v>19880.711215163483</v>
      </c>
      <c r="U619" s="142">
        <v>57357.163100541293</v>
      </c>
      <c r="AE619" s="137">
        <f t="shared" si="49"/>
        <v>3.8641589639154739</v>
      </c>
      <c r="AF619" s="131">
        <f t="shared" ca="1" si="45"/>
        <v>-65197476.480789877</v>
      </c>
      <c r="AG619" s="131">
        <f t="shared" ca="1" si="46"/>
        <v>18057469.95707231</v>
      </c>
      <c r="AI619" s="131">
        <f t="shared" si="47"/>
        <v>-76872838.987230763</v>
      </c>
      <c r="AJ619" s="31">
        <f t="shared" si="48"/>
        <v>57357.163100541293</v>
      </c>
    </row>
    <row r="620" spans="15:36">
      <c r="O620" s="15">
        <v>617</v>
      </c>
      <c r="P620" s="33">
        <v>4177580.5018977392</v>
      </c>
      <c r="Q620" s="33">
        <v>100736786.16545045</v>
      </c>
      <c r="R620" s="146">
        <v>-96559205.663552716</v>
      </c>
      <c r="S620" s="31">
        <v>164176.79919469939</v>
      </c>
      <c r="T620" s="31">
        <v>10614.694721238906</v>
      </c>
      <c r="U620" s="142">
        <v>153562.10447346047</v>
      </c>
      <c r="AE620" s="137">
        <f t="shared" si="49"/>
        <v>3.8704421492226535</v>
      </c>
      <c r="AF620" s="131">
        <f t="shared" ca="1" si="45"/>
        <v>-65297010.645351544</v>
      </c>
      <c r="AG620" s="131">
        <f t="shared" ca="1" si="46"/>
        <v>17958427.466787405</v>
      </c>
      <c r="AI620" s="131">
        <f t="shared" si="47"/>
        <v>-96559205.663552716</v>
      </c>
      <c r="AJ620" s="31">
        <f t="shared" si="48"/>
        <v>153562.10447346047</v>
      </c>
    </row>
    <row r="621" spans="15:36">
      <c r="O621" s="15">
        <v>618</v>
      </c>
      <c r="P621" s="33">
        <v>3464204.7296548863</v>
      </c>
      <c r="Q621" s="33">
        <v>80584494.04080461</v>
      </c>
      <c r="R621" s="146">
        <v>-77120289.311149716</v>
      </c>
      <c r="S621" s="31">
        <v>115132.65024424058</v>
      </c>
      <c r="T621" s="31">
        <v>6028.3647171284219</v>
      </c>
      <c r="U621" s="142">
        <v>109104.28552711215</v>
      </c>
      <c r="AE621" s="137">
        <f t="shared" si="49"/>
        <v>3.8767253345298331</v>
      </c>
      <c r="AF621" s="131">
        <f t="shared" ca="1" si="45"/>
        <v>-65397247.702041648</v>
      </c>
      <c r="AG621" s="131">
        <f t="shared" ca="1" si="46"/>
        <v>17858679.33382301</v>
      </c>
      <c r="AI621" s="131">
        <f t="shared" si="47"/>
        <v>-77120289.311149716</v>
      </c>
      <c r="AJ621" s="31">
        <f t="shared" si="48"/>
        <v>109104.28552711215</v>
      </c>
    </row>
    <row r="622" spans="15:36">
      <c r="O622" s="15">
        <v>619</v>
      </c>
      <c r="P622" s="33">
        <v>3912411.8783384305</v>
      </c>
      <c r="Q622" s="33">
        <v>100570624.29175016</v>
      </c>
      <c r="R622" s="146">
        <v>-96658212.413411736</v>
      </c>
      <c r="S622" s="31">
        <v>23232.233129759341</v>
      </c>
      <c r="T622" s="31">
        <v>6499.2002328406352</v>
      </c>
      <c r="U622" s="142">
        <v>16733.032896918707</v>
      </c>
      <c r="AE622" s="137">
        <f t="shared" si="49"/>
        <v>3.8830085198370128</v>
      </c>
      <c r="AF622" s="131">
        <f t="shared" ca="1" si="45"/>
        <v>-65498183.693672821</v>
      </c>
      <c r="AG622" s="131">
        <f t="shared" ca="1" si="46"/>
        <v>17758229.496064618</v>
      </c>
      <c r="AI622" s="131">
        <f t="shared" si="47"/>
        <v>-96658212.413411736</v>
      </c>
      <c r="AJ622" s="31">
        <f t="shared" si="48"/>
        <v>16733.032896918707</v>
      </c>
    </row>
    <row r="623" spans="15:36">
      <c r="O623" s="15">
        <v>620</v>
      </c>
      <c r="P623" s="33">
        <v>3392454.9741258621</v>
      </c>
      <c r="Q623" s="33">
        <v>92666658.894182742</v>
      </c>
      <c r="R623" s="146">
        <v>-89274203.92005688</v>
      </c>
      <c r="S623" s="31">
        <v>50597.990350803098</v>
      </c>
      <c r="T623" s="31">
        <v>11294.735569785487</v>
      </c>
      <c r="U623" s="142">
        <v>39303.254781017611</v>
      </c>
      <c r="AE623" s="137">
        <f t="shared" si="49"/>
        <v>3.8892917051441924</v>
      </c>
      <c r="AF623" s="131">
        <f t="shared" ca="1" si="45"/>
        <v>-65599814.635464951</v>
      </c>
      <c r="AG623" s="131">
        <f t="shared" ca="1" si="46"/>
        <v>17657081.919099826</v>
      </c>
      <c r="AI623" s="131">
        <f t="shared" si="47"/>
        <v>-89274203.92005688</v>
      </c>
      <c r="AJ623" s="31">
        <f t="shared" si="48"/>
        <v>39303.254781017611</v>
      </c>
    </row>
    <row r="624" spans="15:36">
      <c r="O624" s="15">
        <v>621</v>
      </c>
      <c r="P624" s="33">
        <v>3658695.9409378688</v>
      </c>
      <c r="Q624" s="33">
        <v>77910582.319932878</v>
      </c>
      <c r="R624" s="146">
        <v>-74251886.378995016</v>
      </c>
      <c r="S624" s="31">
        <v>65703.948392775375</v>
      </c>
      <c r="T624" s="31">
        <v>10080.507144186935</v>
      </c>
      <c r="U624" s="142">
        <v>55623.441248588439</v>
      </c>
      <c r="AE624" s="137">
        <f t="shared" si="49"/>
        <v>3.8955748904513721</v>
      </c>
      <c r="AF624" s="131">
        <f t="shared" ca="1" si="45"/>
        <v>-65702136.515202478</v>
      </c>
      <c r="AG624" s="131">
        <f t="shared" ca="1" si="46"/>
        <v>17555240.596061777</v>
      </c>
      <c r="AI624" s="131">
        <f t="shared" si="47"/>
        <v>-74251886.378995016</v>
      </c>
      <c r="AJ624" s="31">
        <f t="shared" si="48"/>
        <v>55623.441248588439</v>
      </c>
    </row>
    <row r="625" spans="15:36">
      <c r="O625" s="15">
        <v>622</v>
      </c>
      <c r="P625" s="33">
        <v>3350792.7637453983</v>
      </c>
      <c r="Q625" s="33">
        <v>82425740.07974115</v>
      </c>
      <c r="R625" s="146">
        <v>-79074947.315995753</v>
      </c>
      <c r="S625" s="31">
        <v>70568.852678012903</v>
      </c>
      <c r="T625" s="31">
        <v>9669.6315117349332</v>
      </c>
      <c r="U625" s="142">
        <v>60899.221166277974</v>
      </c>
      <c r="AE625" s="137">
        <f t="shared" si="49"/>
        <v>3.9018580757585517</v>
      </c>
      <c r="AF625" s="131">
        <f t="shared" ca="1" si="45"/>
        <v>-65805145.293392777</v>
      </c>
      <c r="AG625" s="131">
        <f t="shared" ca="1" si="46"/>
        <v>17452709.547471531</v>
      </c>
      <c r="AI625" s="131">
        <f t="shared" si="47"/>
        <v>-79074947.315995753</v>
      </c>
      <c r="AJ625" s="31">
        <f t="shared" si="48"/>
        <v>60899.221166277974</v>
      </c>
    </row>
    <row r="626" spans="15:36">
      <c r="O626" s="15">
        <v>623</v>
      </c>
      <c r="P626" s="33">
        <v>3955571.3064565603</v>
      </c>
      <c r="Q626" s="33">
        <v>105709789.30813205</v>
      </c>
      <c r="R626" s="146">
        <v>-101754218.00167549</v>
      </c>
      <c r="S626" s="31">
        <v>127918.12269856328</v>
      </c>
      <c r="T626" s="31">
        <v>7220.1207261009131</v>
      </c>
      <c r="U626" s="142">
        <v>120698.00197246237</v>
      </c>
      <c r="AE626" s="137">
        <f t="shared" si="49"/>
        <v>3.9081412610657313</v>
      </c>
      <c r="AF626" s="131">
        <f t="shared" ca="1" si="45"/>
        <v>-65908836.903425679</v>
      </c>
      <c r="AG626" s="131">
        <f t="shared" ca="1" si="46"/>
        <v>17349492.821079317</v>
      </c>
      <c r="AI626" s="131">
        <f t="shared" si="47"/>
        <v>-101754218.00167549</v>
      </c>
      <c r="AJ626" s="31">
        <f t="shared" si="48"/>
        <v>120698.00197246237</v>
      </c>
    </row>
    <row r="627" spans="15:36">
      <c r="O627" s="15">
        <v>624</v>
      </c>
      <c r="P627" s="33">
        <v>3155385.4935323745</v>
      </c>
      <c r="Q627" s="33">
        <v>89905350.464279696</v>
      </c>
      <c r="R627" s="146">
        <v>-86749964.970747322</v>
      </c>
      <c r="S627" s="31">
        <v>110409.35716549671</v>
      </c>
      <c r="T627" s="31">
        <v>10439.415575930385</v>
      </c>
      <c r="U627" s="142">
        <v>99969.941589566326</v>
      </c>
      <c r="AE627" s="137">
        <f t="shared" si="49"/>
        <v>3.914424446372911</v>
      </c>
      <c r="AF627" s="131">
        <f t="shared" ca="1" si="45"/>
        <v>-66013207.251733959</v>
      </c>
      <c r="AG627" s="131">
        <f t="shared" ca="1" si="46"/>
        <v>17245594.491704762</v>
      </c>
      <c r="AI627" s="131">
        <f t="shared" si="47"/>
        <v>-86749964.970747322</v>
      </c>
      <c r="AJ627" s="31">
        <f t="shared" si="48"/>
        <v>99969.941589566326</v>
      </c>
    </row>
    <row r="628" spans="15:36">
      <c r="O628" s="15">
        <v>625</v>
      </c>
      <c r="P628" s="33">
        <v>3349495.7322277748</v>
      </c>
      <c r="Q628" s="33">
        <v>76743460.739120454</v>
      </c>
      <c r="R628" s="146">
        <v>-73393965.006892681</v>
      </c>
      <c r="S628" s="31">
        <v>24415.065558033653</v>
      </c>
      <c r="T628" s="31">
        <v>9562.3520879906901</v>
      </c>
      <c r="U628" s="142">
        <v>14852.713470042963</v>
      </c>
      <c r="AE628" s="137">
        <f t="shared" si="49"/>
        <v>3.9207076316800906</v>
      </c>
      <c r="AF628" s="131">
        <f t="shared" ca="1" si="45"/>
        <v>-66118252.217954986</v>
      </c>
      <c r="AG628" s="131">
        <f t="shared" ca="1" si="46"/>
        <v>17141018.661076013</v>
      </c>
      <c r="AI628" s="131">
        <f t="shared" si="47"/>
        <v>-73393965.006892681</v>
      </c>
      <c r="AJ628" s="31">
        <f t="shared" si="48"/>
        <v>14852.713470042963</v>
      </c>
    </row>
    <row r="629" spans="15:36">
      <c r="O629" s="15">
        <v>626</v>
      </c>
      <c r="P629" s="33">
        <v>3342745.4103652202</v>
      </c>
      <c r="Q629" s="33">
        <v>96304252.496564761</v>
      </c>
      <c r="R629" s="146">
        <v>-92961507.086199537</v>
      </c>
      <c r="S629" s="31">
        <v>78752.687849159367</v>
      </c>
      <c r="T629" s="31">
        <v>3916.9533353300167</v>
      </c>
      <c r="U629" s="142">
        <v>74835.734513829346</v>
      </c>
      <c r="AE629" s="137">
        <f t="shared" si="49"/>
        <v>3.9269908169872703</v>
      </c>
      <c r="AF629" s="131">
        <f t="shared" ca="1" si="45"/>
        <v>-66223967.655093357</v>
      </c>
      <c r="AG629" s="131">
        <f t="shared" ca="1" si="46"/>
        <v>17035769.457667787</v>
      </c>
      <c r="AI629" s="131">
        <f t="shared" si="47"/>
        <v>-92961507.086199537</v>
      </c>
      <c r="AJ629" s="31">
        <f t="shared" si="48"/>
        <v>74835.734513829346</v>
      </c>
    </row>
    <row r="630" spans="15:36">
      <c r="O630" s="15">
        <v>627</v>
      </c>
      <c r="P630" s="33">
        <v>3994840.1044184519</v>
      </c>
      <c r="Q630" s="33">
        <v>96178653.581232831</v>
      </c>
      <c r="R630" s="146">
        <v>-92183813.476814374</v>
      </c>
      <c r="S630" s="31">
        <v>47200.435463967704</v>
      </c>
      <c r="T630" s="31">
        <v>6942.0663446462022</v>
      </c>
      <c r="U630" s="142">
        <v>40258.369119321505</v>
      </c>
      <c r="AE630" s="137">
        <f t="shared" si="49"/>
        <v>3.9332740022944499</v>
      </c>
      <c r="AF630" s="131">
        <f t="shared" ca="1" si="45"/>
        <v>-66330349.389684625</v>
      </c>
      <c r="AG630" s="131">
        <f t="shared" ca="1" si="46"/>
        <v>16929851.03653843</v>
      </c>
      <c r="AI630" s="131">
        <f t="shared" si="47"/>
        <v>-92183813.476814374</v>
      </c>
      <c r="AJ630" s="31">
        <f t="shared" si="48"/>
        <v>40258.369119321505</v>
      </c>
    </row>
    <row r="631" spans="15:36">
      <c r="O631" s="15">
        <v>628</v>
      </c>
      <c r="P631" s="33">
        <v>3309254.5145997973</v>
      </c>
      <c r="Q631" s="33">
        <v>80073184.196901411</v>
      </c>
      <c r="R631" s="146">
        <v>-76763929.682301611</v>
      </c>
      <c r="S631" s="31">
        <v>89455.709138815757</v>
      </c>
      <c r="T631" s="31">
        <v>12056.895255284502</v>
      </c>
      <c r="U631" s="142">
        <v>77398.813883531257</v>
      </c>
      <c r="AE631" s="137">
        <f t="shared" si="49"/>
        <v>3.9395571876016295</v>
      </c>
      <c r="AF631" s="131">
        <f t="shared" ca="1" si="45"/>
        <v>-66437393.22196006</v>
      </c>
      <c r="AG631" s="131">
        <f t="shared" ca="1" si="46"/>
        <v>16823267.579165842</v>
      </c>
      <c r="AI631" s="131">
        <f t="shared" si="47"/>
        <v>-76763929.682301611</v>
      </c>
      <c r="AJ631" s="31">
        <f t="shared" si="48"/>
        <v>77398.813883531257</v>
      </c>
    </row>
    <row r="632" spans="15:36">
      <c r="O632" s="15">
        <v>629</v>
      </c>
      <c r="P632" s="33">
        <v>3468849.2055631648</v>
      </c>
      <c r="Q632" s="33">
        <v>79119182.997225791</v>
      </c>
      <c r="R632" s="146">
        <v>-75650333.791662633</v>
      </c>
      <c r="S632" s="31">
        <v>123322.3907519054</v>
      </c>
      <c r="T632" s="31">
        <v>8150.3867597512926</v>
      </c>
      <c r="U632" s="142">
        <v>115172.00399215412</v>
      </c>
      <c r="AE632" s="137">
        <f t="shared" si="49"/>
        <v>3.9458403729088092</v>
      </c>
      <c r="AF632" s="131">
        <f t="shared" ca="1" si="45"/>
        <v>-66545094.926012456</v>
      </c>
      <c r="AG632" s="131">
        <f t="shared" ca="1" si="46"/>
        <v>16716023.293282419</v>
      </c>
      <c r="AI632" s="131">
        <f t="shared" si="47"/>
        <v>-75650333.791662633</v>
      </c>
      <c r="AJ632" s="31">
        <f t="shared" si="48"/>
        <v>115172.00399215412</v>
      </c>
    </row>
    <row r="633" spans="15:36">
      <c r="O633" s="15">
        <v>630</v>
      </c>
      <c r="P633" s="33">
        <v>3472894.0103148562</v>
      </c>
      <c r="Q633" s="33">
        <v>95104254.327344</v>
      </c>
      <c r="R633" s="146">
        <v>-91631360.317029148</v>
      </c>
      <c r="S633" s="31">
        <v>184582.63599454099</v>
      </c>
      <c r="T633" s="31">
        <v>16885.835376211129</v>
      </c>
      <c r="U633" s="142">
        <v>167696.80061832987</v>
      </c>
      <c r="AE633" s="137">
        <f t="shared" si="49"/>
        <v>3.9521235582159888</v>
      </c>
      <c r="AF633" s="131">
        <f t="shared" ca="1" si="45"/>
        <v>-66653450.249962956</v>
      </c>
      <c r="AG633" s="131">
        <f t="shared" ca="1" si="46"/>
        <v>16608122.41270894</v>
      </c>
      <c r="AI633" s="131">
        <f t="shared" si="47"/>
        <v>-91631360.317029148</v>
      </c>
      <c r="AJ633" s="31">
        <f t="shared" si="48"/>
        <v>167696.80061832987</v>
      </c>
    </row>
    <row r="634" spans="15:36">
      <c r="O634" s="15">
        <v>631</v>
      </c>
      <c r="P634" s="33">
        <v>3469010.5591904307</v>
      </c>
      <c r="Q634" s="33">
        <v>68764831.487645403</v>
      </c>
      <c r="R634" s="146">
        <v>-65295820.928454973</v>
      </c>
      <c r="S634" s="31">
        <v>63818.803474918939</v>
      </c>
      <c r="T634" s="31">
        <v>12251.435337025709</v>
      </c>
      <c r="U634" s="142">
        <v>51567.368137893231</v>
      </c>
      <c r="AE634" s="137">
        <f t="shared" si="49"/>
        <v>3.9584067435231685</v>
      </c>
      <c r="AF634" s="131">
        <f t="shared" ca="1" si="45"/>
        <v>-66762454.916128896</v>
      </c>
      <c r="AG634" s="131">
        <f t="shared" ca="1" si="46"/>
        <v>16499569.197187413</v>
      </c>
      <c r="AI634" s="131">
        <f t="shared" si="47"/>
        <v>-65295820.928454973</v>
      </c>
      <c r="AJ634" s="31">
        <f t="shared" si="48"/>
        <v>51567.368137893231</v>
      </c>
    </row>
    <row r="635" spans="15:36">
      <c r="O635" s="15">
        <v>632</v>
      </c>
      <c r="P635" s="33">
        <v>3016479.0285751731</v>
      </c>
      <c r="Q635" s="33">
        <v>73350730.898907274</v>
      </c>
      <c r="R635" s="146">
        <v>-70334251.870332107</v>
      </c>
      <c r="S635" s="31">
        <v>112020.84224541228</v>
      </c>
      <c r="T635" s="31">
        <v>12357.555540040652</v>
      </c>
      <c r="U635" s="142">
        <v>99663.286705371633</v>
      </c>
      <c r="AE635" s="137">
        <f t="shared" si="49"/>
        <v>3.9646899288303481</v>
      </c>
      <c r="AF635" s="131">
        <f t="shared" ca="1" si="45"/>
        <v>-66872104.621192709</v>
      </c>
      <c r="AG635" s="131">
        <f t="shared" ca="1" si="46"/>
        <v>16390367.932212913</v>
      </c>
      <c r="AI635" s="131">
        <f t="shared" si="47"/>
        <v>-70334251.870332107</v>
      </c>
      <c r="AJ635" s="31">
        <f t="shared" si="48"/>
        <v>99663.286705371633</v>
      </c>
    </row>
    <row r="636" spans="15:36">
      <c r="O636" s="15">
        <v>633</v>
      </c>
      <c r="P636" s="33">
        <v>3184049.1289525763</v>
      </c>
      <c r="Q636" s="33">
        <v>73283741.397919163</v>
      </c>
      <c r="R636" s="146">
        <v>-70099692.268966585</v>
      </c>
      <c r="S636" s="31">
        <v>49048.41027383077</v>
      </c>
      <c r="T636" s="31">
        <v>8092.5148648302629</v>
      </c>
      <c r="U636" s="142">
        <v>40955.895409000506</v>
      </c>
      <c r="AE636" s="137">
        <f t="shared" si="49"/>
        <v>3.9709731141375277</v>
      </c>
      <c r="AF636" s="131">
        <f t="shared" ca="1" si="45"/>
        <v>-66982395.036371782</v>
      </c>
      <c r="AG636" s="131">
        <f t="shared" ca="1" si="46"/>
        <v>16280522.928864401</v>
      </c>
      <c r="AI636" s="131">
        <f t="shared" si="47"/>
        <v>-70099692.268966585</v>
      </c>
      <c r="AJ636" s="31">
        <f t="shared" si="48"/>
        <v>40955.895409000506</v>
      </c>
    </row>
    <row r="637" spans="15:36">
      <c r="O637" s="15">
        <v>634</v>
      </c>
      <c r="P637" s="33">
        <v>2897089.9523603236</v>
      </c>
      <c r="Q637" s="33">
        <v>100432271.0521865</v>
      </c>
      <c r="R637" s="146">
        <v>-97535181.099826187</v>
      </c>
      <c r="S637" s="31">
        <v>146810.31907235691</v>
      </c>
      <c r="T637" s="31">
        <v>11219.683724540393</v>
      </c>
      <c r="U637" s="142">
        <v>135590.63534781651</v>
      </c>
      <c r="AE637" s="137">
        <f t="shared" si="49"/>
        <v>3.9772562994447074</v>
      </c>
      <c r="AF637" s="131">
        <f t="shared" ca="1" si="45"/>
        <v>-67093321.807589374</v>
      </c>
      <c r="AG637" s="131">
        <f t="shared" ca="1" si="46"/>
        <v>16170038.523634523</v>
      </c>
      <c r="AI637" s="131">
        <f t="shared" si="47"/>
        <v>-97535181.099826187</v>
      </c>
      <c r="AJ637" s="31">
        <f t="shared" si="48"/>
        <v>135590.63534781651</v>
      </c>
    </row>
    <row r="638" spans="15:36">
      <c r="O638" s="15">
        <v>635</v>
      </c>
      <c r="P638" s="33">
        <v>3392760.3325945702</v>
      </c>
      <c r="Q638" s="33">
        <v>65771843.963507369</v>
      </c>
      <c r="R638" s="146">
        <v>-62379083.630912796</v>
      </c>
      <c r="S638" s="31">
        <v>45589.527867331461</v>
      </c>
      <c r="T638" s="31">
        <v>7435.1891611470764</v>
      </c>
      <c r="U638" s="142">
        <v>38154.338706184382</v>
      </c>
      <c r="AE638" s="137">
        <f t="shared" si="49"/>
        <v>3.983539484751887</v>
      </c>
      <c r="AF638" s="131">
        <f t="shared" ca="1" si="45"/>
        <v>-67204880.555646494</v>
      </c>
      <c r="AG638" s="131">
        <f t="shared" ca="1" si="46"/>
        <v>16058919.078258412</v>
      </c>
      <c r="AI638" s="131">
        <f t="shared" si="47"/>
        <v>-62379083.630912796</v>
      </c>
      <c r="AJ638" s="31">
        <f t="shared" si="48"/>
        <v>38154.338706184382</v>
      </c>
    </row>
    <row r="639" spans="15:36">
      <c r="O639" s="15">
        <v>636</v>
      </c>
      <c r="P639" s="33">
        <v>3470187.3868560656</v>
      </c>
      <c r="Q639" s="33">
        <v>79782681.97927767</v>
      </c>
      <c r="R639" s="146">
        <v>-76312494.592421606</v>
      </c>
      <c r="S639" s="31">
        <v>139345.10195078465</v>
      </c>
      <c r="T639" s="31">
        <v>16755.961477187739</v>
      </c>
      <c r="U639" s="142">
        <v>122589.14047359691</v>
      </c>
      <c r="AE639" s="137">
        <f t="shared" si="49"/>
        <v>3.9898226700590667</v>
      </c>
      <c r="AF639" s="131">
        <f t="shared" ca="1" si="45"/>
        <v>-67317066.876394793</v>
      </c>
      <c r="AG639" s="131">
        <f t="shared" ca="1" si="46"/>
        <v>15947168.979541514</v>
      </c>
      <c r="AI639" s="131">
        <f t="shared" si="47"/>
        <v>-76312494.592421606</v>
      </c>
      <c r="AJ639" s="31">
        <f t="shared" si="48"/>
        <v>122589.14047359691</v>
      </c>
    </row>
    <row r="640" spans="15:36">
      <c r="O640" s="15">
        <v>637</v>
      </c>
      <c r="P640" s="33">
        <v>3473649.8228031658</v>
      </c>
      <c r="Q640" s="33">
        <v>80116543.38691406</v>
      </c>
      <c r="R640" s="146">
        <v>-76642893.56411089</v>
      </c>
      <c r="S640" s="31">
        <v>66086.630281673861</v>
      </c>
      <c r="T640" s="31">
        <v>12833.85943222459</v>
      </c>
      <c r="U640" s="142">
        <v>53252.770849449269</v>
      </c>
      <c r="AE640" s="137">
        <f t="shared" si="49"/>
        <v>3.9961058553662463</v>
      </c>
      <c r="AF640" s="131">
        <f t="shared" ca="1" si="45"/>
        <v>-67429876.34091042</v>
      </c>
      <c r="AG640" s="131">
        <f t="shared" ca="1" si="46"/>
        <v>15834792.639186375</v>
      </c>
      <c r="AI640" s="131">
        <f t="shared" si="47"/>
        <v>-76642893.56411089</v>
      </c>
      <c r="AJ640" s="31">
        <f t="shared" si="48"/>
        <v>53252.770849449269</v>
      </c>
    </row>
    <row r="641" spans="15:36">
      <c r="O641" s="15">
        <v>638</v>
      </c>
      <c r="P641" s="33">
        <v>3715623.4848683667</v>
      </c>
      <c r="Q641" s="33">
        <v>94249313.734704211</v>
      </c>
      <c r="R641" s="146">
        <v>-90533690.249835849</v>
      </c>
      <c r="S641" s="31">
        <v>110122.6061519699</v>
      </c>
      <c r="T641" s="31">
        <v>21438.260340431141</v>
      </c>
      <c r="U641" s="142">
        <v>88684.345811538762</v>
      </c>
      <c r="AE641" s="137">
        <f t="shared" si="49"/>
        <v>4.0023890406734255</v>
      </c>
      <c r="AF641" s="131">
        <f t="shared" ca="1" si="45"/>
        <v>-67543304.495668873</v>
      </c>
      <c r="AG641" s="131">
        <f t="shared" ca="1" si="46"/>
        <v>15721794.493618499</v>
      </c>
      <c r="AI641" s="131">
        <f t="shared" si="47"/>
        <v>-90533690.249835849</v>
      </c>
      <c r="AJ641" s="31">
        <f t="shared" si="48"/>
        <v>88684.345811538762</v>
      </c>
    </row>
    <row r="642" spans="15:36">
      <c r="O642" s="15">
        <v>639</v>
      </c>
      <c r="P642" s="33">
        <v>2519078.7511827992</v>
      </c>
      <c r="Q642" s="33">
        <v>91205758.511207208</v>
      </c>
      <c r="R642" s="146">
        <v>-88686679.760024413</v>
      </c>
      <c r="S642" s="31">
        <v>106862.05375295618</v>
      </c>
      <c r="T642" s="31">
        <v>5722.8581768323047</v>
      </c>
      <c r="U642" s="142">
        <v>101139.19557612388</v>
      </c>
      <c r="AE642" s="137">
        <f t="shared" si="49"/>
        <v>4.0086722259806047</v>
      </c>
      <c r="AF642" s="131">
        <f t="shared" ca="1" si="45"/>
        <v>-67657346.862720817</v>
      </c>
      <c r="AG642" s="131">
        <f t="shared" ca="1" si="46"/>
        <v>15608179.003811188</v>
      </c>
      <c r="AI642" s="131">
        <f t="shared" si="47"/>
        <v>-88686679.760024413</v>
      </c>
      <c r="AJ642" s="31">
        <f t="shared" si="48"/>
        <v>101139.19557612388</v>
      </c>
    </row>
    <row r="643" spans="15:36">
      <c r="O643" s="15">
        <v>640</v>
      </c>
      <c r="P643" s="33">
        <v>2903204.2424399629</v>
      </c>
      <c r="Q643" s="33">
        <v>90347285.055448845</v>
      </c>
      <c r="R643" s="146">
        <v>-87444080.813008875</v>
      </c>
      <c r="S643" s="31">
        <v>112043.77953556496</v>
      </c>
      <c r="T643" s="31">
        <v>15293.546444492329</v>
      </c>
      <c r="U643" s="142">
        <v>96750.23309107263</v>
      </c>
      <c r="AE643" s="137">
        <f t="shared" si="49"/>
        <v>4.0149554112877839</v>
      </c>
      <c r="AF643" s="131">
        <f t="shared" ca="1" si="45"/>
        <v>-67771998.939868882</v>
      </c>
      <c r="AG643" s="131">
        <f t="shared" ca="1" si="46"/>
        <v>15493950.655109432</v>
      </c>
      <c r="AI643" s="131">
        <f t="shared" si="47"/>
        <v>-87444080.813008875</v>
      </c>
      <c r="AJ643" s="31">
        <f t="shared" si="48"/>
        <v>96750.23309107263</v>
      </c>
    </row>
    <row r="644" spans="15:36">
      <c r="O644" s="15">
        <v>641</v>
      </c>
      <c r="P644" s="33">
        <v>3916359.2143381736</v>
      </c>
      <c r="Q644" s="33">
        <v>98479001.694686249</v>
      </c>
      <c r="R644" s="146">
        <v>-94562642.48034808</v>
      </c>
      <c r="S644" s="31">
        <v>60490.655869990696</v>
      </c>
      <c r="T644" s="31">
        <v>7276.8640723050539</v>
      </c>
      <c r="U644" s="142">
        <v>53213.791797685641</v>
      </c>
      <c r="AE644" s="137">
        <f t="shared" si="49"/>
        <v>4.0212385965949631</v>
      </c>
      <c r="AF644" s="131">
        <f t="shared" ca="1" si="45"/>
        <v>-67887256.200845376</v>
      </c>
      <c r="AG644" s="131">
        <f t="shared" ca="1" si="46"/>
        <v>15379113.957052849</v>
      </c>
      <c r="AI644" s="131">
        <f t="shared" si="47"/>
        <v>-94562642.48034808</v>
      </c>
      <c r="AJ644" s="31">
        <f t="shared" si="48"/>
        <v>53213.791797685641</v>
      </c>
    </row>
    <row r="645" spans="15:36">
      <c r="O645" s="15">
        <v>642</v>
      </c>
      <c r="P645" s="33">
        <v>3450033.4861423736</v>
      </c>
      <c r="Q645" s="33">
        <v>100937764.86412606</v>
      </c>
      <c r="R645" s="146">
        <v>-97487731.377983689</v>
      </c>
      <c r="S645" s="31">
        <v>145616.35004833929</v>
      </c>
      <c r="T645" s="31">
        <v>14486.650025916242</v>
      </c>
      <c r="U645" s="142">
        <v>131129.70002242306</v>
      </c>
      <c r="AE645" s="137">
        <f t="shared" si="49"/>
        <v>4.0275217819021423</v>
      </c>
      <c r="AF645" s="131">
        <f t="shared" ref="AF645:AF708" ca="1" si="50">(AB$25*AC$19*COS(AE645)+AC$25*AC$20*SIN(AE645))+X$9</f>
        <v>-68003114.095490977</v>
      </c>
      <c r="AG645" s="131">
        <f t="shared" ref="AG645:AG708" ca="1" si="51">(AC$26*AC$19*COS(AE645)+AC$26*AC$20*SIN(AE645))+Y$9</f>
        <v>15263673.443197651</v>
      </c>
      <c r="AI645" s="131">
        <f t="shared" ref="AI645:AI708" si="52">R645</f>
        <v>-97487731.377983689</v>
      </c>
      <c r="AJ645" s="31">
        <f t="shared" ref="AJ645:AJ708" si="53">U645</f>
        <v>131129.70002242306</v>
      </c>
    </row>
    <row r="646" spans="15:36">
      <c r="O646" s="15">
        <v>643</v>
      </c>
      <c r="P646" s="33">
        <v>2434753.5787955094</v>
      </c>
      <c r="Q646" s="33">
        <v>85627168.412421554</v>
      </c>
      <c r="R646" s="146">
        <v>-83192414.833626047</v>
      </c>
      <c r="S646" s="31">
        <v>84691.223712909064</v>
      </c>
      <c r="T646" s="31">
        <v>10407.331146458106</v>
      </c>
      <c r="U646" s="142">
        <v>74283.892566450959</v>
      </c>
      <c r="AE646" s="137">
        <f t="shared" si="49"/>
        <v>4.0338049672093215</v>
      </c>
      <c r="AF646" s="131">
        <f t="shared" ca="1" si="50"/>
        <v>-68119568.049934402</v>
      </c>
      <c r="AG646" s="131">
        <f t="shared" ca="1" si="51"/>
        <v>15147633.670937652</v>
      </c>
      <c r="AI646" s="131">
        <f t="shared" si="52"/>
        <v>-83192414.833626047</v>
      </c>
      <c r="AJ646" s="31">
        <f t="shared" si="53"/>
        <v>74283.892566450959</v>
      </c>
    </row>
    <row r="647" spans="15:36">
      <c r="O647" s="15">
        <v>644</v>
      </c>
      <c r="P647" s="33">
        <v>3725539.9677245957</v>
      </c>
      <c r="Q647" s="33">
        <v>78070612.933625072</v>
      </c>
      <c r="R647" s="146">
        <v>-74345072.965900481</v>
      </c>
      <c r="S647" s="31">
        <v>318532.28804330458</v>
      </c>
      <c r="T647" s="31">
        <v>9847.4641791727081</v>
      </c>
      <c r="U647" s="142">
        <v>308684.82386413187</v>
      </c>
      <c r="AE647" s="137">
        <f t="shared" ref="AE647:AE710" si="54">AE646+AE$5</f>
        <v>4.0400881525165007</v>
      </c>
      <c r="AF647" s="131">
        <f t="shared" ca="1" si="50"/>
        <v>-68236613.466772929</v>
      </c>
      <c r="AG647" s="131">
        <f t="shared" ca="1" si="51"/>
        <v>15030999.221324373</v>
      </c>
      <c r="AI647" s="131">
        <f t="shared" si="52"/>
        <v>-74345072.965900481</v>
      </c>
      <c r="AJ647" s="31">
        <f t="shared" si="53"/>
        <v>308684.82386413187</v>
      </c>
    </row>
    <row r="648" spans="15:36">
      <c r="O648" s="15">
        <v>645</v>
      </c>
      <c r="P648" s="33">
        <v>3245885.3566800836</v>
      </c>
      <c r="Q648" s="33">
        <v>86378452.579509243</v>
      </c>
      <c r="R648" s="146">
        <v>-83132567.222829163</v>
      </c>
      <c r="S648" s="31">
        <v>104298.44176587013</v>
      </c>
      <c r="T648" s="31">
        <v>6801.6912341020889</v>
      </c>
      <c r="U648" s="142">
        <v>97496.750531768033</v>
      </c>
      <c r="AE648" s="137">
        <f t="shared" si="54"/>
        <v>4.0463713378236799</v>
      </c>
      <c r="AF648" s="131">
        <f t="shared" ca="1" si="50"/>
        <v>-68354245.725253895</v>
      </c>
      <c r="AG648" s="131">
        <f t="shared" ca="1" si="51"/>
        <v>14913774.698886175</v>
      </c>
      <c r="AI648" s="131">
        <f t="shared" si="52"/>
        <v>-83132567.222829163</v>
      </c>
      <c r="AJ648" s="31">
        <f t="shared" si="53"/>
        <v>97496.750531768033</v>
      </c>
    </row>
    <row r="649" spans="15:36">
      <c r="O649" s="15">
        <v>646</v>
      </c>
      <c r="P649" s="33">
        <v>2974910.0162482699</v>
      </c>
      <c r="Q649" s="33">
        <v>87356475.276016206</v>
      </c>
      <c r="R649" s="146">
        <v>-84381565.259767935</v>
      </c>
      <c r="S649" s="31">
        <v>77356.520744110167</v>
      </c>
      <c r="T649" s="31">
        <v>13270.141330214821</v>
      </c>
      <c r="U649" s="142">
        <v>64086.379413895345</v>
      </c>
      <c r="AE649" s="137">
        <f t="shared" si="54"/>
        <v>4.0526545231308591</v>
      </c>
      <c r="AF649" s="131">
        <f t="shared" ca="1" si="50"/>
        <v>-68472460.181457177</v>
      </c>
      <c r="AG649" s="131">
        <f t="shared" ca="1" si="51"/>
        <v>14795964.731446482</v>
      </c>
      <c r="AI649" s="131">
        <f t="shared" si="52"/>
        <v>-84381565.259767935</v>
      </c>
      <c r="AJ649" s="31">
        <f t="shared" si="53"/>
        <v>64086.379413895345</v>
      </c>
    </row>
    <row r="650" spans="15:36">
      <c r="O650" s="15">
        <v>647</v>
      </c>
      <c r="P650" s="33">
        <v>3301715.5960264225</v>
      </c>
      <c r="Q650" s="33">
        <v>81056764.446142837</v>
      </c>
      <c r="R650" s="146">
        <v>-77755048.850116417</v>
      </c>
      <c r="S650" s="31">
        <v>206198.85006536904</v>
      </c>
      <c r="T650" s="31">
        <v>11948.829584727082</v>
      </c>
      <c r="U650" s="142">
        <v>194250.02048064195</v>
      </c>
      <c r="AE650" s="137">
        <f t="shared" si="54"/>
        <v>4.0589377084380382</v>
      </c>
      <c r="AF650" s="131">
        <f t="shared" ca="1" si="50"/>
        <v>-68591252.168478459</v>
      </c>
      <c r="AG650" s="131">
        <f t="shared" ca="1" si="51"/>
        <v>14677573.969941087</v>
      </c>
      <c r="AI650" s="131">
        <f t="shared" si="52"/>
        <v>-77755048.850116417</v>
      </c>
      <c r="AJ650" s="31">
        <f t="shared" si="53"/>
        <v>194250.02048064195</v>
      </c>
    </row>
    <row r="651" spans="15:36">
      <c r="O651" s="15">
        <v>648</v>
      </c>
      <c r="P651" s="33">
        <v>2826277.7304755491</v>
      </c>
      <c r="Q651" s="33">
        <v>93074895.313495427</v>
      </c>
      <c r="R651" s="146">
        <v>-90248617.583019882</v>
      </c>
      <c r="S651" s="31">
        <v>68786.261474743369</v>
      </c>
      <c r="T651" s="31">
        <v>19590.359273395457</v>
      </c>
      <c r="U651" s="142">
        <v>49195.902201347912</v>
      </c>
      <c r="AE651" s="137">
        <f t="shared" si="54"/>
        <v>4.0652208937452174</v>
      </c>
      <c r="AF651" s="131">
        <f t="shared" ca="1" si="50"/>
        <v>-68710616.996613488</v>
      </c>
      <c r="AG651" s="131">
        <f t="shared" ca="1" si="51"/>
        <v>14558607.088234533</v>
      </c>
      <c r="AI651" s="131">
        <f t="shared" si="52"/>
        <v>-90248617.583019882</v>
      </c>
      <c r="AJ651" s="31">
        <f t="shared" si="53"/>
        <v>49195.902201347912</v>
      </c>
    </row>
    <row r="652" spans="15:36">
      <c r="O652" s="15">
        <v>649</v>
      </c>
      <c r="P652" s="33">
        <v>3712667.9747398891</v>
      </c>
      <c r="Q652" s="33">
        <v>76051672.043166727</v>
      </c>
      <c r="R652" s="146">
        <v>-72339004.068426833</v>
      </c>
      <c r="S652" s="31">
        <v>118565.7101805959</v>
      </c>
      <c r="T652" s="31">
        <v>6268.9365495656193</v>
      </c>
      <c r="U652" s="142">
        <v>112296.77363103027</v>
      </c>
      <c r="AE652" s="137">
        <f t="shared" si="54"/>
        <v>4.0715040790523966</v>
      </c>
      <c r="AF652" s="131">
        <f t="shared" ca="1" si="50"/>
        <v>-68830549.953543231</v>
      </c>
      <c r="AG652" s="131">
        <f t="shared" ca="1" si="51"/>
        <v>14439068.782935608</v>
      </c>
      <c r="AI652" s="131">
        <f t="shared" si="52"/>
        <v>-72339004.068426833</v>
      </c>
      <c r="AJ652" s="31">
        <f t="shared" si="53"/>
        <v>112296.77363103027</v>
      </c>
    </row>
    <row r="653" spans="15:36">
      <c r="O653" s="15">
        <v>650</v>
      </c>
      <c r="P653" s="33">
        <v>3038142.001869746</v>
      </c>
      <c r="Q653" s="33">
        <v>61191755.548381619</v>
      </c>
      <c r="R653" s="146">
        <v>-58153613.546511874</v>
      </c>
      <c r="S653" s="31">
        <v>36152.804229299385</v>
      </c>
      <c r="T653" s="31">
        <v>14102.256162773703</v>
      </c>
      <c r="U653" s="142">
        <v>22050.548066525684</v>
      </c>
      <c r="AE653" s="137">
        <f t="shared" si="54"/>
        <v>4.0777872643595758</v>
      </c>
      <c r="AF653" s="131">
        <f t="shared" ca="1" si="50"/>
        <v>-68951046.304519922</v>
      </c>
      <c r="AG653" s="131">
        <f t="shared" ca="1" si="51"/>
        <v>14318963.773211926</v>
      </c>
      <c r="AI653" s="131">
        <f t="shared" si="52"/>
        <v>-58153613.546511874</v>
      </c>
      <c r="AJ653" s="31">
        <f t="shared" si="53"/>
        <v>22050.548066525684</v>
      </c>
    </row>
    <row r="654" spans="15:36">
      <c r="O654" s="15">
        <v>651</v>
      </c>
      <c r="P654" s="33">
        <v>2950052.8054794311</v>
      </c>
      <c r="Q654" s="33">
        <v>97814531.840214148</v>
      </c>
      <c r="R654" s="146">
        <v>-94864479.034734711</v>
      </c>
      <c r="S654" s="31">
        <v>30670.583759089481</v>
      </c>
      <c r="T654" s="31">
        <v>6372.3564314390878</v>
      </c>
      <c r="U654" s="142">
        <v>24298.227327650391</v>
      </c>
      <c r="AE654" s="137">
        <f t="shared" si="54"/>
        <v>4.084070449666755</v>
      </c>
      <c r="AF654" s="131">
        <f t="shared" ca="1" si="50"/>
        <v>-69072101.292553931</v>
      </c>
      <c r="AG654" s="131">
        <f t="shared" ca="1" si="51"/>
        <v>14198296.800603615</v>
      </c>
      <c r="AI654" s="131">
        <f t="shared" si="52"/>
        <v>-94864479.034734711</v>
      </c>
      <c r="AJ654" s="31">
        <f t="shared" si="53"/>
        <v>24298.227327650391</v>
      </c>
    </row>
    <row r="655" spans="15:36">
      <c r="O655" s="15">
        <v>652</v>
      </c>
      <c r="P655" s="33">
        <v>2774332.1747234669</v>
      </c>
      <c r="Q655" s="33">
        <v>77841955.028249055</v>
      </c>
      <c r="R655" s="146">
        <v>-75067622.853525594</v>
      </c>
      <c r="S655" s="31">
        <v>111688.52313277348</v>
      </c>
      <c r="T655" s="31">
        <v>10769.770750095182</v>
      </c>
      <c r="U655" s="142">
        <v>100918.7523826783</v>
      </c>
      <c r="AE655" s="137">
        <f t="shared" si="54"/>
        <v>4.0903536349739342</v>
      </c>
      <c r="AF655" s="131">
        <f t="shared" ca="1" si="50"/>
        <v>-69193710.138601601</v>
      </c>
      <c r="AG655" s="131">
        <f t="shared" ca="1" si="51"/>
        <v>14077072.62883614</v>
      </c>
      <c r="AI655" s="131">
        <f t="shared" si="52"/>
        <v>-75067622.853525594</v>
      </c>
      <c r="AJ655" s="31">
        <f t="shared" si="53"/>
        <v>100918.7523826783</v>
      </c>
    </row>
    <row r="656" spans="15:36">
      <c r="O656" s="15">
        <v>653</v>
      </c>
      <c r="P656" s="33">
        <v>2807327.8390180049</v>
      </c>
      <c r="Q656" s="33">
        <v>82136358.550569519</v>
      </c>
      <c r="R656" s="146">
        <v>-79329030.711551517</v>
      </c>
      <c r="S656" s="31">
        <v>94161.10353849559</v>
      </c>
      <c r="T656" s="31">
        <v>9107.6248355299522</v>
      </c>
      <c r="U656" s="142">
        <v>85053.478702965644</v>
      </c>
      <c r="AE656" s="137">
        <f t="shared" si="54"/>
        <v>4.0966368202811134</v>
      </c>
      <c r="AF656" s="131">
        <f t="shared" ca="1" si="50"/>
        <v>-69315868.041753948</v>
      </c>
      <c r="AG656" s="131">
        <f t="shared" ca="1" si="51"/>
        <v>13955296.043632228</v>
      </c>
      <c r="AI656" s="131">
        <f t="shared" si="52"/>
        <v>-79329030.711551517</v>
      </c>
      <c r="AJ656" s="31">
        <f t="shared" si="53"/>
        <v>85053.478702965644</v>
      </c>
    </row>
    <row r="657" spans="15:36">
      <c r="O657" s="15">
        <v>654</v>
      </c>
      <c r="P657" s="33">
        <v>3394380.221618426</v>
      </c>
      <c r="Q657" s="33">
        <v>70468350.022505477</v>
      </c>
      <c r="R657" s="146">
        <v>-67073969.800887048</v>
      </c>
      <c r="S657" s="31">
        <v>68352.589592098186</v>
      </c>
      <c r="T657" s="31">
        <v>11100.857966093883</v>
      </c>
      <c r="U657" s="142">
        <v>57251.731626004301</v>
      </c>
      <c r="AE657" s="137">
        <f t="shared" si="54"/>
        <v>4.1029200055882926</v>
      </c>
      <c r="AF657" s="131">
        <f t="shared" ca="1" si="50"/>
        <v>-69438570.179426119</v>
      </c>
      <c r="AG657" s="131">
        <f t="shared" ca="1" si="51"/>
        <v>13832971.852522958</v>
      </c>
      <c r="AI657" s="131">
        <f t="shared" si="52"/>
        <v>-67073969.800887048</v>
      </c>
      <c r="AJ657" s="31">
        <f t="shared" si="53"/>
        <v>57251.731626004301</v>
      </c>
    </row>
    <row r="658" spans="15:36">
      <c r="O658" s="15">
        <v>655</v>
      </c>
      <c r="P658" s="33">
        <v>3233207.7003748491</v>
      </c>
      <c r="Q658" s="33">
        <v>80636927.027542666</v>
      </c>
      <c r="R658" s="146">
        <v>-77403719.327167809</v>
      </c>
      <c r="S658" s="31">
        <v>58282.238653218621</v>
      </c>
      <c r="T658" s="31">
        <v>8598.8747820531426</v>
      </c>
      <c r="U658" s="142">
        <v>49683.363871165478</v>
      </c>
      <c r="AE658" s="137">
        <f t="shared" si="54"/>
        <v>4.1092031908954718</v>
      </c>
      <c r="AF658" s="131">
        <f t="shared" ca="1" si="50"/>
        <v>-69561811.707547784</v>
      </c>
      <c r="AG658" s="131">
        <f t="shared" ca="1" si="51"/>
        <v>13710104.884657934</v>
      </c>
      <c r="AI658" s="131">
        <f t="shared" si="52"/>
        <v>-77403719.327167809</v>
      </c>
      <c r="AJ658" s="31">
        <f t="shared" si="53"/>
        <v>49683.363871165478</v>
      </c>
    </row>
    <row r="659" spans="15:36">
      <c r="O659" s="15">
        <v>656</v>
      </c>
      <c r="P659" s="33">
        <v>3075106.8349102489</v>
      </c>
      <c r="Q659" s="33">
        <v>104520108.62318219</v>
      </c>
      <c r="R659" s="146">
        <v>-101445001.78827195</v>
      </c>
      <c r="S659" s="31">
        <v>69435.14489772341</v>
      </c>
      <c r="T659" s="31">
        <v>10125.632994020774</v>
      </c>
      <c r="U659" s="142">
        <v>59309.511903702638</v>
      </c>
      <c r="AE659" s="137">
        <f t="shared" si="54"/>
        <v>4.115486376202651</v>
      </c>
      <c r="AF659" s="131">
        <f t="shared" ca="1" si="50"/>
        <v>-69685587.760754481</v>
      </c>
      <c r="AG659" s="131">
        <f t="shared" ca="1" si="51"/>
        <v>13586699.990614666</v>
      </c>
      <c r="AI659" s="131">
        <f t="shared" si="52"/>
        <v>-101445001.78827195</v>
      </c>
      <c r="AJ659" s="31">
        <f t="shared" si="53"/>
        <v>59309.511903702638</v>
      </c>
    </row>
    <row r="660" spans="15:36">
      <c r="O660" s="15">
        <v>657</v>
      </c>
      <c r="P660" s="33">
        <v>3439589.4221075219</v>
      </c>
      <c r="Q660" s="33">
        <v>79493308.699023306</v>
      </c>
      <c r="R660" s="146">
        <v>-76053719.276915789</v>
      </c>
      <c r="S660" s="31">
        <v>60619.361217909238</v>
      </c>
      <c r="T660" s="31">
        <v>12298.20802385826</v>
      </c>
      <c r="U660" s="142">
        <v>48321.153194050974</v>
      </c>
      <c r="AE660" s="137">
        <f t="shared" si="54"/>
        <v>4.1217695615098302</v>
      </c>
      <c r="AF660" s="131">
        <f t="shared" ca="1" si="50"/>
        <v>-69809893.452579543</v>
      </c>
      <c r="AG660" s="131">
        <f t="shared" ca="1" si="51"/>
        <v>13462762.042207073</v>
      </c>
      <c r="AI660" s="131">
        <f t="shared" si="52"/>
        <v>-76053719.276915789</v>
      </c>
      <c r="AJ660" s="31">
        <f t="shared" si="53"/>
        <v>48321.153194050974</v>
      </c>
    </row>
    <row r="661" spans="15:36">
      <c r="O661" s="15">
        <v>658</v>
      </c>
      <c r="P661" s="33">
        <v>4213705.7269682828</v>
      </c>
      <c r="Q661" s="33">
        <v>82409743.691259652</v>
      </c>
      <c r="R661" s="146">
        <v>-78196037.964291364</v>
      </c>
      <c r="S661" s="31">
        <v>54384.588380163412</v>
      </c>
      <c r="T661" s="31">
        <v>4924.3937278301782</v>
      </c>
      <c r="U661" s="142">
        <v>49460.19465233323</v>
      </c>
      <c r="AE661" s="137">
        <f t="shared" si="54"/>
        <v>4.1280527468170094</v>
      </c>
      <c r="AF661" s="131">
        <f t="shared" ca="1" si="50"/>
        <v>-69934723.875647098</v>
      </c>
      <c r="AG661" s="131">
        <f t="shared" ca="1" si="51"/>
        <v>13338295.932293139</v>
      </c>
      <c r="AI661" s="131">
        <f t="shared" si="52"/>
        <v>-78196037.964291364</v>
      </c>
      <c r="AJ661" s="31">
        <f t="shared" si="53"/>
        <v>49460.19465233323</v>
      </c>
    </row>
    <row r="662" spans="15:36">
      <c r="O662" s="15">
        <v>659</v>
      </c>
      <c r="P662" s="33">
        <v>3764819.7762504444</v>
      </c>
      <c r="Q662" s="33">
        <v>82042242.039145589</v>
      </c>
      <c r="R662" s="146">
        <v>-78277422.262895137</v>
      </c>
      <c r="S662" s="31">
        <v>215812.28075137112</v>
      </c>
      <c r="T662" s="31">
        <v>8615.7417387693349</v>
      </c>
      <c r="U662" s="142">
        <v>207196.53901260177</v>
      </c>
      <c r="AE662" s="137">
        <f t="shared" si="54"/>
        <v>4.1343359321241886</v>
      </c>
      <c r="AF662" s="131">
        <f t="shared" ca="1" si="50"/>
        <v>-70060074.101865798</v>
      </c>
      <c r="AG662" s="131">
        <f t="shared" ca="1" si="51"/>
        <v>13213306.574581765</v>
      </c>
      <c r="AI662" s="131">
        <f t="shared" si="52"/>
        <v>-78277422.262895137</v>
      </c>
      <c r="AJ662" s="31">
        <f t="shared" si="53"/>
        <v>207196.53901260177</v>
      </c>
    </row>
    <row r="663" spans="15:36">
      <c r="O663" s="15">
        <v>660</v>
      </c>
      <c r="P663" s="33">
        <v>3336041.1530178776</v>
      </c>
      <c r="Q663" s="33">
        <v>85444095.113824472</v>
      </c>
      <c r="R663" s="146">
        <v>-82108053.960806593</v>
      </c>
      <c r="S663" s="31">
        <v>119341.63225819732</v>
      </c>
      <c r="T663" s="31">
        <v>5837.1371152730098</v>
      </c>
      <c r="U663" s="142">
        <v>113504.49514292431</v>
      </c>
      <c r="AE663" s="137">
        <f t="shared" si="54"/>
        <v>4.1406191174313678</v>
      </c>
      <c r="AF663" s="131">
        <f t="shared" ca="1" si="50"/>
        <v>-70185939.182623342</v>
      </c>
      <c r="AG663" s="131">
        <f t="shared" ca="1" si="51"/>
        <v>13087798.903438773</v>
      </c>
      <c r="AI663" s="131">
        <f t="shared" si="52"/>
        <v>-82108053.960806593</v>
      </c>
      <c r="AJ663" s="31">
        <f t="shared" si="53"/>
        <v>113504.49514292431</v>
      </c>
    </row>
    <row r="664" spans="15:36">
      <c r="O664" s="15">
        <v>661</v>
      </c>
      <c r="P664" s="33">
        <v>3440849.6171442252</v>
      </c>
      <c r="Q664" s="33">
        <v>82089654.599454343</v>
      </c>
      <c r="R664" s="146">
        <v>-78648804.982310116</v>
      </c>
      <c r="S664" s="31">
        <v>89521.106313952158</v>
      </c>
      <c r="T664" s="31">
        <v>8439.8677289177031</v>
      </c>
      <c r="U664" s="142">
        <v>81081.238585034458</v>
      </c>
      <c r="AE664" s="137">
        <f t="shared" si="54"/>
        <v>4.146902302738547</v>
      </c>
      <c r="AF664" s="131">
        <f t="shared" ca="1" si="50"/>
        <v>-70312314.148981869</v>
      </c>
      <c r="AG664" s="131">
        <f t="shared" ca="1" si="51"/>
        <v>12961777.873692119</v>
      </c>
      <c r="AI664" s="131">
        <f t="shared" si="52"/>
        <v>-78648804.982310116</v>
      </c>
      <c r="AJ664" s="31">
        <f t="shared" si="53"/>
        <v>81081.238585034458</v>
      </c>
    </row>
    <row r="665" spans="15:36">
      <c r="O665" s="15">
        <v>662</v>
      </c>
      <c r="P665" s="33">
        <v>3407876.6676656613</v>
      </c>
      <c r="Q665" s="33">
        <v>84932972.670365363</v>
      </c>
      <c r="R665" s="146">
        <v>-81525096.002699703</v>
      </c>
      <c r="S665" s="31">
        <v>58671.200876100236</v>
      </c>
      <c r="T665" s="31">
        <v>14985.80142655638</v>
      </c>
      <c r="U665" s="142">
        <v>43685.399449543853</v>
      </c>
      <c r="AE665" s="137">
        <f t="shared" si="54"/>
        <v>4.1531854880457262</v>
      </c>
      <c r="AF665" s="131">
        <f t="shared" ca="1" si="50"/>
        <v>-70439194.01187408</v>
      </c>
      <c r="AG665" s="131">
        <f t="shared" ca="1" si="51"/>
        <v>12835248.460436279</v>
      </c>
      <c r="AI665" s="131">
        <f t="shared" si="52"/>
        <v>-81525096.002699703</v>
      </c>
      <c r="AJ665" s="31">
        <f t="shared" si="53"/>
        <v>43685.399449543853</v>
      </c>
    </row>
    <row r="666" spans="15:36">
      <c r="O666" s="15">
        <v>663</v>
      </c>
      <c r="P666" s="33">
        <v>3084012.3878455958</v>
      </c>
      <c r="Q666" s="33">
        <v>61343508.192684859</v>
      </c>
      <c r="R666" s="146">
        <v>-58259495.804839261</v>
      </c>
      <c r="S666" s="31">
        <v>101458.65096775304</v>
      </c>
      <c r="T666" s="31">
        <v>21957.993631912224</v>
      </c>
      <c r="U666" s="142">
        <v>79500.65733584082</v>
      </c>
      <c r="AE666" s="137">
        <f t="shared" si="54"/>
        <v>4.1594686733529054</v>
      </c>
      <c r="AF666" s="131">
        <f t="shared" ca="1" si="50"/>
        <v>-70566573.762300238</v>
      </c>
      <c r="AG666" s="131">
        <f t="shared" ca="1" si="51"/>
        <v>12708215.658835828</v>
      </c>
      <c r="AI666" s="131">
        <f t="shared" si="52"/>
        <v>-58259495.804839261</v>
      </c>
      <c r="AJ666" s="31">
        <f t="shared" si="53"/>
        <v>79500.65733584082</v>
      </c>
    </row>
    <row r="667" spans="15:36">
      <c r="O667" s="15">
        <v>664</v>
      </c>
      <c r="P667" s="33">
        <v>3814767.9133737846</v>
      </c>
      <c r="Q667" s="33">
        <v>91026401.949869022</v>
      </c>
      <c r="R667" s="146">
        <v>-87211634.036495239</v>
      </c>
      <c r="S667" s="31">
        <v>93857.285573886504</v>
      </c>
      <c r="T667" s="31">
        <v>25809.958690381427</v>
      </c>
      <c r="U667" s="142">
        <v>68047.326883505069</v>
      </c>
      <c r="AE667" s="137">
        <f t="shared" si="54"/>
        <v>4.1657518586600846</v>
      </c>
      <c r="AF667" s="131">
        <f t="shared" ca="1" si="50"/>
        <v>-70694448.371525913</v>
      </c>
      <c r="AG667" s="131">
        <f t="shared" ca="1" si="51"/>
        <v>12580684.483928263</v>
      </c>
      <c r="AI667" s="131">
        <f t="shared" si="52"/>
        <v>-87211634.036495239</v>
      </c>
      <c r="AJ667" s="31">
        <f t="shared" si="53"/>
        <v>68047.326883505069</v>
      </c>
    </row>
    <row r="668" spans="15:36">
      <c r="O668" s="15">
        <v>665</v>
      </c>
      <c r="P668" s="33">
        <v>3202249.3301669825</v>
      </c>
      <c r="Q668" s="33">
        <v>67735923.623334199</v>
      </c>
      <c r="R668" s="146">
        <v>-64533674.293167219</v>
      </c>
      <c r="S668" s="31">
        <v>98398.706416121247</v>
      </c>
      <c r="T668" s="31">
        <v>6521.3272242404382</v>
      </c>
      <c r="U668" s="142">
        <v>91877.379191880813</v>
      </c>
      <c r="AE668" s="137">
        <f t="shared" si="54"/>
        <v>4.1720350439672638</v>
      </c>
      <c r="AF668" s="131">
        <f t="shared" ca="1" si="50"/>
        <v>-70822812.791280493</v>
      </c>
      <c r="AG668" s="131">
        <f t="shared" ca="1" si="51"/>
        <v>12452659.970425999</v>
      </c>
      <c r="AI668" s="131">
        <f t="shared" si="52"/>
        <v>-64533674.293167219</v>
      </c>
      <c r="AJ668" s="31">
        <f t="shared" si="53"/>
        <v>91877.379191880813</v>
      </c>
    </row>
    <row r="669" spans="15:36">
      <c r="O669" s="15">
        <v>666</v>
      </c>
      <c r="P669" s="33">
        <v>3012863.641373748</v>
      </c>
      <c r="Q669" s="33">
        <v>84619468.156176135</v>
      </c>
      <c r="R669" s="146">
        <v>-81606604.514802381</v>
      </c>
      <c r="S669" s="31">
        <v>60618.056694154824</v>
      </c>
      <c r="T669" s="31">
        <v>7749.5685290361034</v>
      </c>
      <c r="U669" s="142">
        <v>52868.488165118717</v>
      </c>
      <c r="AE669" s="137">
        <f t="shared" si="54"/>
        <v>4.178318229274443</v>
      </c>
      <c r="AF669" s="131">
        <f t="shared" ca="1" si="50"/>
        <v>-70951661.953956485</v>
      </c>
      <c r="AG669" s="131">
        <f t="shared" ca="1" si="51"/>
        <v>12324147.172517618</v>
      </c>
      <c r="AI669" s="131">
        <f t="shared" si="52"/>
        <v>-81606604.514802381</v>
      </c>
      <c r="AJ669" s="31">
        <f t="shared" si="53"/>
        <v>52868.488165118717</v>
      </c>
    </row>
    <row r="670" spans="15:36">
      <c r="O670" s="15">
        <v>667</v>
      </c>
      <c r="P670" s="33">
        <v>3409766.6975038075</v>
      </c>
      <c r="Q670" s="33">
        <v>94751133.52927132</v>
      </c>
      <c r="R670" s="146">
        <v>-91341366.831767514</v>
      </c>
      <c r="S670" s="31">
        <v>112907.80274623347</v>
      </c>
      <c r="T670" s="31">
        <v>16271.642723659108</v>
      </c>
      <c r="U670" s="142">
        <v>96636.16002257436</v>
      </c>
      <c r="AE670" s="137">
        <f t="shared" si="54"/>
        <v>4.1846014145816222</v>
      </c>
      <c r="AF670" s="131">
        <f t="shared" ca="1" si="50"/>
        <v>-71080990.772809565</v>
      </c>
      <c r="AG670" s="131">
        <f t="shared" ca="1" si="51"/>
        <v>12195151.163668329</v>
      </c>
      <c r="AI670" s="131">
        <f t="shared" si="52"/>
        <v>-91341366.831767514</v>
      </c>
      <c r="AJ670" s="31">
        <f t="shared" si="53"/>
        <v>96636.16002257436</v>
      </c>
    </row>
    <row r="671" spans="15:36">
      <c r="O671" s="15">
        <v>668</v>
      </c>
      <c r="P671" s="33">
        <v>3439132.4837844432</v>
      </c>
      <c r="Q671" s="33">
        <v>88388392.162163809</v>
      </c>
      <c r="R671" s="146">
        <v>-84949259.678379372</v>
      </c>
      <c r="S671" s="31">
        <v>71627.650092580123</v>
      </c>
      <c r="T671" s="31">
        <v>16590.469978610854</v>
      </c>
      <c r="U671" s="142">
        <v>55037.180113969269</v>
      </c>
      <c r="AE671" s="137">
        <f t="shared" si="54"/>
        <v>4.1908845998888014</v>
      </c>
      <c r="AF671" s="131">
        <f t="shared" ca="1" si="50"/>
        <v>-71210794.142159402</v>
      </c>
      <c r="AG671" s="131">
        <f t="shared" ca="1" si="51"/>
        <v>12065677.036419686</v>
      </c>
      <c r="AI671" s="131">
        <f t="shared" si="52"/>
        <v>-84949259.678379372</v>
      </c>
      <c r="AJ671" s="31">
        <f t="shared" si="53"/>
        <v>55037.180113969269</v>
      </c>
    </row>
    <row r="672" spans="15:36">
      <c r="O672" s="15">
        <v>669</v>
      </c>
      <c r="P672" s="33">
        <v>3303427.3372998168</v>
      </c>
      <c r="Q672" s="33">
        <v>86124200.685939595</v>
      </c>
      <c r="R672" s="146">
        <v>-82820773.348639771</v>
      </c>
      <c r="S672" s="31">
        <v>61492.739627922609</v>
      </c>
      <c r="T672" s="31">
        <v>11519.567874833268</v>
      </c>
      <c r="U672" s="142">
        <v>49973.171753089337</v>
      </c>
      <c r="AE672" s="137">
        <f t="shared" si="54"/>
        <v>4.1971677851959805</v>
      </c>
      <c r="AF672" s="131">
        <f t="shared" ca="1" si="50"/>
        <v>-71341066.93759124</v>
      </c>
      <c r="AG672" s="131">
        <f t="shared" ca="1" si="51"/>
        <v>11935729.90218854</v>
      </c>
      <c r="AI672" s="131">
        <f t="shared" si="52"/>
        <v>-82820773.348639771</v>
      </c>
      <c r="AJ672" s="31">
        <f t="shared" si="53"/>
        <v>49973.171753089337</v>
      </c>
    </row>
    <row r="673" spans="15:36">
      <c r="O673" s="15">
        <v>670</v>
      </c>
      <c r="P673" s="33">
        <v>3527150.2469245726</v>
      </c>
      <c r="Q673" s="33">
        <v>96993390.659974858</v>
      </c>
      <c r="R673" s="146">
        <v>-93466240.413050279</v>
      </c>
      <c r="S673" s="31">
        <v>71561.312425845739</v>
      </c>
      <c r="T673" s="31">
        <v>20205.153784923805</v>
      </c>
      <c r="U673" s="142">
        <v>51356.158640921931</v>
      </c>
      <c r="AE673" s="137">
        <f t="shared" si="54"/>
        <v>4.2034509705031597</v>
      </c>
      <c r="AF673" s="131">
        <f t="shared" ca="1" si="50"/>
        <v>-71471804.016158193</v>
      </c>
      <c r="AG673" s="131">
        <f t="shared" ca="1" si="51"/>
        <v>11805314.89106524</v>
      </c>
      <c r="AI673" s="131">
        <f t="shared" si="52"/>
        <v>-93466240.413050279</v>
      </c>
      <c r="AJ673" s="31">
        <f t="shared" si="53"/>
        <v>51356.158640921931</v>
      </c>
    </row>
    <row r="674" spans="15:36">
      <c r="O674" s="15">
        <v>671</v>
      </c>
      <c r="P674" s="33">
        <v>3212663.9262763476</v>
      </c>
      <c r="Q674" s="33">
        <v>77436887.511264831</v>
      </c>
      <c r="R674" s="146">
        <v>-74224223.58498849</v>
      </c>
      <c r="S674" s="31">
        <v>91278.870171329138</v>
      </c>
      <c r="T674" s="31">
        <v>19265.173460397324</v>
      </c>
      <c r="U674" s="142">
        <v>72013.696710931807</v>
      </c>
      <c r="AE674" s="137">
        <f t="shared" si="54"/>
        <v>4.2097341558103389</v>
      </c>
      <c r="AF674" s="131">
        <f t="shared" ca="1" si="50"/>
        <v>-71603000.216584235</v>
      </c>
      <c r="AG674" s="131">
        <f t="shared" ca="1" si="51"/>
        <v>11674437.151611125</v>
      </c>
      <c r="AI674" s="131">
        <f t="shared" si="52"/>
        <v>-74224223.58498849</v>
      </c>
      <c r="AJ674" s="31">
        <f t="shared" si="53"/>
        <v>72013.696710931807</v>
      </c>
    </row>
    <row r="675" spans="15:36">
      <c r="O675" s="15">
        <v>672</v>
      </c>
      <c r="P675" s="33">
        <v>3277065.8772426471</v>
      </c>
      <c r="Q675" s="33">
        <v>83454764.612783819</v>
      </c>
      <c r="R675" s="146">
        <v>-80177698.735541165</v>
      </c>
      <c r="S675" s="31">
        <v>24174.296215178951</v>
      </c>
      <c r="T675" s="31">
        <v>9825.7809454062681</v>
      </c>
      <c r="U675" s="142">
        <v>14348.515269772683</v>
      </c>
      <c r="AE675" s="137">
        <f t="shared" si="54"/>
        <v>4.2160173411175181</v>
      </c>
      <c r="AF675" s="131">
        <f t="shared" ca="1" si="50"/>
        <v>-71734650.359468013</v>
      </c>
      <c r="AG675" s="131">
        <f t="shared" ca="1" si="51"/>
        <v>11543101.850655248</v>
      </c>
      <c r="AI675" s="131">
        <f t="shared" si="52"/>
        <v>-80177698.735541165</v>
      </c>
      <c r="AJ675" s="31">
        <f t="shared" si="53"/>
        <v>14348.515269772683</v>
      </c>
    </row>
    <row r="676" spans="15:36">
      <c r="O676" s="15">
        <v>673</v>
      </c>
      <c r="P676" s="33">
        <v>3416557.7116096085</v>
      </c>
      <c r="Q676" s="33">
        <v>97158911.920367002</v>
      </c>
      <c r="R676" s="146">
        <v>-93742354.208757401</v>
      </c>
      <c r="S676" s="31">
        <v>71784.112826781406</v>
      </c>
      <c r="T676" s="31">
        <v>8261.012255917276</v>
      </c>
      <c r="U676" s="142">
        <v>63523.100570864131</v>
      </c>
      <c r="AE676" s="137">
        <f t="shared" si="54"/>
        <v>4.2223005264246973</v>
      </c>
      <c r="AF676" s="131">
        <f t="shared" ca="1" si="50"/>
        <v>-71866749.247487336</v>
      </c>
      <c r="AG676" s="131">
        <f t="shared" ca="1" si="51"/>
        <v>11411314.173090408</v>
      </c>
      <c r="AI676" s="131">
        <f t="shared" si="52"/>
        <v>-93742354.208757401</v>
      </c>
      <c r="AJ676" s="31">
        <f t="shared" si="53"/>
        <v>63523.100570864131</v>
      </c>
    </row>
    <row r="677" spans="15:36">
      <c r="O677" s="15">
        <v>674</v>
      </c>
      <c r="P677" s="33">
        <v>2955107.2331944741</v>
      </c>
      <c r="Q677" s="33">
        <v>98619852.788830429</v>
      </c>
      <c r="R677" s="146">
        <v>-95664745.555635959</v>
      </c>
      <c r="S677" s="31">
        <v>84493.319719403764</v>
      </c>
      <c r="T677" s="31">
        <v>11779.683205491297</v>
      </c>
      <c r="U677" s="142">
        <v>72713.636513912468</v>
      </c>
      <c r="AE677" s="137">
        <f t="shared" si="54"/>
        <v>4.2285837117318765</v>
      </c>
      <c r="AF677" s="131">
        <f t="shared" ca="1" si="50"/>
        <v>-71999291.665604278</v>
      </c>
      <c r="AG677" s="131">
        <f t="shared" ca="1" si="51"/>
        <v>11279079.321668457</v>
      </c>
      <c r="AI677" s="131">
        <f t="shared" si="52"/>
        <v>-95664745.555635959</v>
      </c>
      <c r="AJ677" s="31">
        <f t="shared" si="53"/>
        <v>72713.636513912468</v>
      </c>
    </row>
    <row r="678" spans="15:36">
      <c r="O678" s="15">
        <v>675</v>
      </c>
      <c r="P678" s="33">
        <v>3648571.9634378632</v>
      </c>
      <c r="Q678" s="33">
        <v>74751567.838837117</v>
      </c>
      <c r="R678" s="146">
        <v>-71102995.875399247</v>
      </c>
      <c r="S678" s="31">
        <v>189483.28422609938</v>
      </c>
      <c r="T678" s="31">
        <v>15341.208832577855</v>
      </c>
      <c r="U678" s="142">
        <v>174142.07539352152</v>
      </c>
      <c r="AE678" s="137">
        <f t="shared" si="54"/>
        <v>4.2348668970390557</v>
      </c>
      <c r="AF678" s="131">
        <f t="shared" ca="1" si="50"/>
        <v>-72132272.381271124</v>
      </c>
      <c r="AG678" s="131">
        <f t="shared" ca="1" si="51"/>
        <v>11146402.516794909</v>
      </c>
      <c r="AI678" s="131">
        <f t="shared" si="52"/>
        <v>-71102995.875399247</v>
      </c>
      <c r="AJ678" s="31">
        <f t="shared" si="53"/>
        <v>174142.07539352152</v>
      </c>
    </row>
    <row r="679" spans="15:36">
      <c r="O679" s="15">
        <v>676</v>
      </c>
      <c r="P679" s="33">
        <v>3097924.8207924482</v>
      </c>
      <c r="Q679" s="33">
        <v>89212918.022330701</v>
      </c>
      <c r="R679" s="146">
        <v>-86114993.20153825</v>
      </c>
      <c r="S679" s="31">
        <v>58898.831846719651</v>
      </c>
      <c r="T679" s="31">
        <v>2979.1209097939109</v>
      </c>
      <c r="U679" s="142">
        <v>55919.710936925738</v>
      </c>
      <c r="AE679" s="137">
        <f t="shared" si="54"/>
        <v>4.2411500823462349</v>
      </c>
      <c r="AF679" s="131">
        <f t="shared" ca="1" si="50"/>
        <v>-72265686.144636899</v>
      </c>
      <c r="AG679" s="131">
        <f t="shared" ca="1" si="51"/>
        <v>11013288.996322842</v>
      </c>
      <c r="AI679" s="131">
        <f t="shared" si="52"/>
        <v>-86114993.20153825</v>
      </c>
      <c r="AJ679" s="31">
        <f t="shared" si="53"/>
        <v>55919.710936925738</v>
      </c>
    </row>
    <row r="680" spans="15:36">
      <c r="O680" s="15">
        <v>677</v>
      </c>
      <c r="P680" s="33">
        <v>3193554.3042476084</v>
      </c>
      <c r="Q680" s="33">
        <v>74778509.343625799</v>
      </c>
      <c r="R680" s="146">
        <v>-71584955.039378196</v>
      </c>
      <c r="S680" s="31">
        <v>114904.74305676593</v>
      </c>
      <c r="T680" s="31">
        <v>9239.7426517254571</v>
      </c>
      <c r="U680" s="142">
        <v>105665.00040504048</v>
      </c>
      <c r="AE680" s="137">
        <f t="shared" si="54"/>
        <v>4.2474332676534141</v>
      </c>
      <c r="AF680" s="131">
        <f t="shared" ca="1" si="50"/>
        <v>-72399527.688754708</v>
      </c>
      <c r="AG680" s="131">
        <f t="shared" ca="1" si="51"/>
        <v>10879744.015346117</v>
      </c>
      <c r="AI680" s="131">
        <f t="shared" si="52"/>
        <v>-71584955.039378196</v>
      </c>
      <c r="AJ680" s="31">
        <f t="shared" si="53"/>
        <v>105665.00040504048</v>
      </c>
    </row>
    <row r="681" spans="15:36">
      <c r="O681" s="15">
        <v>678</v>
      </c>
      <c r="P681" s="33">
        <v>3376234.5910474933</v>
      </c>
      <c r="Q681" s="33">
        <v>85621155.755419418</v>
      </c>
      <c r="R681" s="146">
        <v>-82244921.164371923</v>
      </c>
      <c r="S681" s="31">
        <v>96403.794122054882</v>
      </c>
      <c r="T681" s="31">
        <v>9543.3053512534698</v>
      </c>
      <c r="U681" s="142">
        <v>86860.488770801414</v>
      </c>
      <c r="AE681" s="137">
        <f t="shared" si="54"/>
        <v>4.2537164529605933</v>
      </c>
      <c r="AF681" s="131">
        <f t="shared" ca="1" si="50"/>
        <v>-72533791.729789525</v>
      </c>
      <c r="AG681" s="131">
        <f t="shared" ca="1" si="51"/>
        <v>10745772.845991913</v>
      </c>
      <c r="AI681" s="131">
        <f t="shared" si="52"/>
        <v>-82244921.164371923</v>
      </c>
      <c r="AJ681" s="31">
        <f t="shared" si="53"/>
        <v>86860.488770801414</v>
      </c>
    </row>
    <row r="682" spans="15:36">
      <c r="O682" s="15">
        <v>679</v>
      </c>
      <c r="P682" s="33">
        <v>3462019.0988186556</v>
      </c>
      <c r="Q682" s="33">
        <v>98005890.856175408</v>
      </c>
      <c r="R682" s="146">
        <v>-94543871.757356748</v>
      </c>
      <c r="S682" s="31">
        <v>75420.690442988009</v>
      </c>
      <c r="T682" s="31">
        <v>11241.381262704112</v>
      </c>
      <c r="U682" s="142">
        <v>64179.309180283897</v>
      </c>
      <c r="AE682" s="137">
        <f t="shared" si="54"/>
        <v>4.2599996382677725</v>
      </c>
      <c r="AF682" s="131">
        <f t="shared" ca="1" si="50"/>
        <v>-72668472.967226908</v>
      </c>
      <c r="AG682" s="131">
        <f t="shared" ca="1" si="51"/>
        <v>10611380.777212607</v>
      </c>
      <c r="AI682" s="131">
        <f t="shared" si="52"/>
        <v>-94543871.757356748</v>
      </c>
      <c r="AJ682" s="31">
        <f t="shared" si="53"/>
        <v>64179.309180283897</v>
      </c>
    </row>
    <row r="683" spans="15:36">
      <c r="O683" s="15">
        <v>680</v>
      </c>
      <c r="P683" s="33">
        <v>3813352.601992392</v>
      </c>
      <c r="Q683" s="33">
        <v>75709092.248179436</v>
      </c>
      <c r="R683" s="146">
        <v>-71895739.646187037</v>
      </c>
      <c r="S683" s="31">
        <v>127859.76363802586</v>
      </c>
      <c r="T683" s="31">
        <v>9078.4053655485077</v>
      </c>
      <c r="U683" s="142">
        <v>118781.35827247736</v>
      </c>
      <c r="AE683" s="137">
        <f t="shared" si="54"/>
        <v>4.2662828235749517</v>
      </c>
      <c r="AF683" s="131">
        <f t="shared" ca="1" si="50"/>
        <v>-72803566.084082246</v>
      </c>
      <c r="AG683" s="131">
        <f t="shared" ca="1" si="51"/>
        <v>10476573.114576954</v>
      </c>
      <c r="AI683" s="131">
        <f t="shared" si="52"/>
        <v>-71895739.646187037</v>
      </c>
      <c r="AJ683" s="31">
        <f t="shared" si="53"/>
        <v>118781.35827247736</v>
      </c>
    </row>
    <row r="684" spans="15:36">
      <c r="O684" s="15">
        <v>681</v>
      </c>
      <c r="P684" s="33">
        <v>2762440.68340615</v>
      </c>
      <c r="Q684" s="33">
        <v>83866128.637507275</v>
      </c>
      <c r="R684" s="146">
        <v>-81103687.95410113</v>
      </c>
      <c r="S684" s="31">
        <v>82868.554254303308</v>
      </c>
      <c r="T684" s="31">
        <v>22893.720329591662</v>
      </c>
      <c r="U684" s="142">
        <v>59974.833924711646</v>
      </c>
      <c r="AE684" s="137">
        <f t="shared" si="54"/>
        <v>4.2725660088821309</v>
      </c>
      <c r="AF684" s="131">
        <f t="shared" ca="1" si="50"/>
        <v>-72939065.747110575</v>
      </c>
      <c r="AG684" s="131">
        <f t="shared" ca="1" si="51"/>
        <v>10341355.180060649</v>
      </c>
      <c r="AI684" s="131">
        <f t="shared" si="52"/>
        <v>-81103687.95410113</v>
      </c>
      <c r="AJ684" s="31">
        <f t="shared" si="53"/>
        <v>59974.833924711646</v>
      </c>
    </row>
    <row r="685" spans="15:36">
      <c r="O685" s="15">
        <v>682</v>
      </c>
      <c r="P685" s="33">
        <v>2911145.3514922028</v>
      </c>
      <c r="Q685" s="33">
        <v>101308309.18951657</v>
      </c>
      <c r="R685" s="146">
        <v>-98397163.838024378</v>
      </c>
      <c r="S685" s="31">
        <v>120985.61495052397</v>
      </c>
      <c r="T685" s="31">
        <v>16469.74202937842</v>
      </c>
      <c r="U685" s="142">
        <v>104515.87292114555</v>
      </c>
      <c r="AE685" s="137">
        <f t="shared" si="54"/>
        <v>4.2788491941893101</v>
      </c>
      <c r="AF685" s="131">
        <f t="shared" ca="1" si="50"/>
        <v>-73074966.607017204</v>
      </c>
      <c r="AG685" s="131">
        <f t="shared" ca="1" si="51"/>
        <v>10205732.311836218</v>
      </c>
      <c r="AI685" s="131">
        <f t="shared" si="52"/>
        <v>-98397163.838024378</v>
      </c>
      <c r="AJ685" s="31">
        <f t="shared" si="53"/>
        <v>104515.87292114555</v>
      </c>
    </row>
    <row r="686" spans="15:36">
      <c r="O686" s="15">
        <v>683</v>
      </c>
      <c r="P686" s="33">
        <v>3851993.7570597217</v>
      </c>
      <c r="Q686" s="33">
        <v>70387131.7295845</v>
      </c>
      <c r="R686" s="146">
        <v>-66535137.972524777</v>
      </c>
      <c r="S686" s="31">
        <v>102438.87035271765</v>
      </c>
      <c r="T686" s="31">
        <v>7557.7613332789097</v>
      </c>
      <c r="U686" s="142">
        <v>94881.109019438751</v>
      </c>
      <c r="AE686" s="137">
        <f t="shared" si="54"/>
        <v>4.2851323794964893</v>
      </c>
      <c r="AF686" s="131">
        <f t="shared" ca="1" si="50"/>
        <v>-73211263.298668921</v>
      </c>
      <c r="AG686" s="131">
        <f t="shared" ca="1" si="51"/>
        <v>10069709.86406227</v>
      </c>
      <c r="AI686" s="131">
        <f t="shared" si="52"/>
        <v>-66535137.972524777</v>
      </c>
      <c r="AJ686" s="31">
        <f t="shared" si="53"/>
        <v>94881.109019438751</v>
      </c>
    </row>
    <row r="687" spans="15:36">
      <c r="O687" s="15">
        <v>684</v>
      </c>
      <c r="P687" s="33">
        <v>3060670.5676765759</v>
      </c>
      <c r="Q687" s="33">
        <v>92556174.924591154</v>
      </c>
      <c r="R687" s="146">
        <v>-89495504.35691458</v>
      </c>
      <c r="S687" s="31">
        <v>117869.67379064058</v>
      </c>
      <c r="T687" s="31">
        <v>10370.373392515932</v>
      </c>
      <c r="U687" s="142">
        <v>107499.30039812464</v>
      </c>
      <c r="AE687" s="137">
        <f t="shared" si="54"/>
        <v>4.2914155648036685</v>
      </c>
      <c r="AF687" s="131">
        <f t="shared" ca="1" si="50"/>
        <v>-73347950.441305682</v>
      </c>
      <c r="AG687" s="131">
        <f t="shared" ca="1" si="51"/>
        <v>9933293.2066721432</v>
      </c>
      <c r="AI687" s="131">
        <f t="shared" si="52"/>
        <v>-89495504.35691458</v>
      </c>
      <c r="AJ687" s="31">
        <f t="shared" si="53"/>
        <v>107499.30039812464</v>
      </c>
    </row>
    <row r="688" spans="15:36">
      <c r="O688" s="15">
        <v>685</v>
      </c>
      <c r="P688" s="33">
        <v>3269317.8084395705</v>
      </c>
      <c r="Q688" s="33">
        <v>103185566.18146084</v>
      </c>
      <c r="R688" s="146">
        <v>-99916248.373021275</v>
      </c>
      <c r="S688" s="31">
        <v>195470.69486763273</v>
      </c>
      <c r="T688" s="31">
        <v>12868.855491566092</v>
      </c>
      <c r="U688" s="142">
        <v>182601.83937606664</v>
      </c>
      <c r="AE688" s="137">
        <f t="shared" si="54"/>
        <v>4.2976987501108477</v>
      </c>
      <c r="AF688" s="131">
        <f t="shared" ca="1" si="50"/>
        <v>-73485022.638753146</v>
      </c>
      <c r="AG688" s="131">
        <f t="shared" ca="1" si="51"/>
        <v>9796487.7251618821</v>
      </c>
      <c r="AI688" s="131">
        <f t="shared" si="52"/>
        <v>-99916248.373021275</v>
      </c>
      <c r="AJ688" s="31">
        <f t="shared" si="53"/>
        <v>182601.83937606664</v>
      </c>
    </row>
    <row r="689" spans="15:36">
      <c r="O689" s="15">
        <v>686</v>
      </c>
      <c r="P689" s="33">
        <v>2791895.1545436159</v>
      </c>
      <c r="Q689" s="33">
        <v>80883434.483344913</v>
      </c>
      <c r="R689" s="146">
        <v>-78091539.328801304</v>
      </c>
      <c r="S689" s="31">
        <v>134113.29181897297</v>
      </c>
      <c r="T689" s="31">
        <v>12126.073046358368</v>
      </c>
      <c r="U689" s="142">
        <v>121987.21877261461</v>
      </c>
      <c r="AE689" s="137">
        <f t="shared" si="54"/>
        <v>4.3039819354180269</v>
      </c>
      <c r="AF689" s="131">
        <f t="shared" ca="1" si="50"/>
        <v>-73622474.479635686</v>
      </c>
      <c r="AG689" s="131">
        <f t="shared" ca="1" si="51"/>
        <v>9659298.8203776479</v>
      </c>
      <c r="AI689" s="131">
        <f t="shared" si="52"/>
        <v>-78091539.328801304</v>
      </c>
      <c r="AJ689" s="31">
        <f t="shared" si="53"/>
        <v>121987.21877261461</v>
      </c>
    </row>
    <row r="690" spans="15:36">
      <c r="O690" s="15">
        <v>687</v>
      </c>
      <c r="P690" s="33">
        <v>3299342.760991347</v>
      </c>
      <c r="Q690" s="33">
        <v>92163228.981685385</v>
      </c>
      <c r="R690" s="146">
        <v>-88863886.220694035</v>
      </c>
      <c r="S690" s="31">
        <v>54596.540721639954</v>
      </c>
      <c r="T690" s="31">
        <v>12547.788223586089</v>
      </c>
      <c r="U690" s="142">
        <v>42048.752498053866</v>
      </c>
      <c r="AE690" s="137">
        <f t="shared" si="54"/>
        <v>4.3102651207252061</v>
      </c>
      <c r="AF690" s="131">
        <f t="shared" ca="1" si="50"/>
        <v>-73760300.537589952</v>
      </c>
      <c r="AG690" s="131">
        <f t="shared" ca="1" si="51"/>
        <v>9521731.9083025008</v>
      </c>
      <c r="AI690" s="131">
        <f t="shared" si="52"/>
        <v>-88863886.220694035</v>
      </c>
      <c r="AJ690" s="31">
        <f t="shared" si="53"/>
        <v>42048.752498053866</v>
      </c>
    </row>
    <row r="691" spans="15:36">
      <c r="O691" s="15">
        <v>688</v>
      </c>
      <c r="P691" s="33">
        <v>3553333.8226525756</v>
      </c>
      <c r="Q691" s="33">
        <v>83464154.289035171</v>
      </c>
      <c r="R691" s="146">
        <v>-79910820.466382593</v>
      </c>
      <c r="S691" s="31">
        <v>77211.85144238222</v>
      </c>
      <c r="T691" s="31">
        <v>14179.870300869032</v>
      </c>
      <c r="U691" s="142">
        <v>63031.981141513184</v>
      </c>
      <c r="AE691" s="137">
        <f t="shared" si="54"/>
        <v>4.3165483060323853</v>
      </c>
      <c r="AF691" s="131">
        <f t="shared" ca="1" si="50"/>
        <v>-73898495.371479183</v>
      </c>
      <c r="AG691" s="131">
        <f t="shared" ca="1" si="51"/>
        <v>9383792.4198425747</v>
      </c>
      <c r="AI691" s="131">
        <f t="shared" si="52"/>
        <v>-79910820.466382593</v>
      </c>
      <c r="AJ691" s="31">
        <f t="shared" si="53"/>
        <v>63031.981141513184</v>
      </c>
    </row>
    <row r="692" spans="15:36">
      <c r="O692" s="15">
        <v>689</v>
      </c>
      <c r="P692" s="33">
        <v>2852607.8372954088</v>
      </c>
      <c r="Q692" s="33">
        <v>90713012.754748851</v>
      </c>
      <c r="R692" s="146">
        <v>-87860404.917453438</v>
      </c>
      <c r="S692" s="31">
        <v>100134.36121739954</v>
      </c>
      <c r="T692" s="31">
        <v>13094.946478830254</v>
      </c>
      <c r="U692" s="142">
        <v>87039.414738569278</v>
      </c>
      <c r="AE692" s="137">
        <f t="shared" si="54"/>
        <v>4.3228314913395645</v>
      </c>
      <c r="AF692" s="131">
        <f t="shared" ca="1" si="50"/>
        <v>-74037053.525607973</v>
      </c>
      <c r="AG692" s="131">
        <f t="shared" ca="1" si="51"/>
        <v>9245485.8006126862</v>
      </c>
      <c r="AI692" s="131">
        <f t="shared" si="52"/>
        <v>-87860404.917453438</v>
      </c>
      <c r="AJ692" s="31">
        <f t="shared" si="53"/>
        <v>87039.414738569278</v>
      </c>
    </row>
    <row r="693" spans="15:36">
      <c r="O693" s="15">
        <v>690</v>
      </c>
      <c r="P693" s="33">
        <v>3345860.2414412196</v>
      </c>
      <c r="Q693" s="33">
        <v>79945853.318706319</v>
      </c>
      <c r="R693" s="146">
        <v>-76599993.077265099</v>
      </c>
      <c r="S693" s="31">
        <v>148628.94340826519</v>
      </c>
      <c r="T693" s="31">
        <v>16846.952373800552</v>
      </c>
      <c r="U693" s="142">
        <v>131781.99103446462</v>
      </c>
      <c r="AE693" s="137">
        <f t="shared" si="54"/>
        <v>4.3291146766467437</v>
      </c>
      <c r="AF693" s="131">
        <f t="shared" ca="1" si="50"/>
        <v>-74175969.529937625</v>
      </c>
      <c r="AG693" s="131">
        <f t="shared" ca="1" si="51"/>
        <v>9106817.5107213371</v>
      </c>
      <c r="AI693" s="131">
        <f t="shared" si="52"/>
        <v>-76599993.077265099</v>
      </c>
      <c r="AJ693" s="31">
        <f t="shared" si="53"/>
        <v>131781.99103446462</v>
      </c>
    </row>
    <row r="694" spans="15:36">
      <c r="O694" s="15">
        <v>691</v>
      </c>
      <c r="P694" s="33">
        <v>3056206.1168107018</v>
      </c>
      <c r="Q694" s="33">
        <v>75169908.543213293</v>
      </c>
      <c r="R694" s="146">
        <v>-72113702.426402599</v>
      </c>
      <c r="S694" s="31">
        <v>82757.635944981215</v>
      </c>
      <c r="T694" s="31">
        <v>4433.6014577647475</v>
      </c>
      <c r="U694" s="142">
        <v>78324.034487216471</v>
      </c>
      <c r="AE694" s="137">
        <f t="shared" si="54"/>
        <v>4.3353978619539228</v>
      </c>
      <c r="AF694" s="131">
        <f t="shared" ca="1" si="50"/>
        <v>-74315237.900302172</v>
      </c>
      <c r="AG694" s="131">
        <f t="shared" ca="1" si="51"/>
        <v>8967793.0245551802</v>
      </c>
      <c r="AI694" s="131">
        <f t="shared" si="52"/>
        <v>-72113702.426402599</v>
      </c>
      <c r="AJ694" s="31">
        <f t="shared" si="53"/>
        <v>78324.034487216471</v>
      </c>
    </row>
    <row r="695" spans="15:36">
      <c r="O695" s="15">
        <v>692</v>
      </c>
      <c r="P695" s="33">
        <v>3009087.2046744768</v>
      </c>
      <c r="Q695" s="33">
        <v>95446563.114902258</v>
      </c>
      <c r="R695" s="146">
        <v>-92437475.910227776</v>
      </c>
      <c r="S695" s="31">
        <v>61150.221633755893</v>
      </c>
      <c r="T695" s="31">
        <v>5105.336644363203</v>
      </c>
      <c r="U695" s="142">
        <v>56044.884989392689</v>
      </c>
      <c r="AE695" s="137">
        <f t="shared" si="54"/>
        <v>4.341681047261102</v>
      </c>
      <c r="AF695" s="131">
        <f t="shared" ca="1" si="50"/>
        <v>-74454853.138624817</v>
      </c>
      <c r="AG695" s="131">
        <f t="shared" ca="1" si="51"/>
        <v>8828417.8305628821</v>
      </c>
      <c r="AI695" s="131">
        <f t="shared" si="52"/>
        <v>-92437475.910227776</v>
      </c>
      <c r="AJ695" s="31">
        <f t="shared" si="53"/>
        <v>56044.884989392689</v>
      </c>
    </row>
    <row r="696" spans="15:36">
      <c r="O696" s="15">
        <v>693</v>
      </c>
      <c r="P696" s="33">
        <v>3074124.651437819</v>
      </c>
      <c r="Q696" s="33">
        <v>76542905.645028576</v>
      </c>
      <c r="R696" s="146">
        <v>-73468780.993590757</v>
      </c>
      <c r="S696" s="31">
        <v>106550.10919178835</v>
      </c>
      <c r="T696" s="31">
        <v>11536.714332070993</v>
      </c>
      <c r="U696" s="142">
        <v>95013.394859717358</v>
      </c>
      <c r="AE696" s="137">
        <f t="shared" si="54"/>
        <v>4.3479642325682812</v>
      </c>
      <c r="AF696" s="131">
        <f t="shared" ca="1" si="50"/>
        <v>-74594809.733134985</v>
      </c>
      <c r="AG696" s="131">
        <f t="shared" ca="1" si="51"/>
        <v>8688697.4310384504</v>
      </c>
      <c r="AI696" s="131">
        <f t="shared" si="52"/>
        <v>-73468780.993590757</v>
      </c>
      <c r="AJ696" s="31">
        <f t="shared" si="53"/>
        <v>95013.394859717358</v>
      </c>
    </row>
    <row r="697" spans="15:36">
      <c r="O697" s="15">
        <v>694</v>
      </c>
      <c r="P697" s="33">
        <v>3894468.9856481738</v>
      </c>
      <c r="Q697" s="33">
        <v>89148451.982194752</v>
      </c>
      <c r="R697" s="146">
        <v>-85253982.996546581</v>
      </c>
      <c r="S697" s="31">
        <v>46702.484690427555</v>
      </c>
      <c r="T697" s="31">
        <v>15976.590790483813</v>
      </c>
      <c r="U697" s="142">
        <v>30725.893899943741</v>
      </c>
      <c r="AE697" s="137">
        <f t="shared" si="54"/>
        <v>4.3542474178754604</v>
      </c>
      <c r="AF697" s="131">
        <f t="shared" ca="1" si="50"/>
        <v>-74735102.158585995</v>
      </c>
      <c r="AG697" s="131">
        <f t="shared" ca="1" si="51"/>
        <v>8548637.3419040181</v>
      </c>
      <c r="AI697" s="131">
        <f t="shared" si="52"/>
        <v>-85253982.996546581</v>
      </c>
      <c r="AJ697" s="31">
        <f t="shared" si="53"/>
        <v>30725.893899943741</v>
      </c>
    </row>
    <row r="698" spans="15:36">
      <c r="O698" s="15">
        <v>695</v>
      </c>
      <c r="P698" s="33">
        <v>3159545.6627169079</v>
      </c>
      <c r="Q698" s="33">
        <v>74744193.690781415</v>
      </c>
      <c r="R698" s="146">
        <v>-71584648.028064504</v>
      </c>
      <c r="S698" s="31">
        <v>120921.29269079785</v>
      </c>
      <c r="T698" s="31">
        <v>17835.212932726386</v>
      </c>
      <c r="U698" s="142">
        <v>103086.07975807147</v>
      </c>
      <c r="AE698" s="137">
        <f t="shared" si="54"/>
        <v>4.3605306031826396</v>
      </c>
      <c r="AF698" s="131">
        <f t="shared" ca="1" si="50"/>
        <v>-74875724.876473114</v>
      </c>
      <c r="AG698" s="131">
        <f t="shared" ca="1" si="51"/>
        <v>8408243.0924920812</v>
      </c>
      <c r="AI698" s="131">
        <f t="shared" si="52"/>
        <v>-71584648.028064504</v>
      </c>
      <c r="AJ698" s="31">
        <f t="shared" si="53"/>
        <v>103086.07975807147</v>
      </c>
    </row>
    <row r="699" spans="15:36">
      <c r="O699" s="15">
        <v>696</v>
      </c>
      <c r="P699" s="33">
        <v>3463546.4865435055</v>
      </c>
      <c r="Q699" s="33">
        <v>70737264.999048427</v>
      </c>
      <c r="R699" s="146">
        <v>-67273718.51250492</v>
      </c>
      <c r="S699" s="31">
        <v>184197.28712175917</v>
      </c>
      <c r="T699" s="31">
        <v>11105.159143368763</v>
      </c>
      <c r="U699" s="142">
        <v>173092.1279783904</v>
      </c>
      <c r="AE699" s="137">
        <f t="shared" si="54"/>
        <v>4.3668137884898188</v>
      </c>
      <c r="AF699" s="131">
        <f t="shared" ca="1" si="50"/>
        <v>-75016672.335252196</v>
      </c>
      <c r="AG699" s="131">
        <f t="shared" ca="1" si="51"/>
        <v>8267520.2253272189</v>
      </c>
      <c r="AI699" s="131">
        <f t="shared" si="52"/>
        <v>-67273718.51250492</v>
      </c>
      <c r="AJ699" s="31">
        <f t="shared" si="53"/>
        <v>173092.1279783904</v>
      </c>
    </row>
    <row r="700" spans="15:36">
      <c r="O700" s="15">
        <v>697</v>
      </c>
      <c r="P700" s="33">
        <v>3134288.0474489797</v>
      </c>
      <c r="Q700" s="33">
        <v>87338652.618766069</v>
      </c>
      <c r="R700" s="146">
        <v>-84204364.571317092</v>
      </c>
      <c r="S700" s="31">
        <v>62441.58041190925</v>
      </c>
      <c r="T700" s="31">
        <v>11425.324771114299</v>
      </c>
      <c r="U700" s="142">
        <v>51016.255640794952</v>
      </c>
      <c r="AE700" s="137">
        <f t="shared" si="54"/>
        <v>4.373096973796998</v>
      </c>
      <c r="AF700" s="131">
        <f t="shared" ca="1" si="50"/>
        <v>-75157938.970558926</v>
      </c>
      <c r="AG700" s="131">
        <f t="shared" ca="1" si="51"/>
        <v>8126474.2959072664</v>
      </c>
      <c r="AI700" s="131">
        <f t="shared" si="52"/>
        <v>-84204364.571317092</v>
      </c>
      <c r="AJ700" s="31">
        <f t="shared" si="53"/>
        <v>51016.255640794952</v>
      </c>
    </row>
    <row r="701" spans="15:36">
      <c r="O701" s="15">
        <v>698</v>
      </c>
      <c r="P701" s="33">
        <v>3215568.2048099549</v>
      </c>
      <c r="Q701" s="33">
        <v>97508057.160530925</v>
      </c>
      <c r="R701" s="146">
        <v>-94292488.955720976</v>
      </c>
      <c r="S701" s="31">
        <v>177739.15457511638</v>
      </c>
      <c r="T701" s="31">
        <v>8009.3570411995024</v>
      </c>
      <c r="U701" s="142">
        <v>169729.79753391689</v>
      </c>
      <c r="AE701" s="137">
        <f t="shared" si="54"/>
        <v>4.3793801591041772</v>
      </c>
      <c r="AF701" s="131">
        <f t="shared" ca="1" si="50"/>
        <v>-75299519.205428436</v>
      </c>
      <c r="AG701" s="131">
        <f t="shared" ca="1" si="51"/>
        <v>7985110.8724840106</v>
      </c>
      <c r="AI701" s="131">
        <f t="shared" si="52"/>
        <v>-94292488.955720976</v>
      </c>
      <c r="AJ701" s="31">
        <f t="shared" si="53"/>
        <v>169729.79753391689</v>
      </c>
    </row>
    <row r="702" spans="15:36">
      <c r="O702" s="15">
        <v>699</v>
      </c>
      <c r="P702" s="33">
        <v>3135665.0846438468</v>
      </c>
      <c r="Q702" s="33">
        <v>70956301.448927909</v>
      </c>
      <c r="R702" s="146">
        <v>-67820636.364284068</v>
      </c>
      <c r="S702" s="31">
        <v>60783.897106185417</v>
      </c>
      <c r="T702" s="31">
        <v>8977.9135901088157</v>
      </c>
      <c r="U702" s="142">
        <v>51805.983516076602</v>
      </c>
      <c r="AE702" s="137">
        <f t="shared" si="54"/>
        <v>4.3856633444113564</v>
      </c>
      <c r="AF702" s="131">
        <f t="shared" ca="1" si="50"/>
        <v>-75441407.450515464</v>
      </c>
      <c r="AG702" s="131">
        <f t="shared" ca="1" si="51"/>
        <v>7843435.5358433519</v>
      </c>
      <c r="AI702" s="131">
        <f t="shared" si="52"/>
        <v>-67820636.364284068</v>
      </c>
      <c r="AJ702" s="31">
        <f t="shared" si="53"/>
        <v>51805.983516076602</v>
      </c>
    </row>
    <row r="703" spans="15:36">
      <c r="O703" s="15">
        <v>700</v>
      </c>
      <c r="P703" s="33">
        <v>3151297.1393817463</v>
      </c>
      <c r="Q703" s="33">
        <v>94165461.225351557</v>
      </c>
      <c r="R703" s="146">
        <v>-91014164.085969806</v>
      </c>
      <c r="S703" s="31">
        <v>35757.440538582356</v>
      </c>
      <c r="T703" s="31">
        <v>14888.080196869636</v>
      </c>
      <c r="U703" s="142">
        <v>20869.36034171272</v>
      </c>
      <c r="AE703" s="137">
        <f t="shared" si="54"/>
        <v>4.3919465297185356</v>
      </c>
      <c r="AF703" s="131">
        <f t="shared" ca="1" si="50"/>
        <v>-75583598.104315057</v>
      </c>
      <c r="AG703" s="131">
        <f t="shared" ca="1" si="51"/>
        <v>7701453.8790849969</v>
      </c>
      <c r="AI703" s="131">
        <f t="shared" si="52"/>
        <v>-91014164.085969806</v>
      </c>
      <c r="AJ703" s="31">
        <f t="shared" si="53"/>
        <v>20869.36034171272</v>
      </c>
    </row>
    <row r="704" spans="15:36">
      <c r="O704" s="15">
        <v>701</v>
      </c>
      <c r="P704" s="33">
        <v>3283153.8910134453</v>
      </c>
      <c r="Q704" s="33">
        <v>87972865.458457917</v>
      </c>
      <c r="R704" s="146">
        <v>-84689711.567444474</v>
      </c>
      <c r="S704" s="31">
        <v>95522.814173692255</v>
      </c>
      <c r="T704" s="31">
        <v>9871.2017275617254</v>
      </c>
      <c r="U704" s="142">
        <v>85651.61244613053</v>
      </c>
      <c r="AE704" s="137">
        <f t="shared" si="54"/>
        <v>4.3982297150257148</v>
      </c>
      <c r="AF704" s="131">
        <f t="shared" ca="1" si="50"/>
        <v>-75726085.553383663</v>
      </c>
      <c r="AG704" s="131">
        <f t="shared" ca="1" si="51"/>
        <v>7559171.5074016396</v>
      </c>
      <c r="AI704" s="131">
        <f t="shared" si="52"/>
        <v>-84689711.567444474</v>
      </c>
      <c r="AJ704" s="31">
        <f t="shared" si="53"/>
        <v>85651.61244613053</v>
      </c>
    </row>
    <row r="705" spans="15:36">
      <c r="O705" s="15">
        <v>702</v>
      </c>
      <c r="P705" s="33">
        <v>3539863.7393842642</v>
      </c>
      <c r="Q705" s="33">
        <v>90688222.079654202</v>
      </c>
      <c r="R705" s="146">
        <v>-87148358.340269938</v>
      </c>
      <c r="S705" s="31">
        <v>103428.41203948192</v>
      </c>
      <c r="T705" s="31">
        <v>5355.2004627004244</v>
      </c>
      <c r="U705" s="142">
        <v>98073.211576781498</v>
      </c>
      <c r="AE705" s="137">
        <f t="shared" si="54"/>
        <v>4.404512900332894</v>
      </c>
      <c r="AF705" s="131">
        <f t="shared" ca="1" si="50"/>
        <v>-75868864.172560766</v>
      </c>
      <c r="AG705" s="131">
        <f t="shared" ca="1" si="51"/>
        <v>7416594.0378576927</v>
      </c>
      <c r="AI705" s="131">
        <f t="shared" si="52"/>
        <v>-87148358.340269938</v>
      </c>
      <c r="AJ705" s="31">
        <f t="shared" si="53"/>
        <v>98073.211576781498</v>
      </c>
    </row>
    <row r="706" spans="15:36">
      <c r="O706" s="15">
        <v>703</v>
      </c>
      <c r="P706" s="33">
        <v>3978231.6086823181</v>
      </c>
      <c r="Q706" s="33">
        <v>106146171.49210498</v>
      </c>
      <c r="R706" s="146">
        <v>-102167939.88342266</v>
      </c>
      <c r="S706" s="31">
        <v>87840.13782416287</v>
      </c>
      <c r="T706" s="31">
        <v>11993.883252524907</v>
      </c>
      <c r="U706" s="142">
        <v>75846.254571637968</v>
      </c>
      <c r="AE706" s="137">
        <f t="shared" si="54"/>
        <v>4.4107960856400732</v>
      </c>
      <c r="AF706" s="131">
        <f t="shared" ca="1" si="50"/>
        <v>-76011928.325190961</v>
      </c>
      <c r="AG706" s="131">
        <f t="shared" ca="1" si="51"/>
        <v>7273727.0991675174</v>
      </c>
      <c r="AI706" s="131">
        <f t="shared" si="52"/>
        <v>-102167939.88342266</v>
      </c>
      <c r="AJ706" s="31">
        <f t="shared" si="53"/>
        <v>75846.254571637968</v>
      </c>
    </row>
    <row r="707" spans="15:36">
      <c r="O707" s="15">
        <v>704</v>
      </c>
      <c r="P707" s="33">
        <v>3081307.0393403736</v>
      </c>
      <c r="Q707" s="33">
        <v>83667200.220868513</v>
      </c>
      <c r="R707" s="146">
        <v>-80585893.181528136</v>
      </c>
      <c r="S707" s="31">
        <v>128069.20359523817</v>
      </c>
      <c r="T707" s="31">
        <v>4660.1303866011294</v>
      </c>
      <c r="U707" s="142">
        <v>123409.07320863704</v>
      </c>
      <c r="AE707" s="137">
        <f t="shared" si="54"/>
        <v>4.4170792709472524</v>
      </c>
      <c r="AF707" s="131">
        <f t="shared" ca="1" si="50"/>
        <v>-76155272.363346487</v>
      </c>
      <c r="AG707" s="131">
        <f t="shared" ca="1" si="51"/>
        <v>7130576.3314732276</v>
      </c>
      <c r="AI707" s="131">
        <f t="shared" si="52"/>
        <v>-80585893.181528136</v>
      </c>
      <c r="AJ707" s="31">
        <f t="shared" si="53"/>
        <v>123409.07320863704</v>
      </c>
    </row>
    <row r="708" spans="15:36">
      <c r="O708" s="15">
        <v>705</v>
      </c>
      <c r="P708" s="33">
        <v>3438126.5325965444</v>
      </c>
      <c r="Q708" s="33">
        <v>86100106.497670189</v>
      </c>
      <c r="R708" s="146">
        <v>-82661979.965073645</v>
      </c>
      <c r="S708" s="31">
        <v>54118.251913930937</v>
      </c>
      <c r="T708" s="31">
        <v>17367.028175198757</v>
      </c>
      <c r="U708" s="142">
        <v>36751.22373873218</v>
      </c>
      <c r="AE708" s="137">
        <f t="shared" si="54"/>
        <v>4.4233624562544316</v>
      </c>
      <c r="AF708" s="131">
        <f t="shared" ca="1" si="50"/>
        <v>-76298890.628050148</v>
      </c>
      <c r="AG708" s="131">
        <f t="shared" ca="1" si="51"/>
        <v>6987147.3861220172</v>
      </c>
      <c r="AI708" s="131">
        <f t="shared" si="52"/>
        <v>-82661979.965073645</v>
      </c>
      <c r="AJ708" s="31">
        <f t="shared" si="53"/>
        <v>36751.22373873218</v>
      </c>
    </row>
    <row r="709" spans="15:36">
      <c r="O709" s="15">
        <v>706</v>
      </c>
      <c r="P709" s="33">
        <v>2622859.0644999105</v>
      </c>
      <c r="Q709" s="33">
        <v>76708220.561954886</v>
      </c>
      <c r="R709" s="146">
        <v>-74085361.497454971</v>
      </c>
      <c r="S709" s="31">
        <v>27005.944857087445</v>
      </c>
      <c r="T709" s="31">
        <v>7496.7615688671021</v>
      </c>
      <c r="U709" s="142">
        <v>19509.183288220342</v>
      </c>
      <c r="AE709" s="137">
        <f t="shared" si="54"/>
        <v>4.4296456415616108</v>
      </c>
      <c r="AF709" s="131">
        <f t="shared" ref="AF709:AF772" ca="1" si="55">(AB$25*AC$19*COS(AE709)+AC$25*AC$20*SIN(AE709))+X$9</f>
        <v>-76442777.449498743</v>
      </c>
      <c r="AG709" s="131">
        <f t="shared" ref="AG709:AG772" ca="1" si="56">(AC$26*AC$19*COS(AE709)+AC$26*AC$20*SIN(AE709))+Y$9</f>
        <v>6843445.9254430626</v>
      </c>
      <c r="AI709" s="131">
        <f t="shared" ref="AI709:AI772" si="57">R709</f>
        <v>-74085361.497454971</v>
      </c>
      <c r="AJ709" s="31">
        <f t="shared" ref="AJ709:AJ772" si="58">U709</f>
        <v>19509.183288220342</v>
      </c>
    </row>
    <row r="710" spans="15:36">
      <c r="O710" s="15">
        <v>707</v>
      </c>
      <c r="P710" s="33">
        <v>3224783.1291205375</v>
      </c>
      <c r="Q710" s="33">
        <v>74658116.143091232</v>
      </c>
      <c r="R710" s="146">
        <v>-71433333.013970688</v>
      </c>
      <c r="S710" s="31">
        <v>94069.349650679913</v>
      </c>
      <c r="T710" s="31">
        <v>12325.921719797294</v>
      </c>
      <c r="U710" s="142">
        <v>81743.427930882623</v>
      </c>
      <c r="AE710" s="137">
        <f t="shared" si="54"/>
        <v>4.43592882686879</v>
      </c>
      <c r="AF710" s="131">
        <f t="shared" ca="1" si="55"/>
        <v>-76586927.147286981</v>
      </c>
      <c r="AG710" s="131">
        <f t="shared" ca="1" si="56"/>
        <v>6699477.62252397</v>
      </c>
      <c r="AI710" s="131">
        <f t="shared" si="57"/>
        <v>-71433333.013970688</v>
      </c>
      <c r="AJ710" s="31">
        <f t="shared" si="58"/>
        <v>81743.427930882623</v>
      </c>
    </row>
    <row r="711" spans="15:36">
      <c r="O711" s="15">
        <v>708</v>
      </c>
      <c r="P711" s="33">
        <v>3248805.2868535137</v>
      </c>
      <c r="Q711" s="33">
        <v>88712460.194056764</v>
      </c>
      <c r="R711" s="146">
        <v>-85463654.907203257</v>
      </c>
      <c r="S711" s="31">
        <v>55030.211789429231</v>
      </c>
      <c r="T711" s="31">
        <v>10460.9074215316</v>
      </c>
      <c r="U711" s="142">
        <v>44569.304367897632</v>
      </c>
      <c r="AE711" s="137">
        <f t="shared" ref="AE711:AE774" si="59">AE710+AE$5</f>
        <v>4.4422120121759692</v>
      </c>
      <c r="AF711" s="131">
        <f t="shared" ca="1" si="55"/>
        <v>-76731334.030631587</v>
      </c>
      <c r="AG711" s="131">
        <f t="shared" ca="1" si="56"/>
        <v>6555248.1609868286</v>
      </c>
      <c r="AI711" s="131">
        <f t="shared" si="57"/>
        <v>-85463654.907203257</v>
      </c>
      <c r="AJ711" s="31">
        <f t="shared" si="58"/>
        <v>44569.304367897632</v>
      </c>
    </row>
    <row r="712" spans="15:36">
      <c r="O712" s="15">
        <v>709</v>
      </c>
      <c r="P712" s="33">
        <v>3292836.9366986495</v>
      </c>
      <c r="Q712" s="33">
        <v>104126939.43921459</v>
      </c>
      <c r="R712" s="146">
        <v>-100834102.50251594</v>
      </c>
      <c r="S712" s="31">
        <v>177134.26238736635</v>
      </c>
      <c r="T712" s="31">
        <v>5725.1427205096679</v>
      </c>
      <c r="U712" s="142">
        <v>171409.11966685668</v>
      </c>
      <c r="AE712" s="137">
        <f t="shared" si="59"/>
        <v>4.4484951974831484</v>
      </c>
      <c r="AF712" s="131">
        <f t="shared" ca="1" si="55"/>
        <v>-76875992.398596063</v>
      </c>
      <c r="AG712" s="131">
        <f t="shared" ca="1" si="56"/>
        <v>6410763.2347638188</v>
      </c>
      <c r="AI712" s="131">
        <f t="shared" si="57"/>
        <v>-100834102.50251594</v>
      </c>
      <c r="AJ712" s="31">
        <f t="shared" si="58"/>
        <v>171409.11966685668</v>
      </c>
    </row>
    <row r="713" spans="15:36">
      <c r="O713" s="15">
        <v>710</v>
      </c>
      <c r="P713" s="33">
        <v>3675106.0935744476</v>
      </c>
      <c r="Q713" s="33">
        <v>103514299.15223299</v>
      </c>
      <c r="R713" s="146">
        <v>-99839193.05865854</v>
      </c>
      <c r="S713" s="31">
        <v>105841.93499281844</v>
      </c>
      <c r="T713" s="31">
        <v>12314.71838667042</v>
      </c>
      <c r="U713" s="142">
        <v>93527.216606148024</v>
      </c>
      <c r="AE713" s="137">
        <f t="shared" si="59"/>
        <v>4.4547783827903276</v>
      </c>
      <c r="AF713" s="131">
        <f t="shared" ca="1" si="55"/>
        <v>-77020896.540315762</v>
      </c>
      <c r="AG713" s="131">
        <f t="shared" ca="1" si="56"/>
        <v>6266028.5478724306</v>
      </c>
      <c r="AI713" s="131">
        <f t="shared" si="57"/>
        <v>-99839193.05865854</v>
      </c>
      <c r="AJ713" s="31">
        <f t="shared" si="58"/>
        <v>93527.216606148024</v>
      </c>
    </row>
    <row r="714" spans="15:36">
      <c r="O714" s="15">
        <v>711</v>
      </c>
      <c r="P714" s="33">
        <v>3556705.3782760389</v>
      </c>
      <c r="Q714" s="33">
        <v>83686155.121294111</v>
      </c>
      <c r="R714" s="146">
        <v>-80129449.743018076</v>
      </c>
      <c r="S714" s="31">
        <v>23968.963441201857</v>
      </c>
      <c r="T714" s="31">
        <v>9450.3850049539142</v>
      </c>
      <c r="U714" s="142">
        <v>14518.578436247943</v>
      </c>
      <c r="AE714" s="137">
        <f t="shared" si="59"/>
        <v>4.4610615680975068</v>
      </c>
      <c r="AF714" s="131">
        <f t="shared" ca="1" si="55"/>
        <v>-77166040.735223278</v>
      </c>
      <c r="AG714" s="131">
        <f t="shared" ca="1" si="56"/>
        <v>6121049.8141902769</v>
      </c>
      <c r="AI714" s="131">
        <f t="shared" si="57"/>
        <v>-80129449.743018076</v>
      </c>
      <c r="AJ714" s="31">
        <f t="shared" si="58"/>
        <v>14518.578436247943</v>
      </c>
    </row>
    <row r="715" spans="15:36">
      <c r="O715" s="15">
        <v>712</v>
      </c>
      <c r="P715" s="33">
        <v>3637135.0805042731</v>
      </c>
      <c r="Q715" s="33">
        <v>92340114.89025636</v>
      </c>
      <c r="R715" s="146">
        <v>-88702979.809752092</v>
      </c>
      <c r="S715" s="31">
        <v>78661.985881258719</v>
      </c>
      <c r="T715" s="31">
        <v>9013.5810302741356</v>
      </c>
      <c r="U715" s="142">
        <v>69648.404850984589</v>
      </c>
      <c r="AE715" s="137">
        <f t="shared" si="59"/>
        <v>4.467344753404686</v>
      </c>
      <c r="AF715" s="131">
        <f t="shared" ca="1" si="55"/>
        <v>-77311419.253274307</v>
      </c>
      <c r="AG715" s="131">
        <f t="shared" ca="1" si="56"/>
        <v>5975832.7572295191</v>
      </c>
      <c r="AI715" s="131">
        <f t="shared" si="57"/>
        <v>-88702979.809752092</v>
      </c>
      <c r="AJ715" s="31">
        <f t="shared" si="58"/>
        <v>69648.404850984589</v>
      </c>
    </row>
    <row r="716" spans="15:36">
      <c r="O716" s="15">
        <v>713</v>
      </c>
      <c r="P716" s="33">
        <v>3174750.9959224425</v>
      </c>
      <c r="Q716" s="33">
        <v>94199238.107775003</v>
      </c>
      <c r="R716" s="146">
        <v>-91024487.111852556</v>
      </c>
      <c r="S716" s="31">
        <v>87825.023316722247</v>
      </c>
      <c r="T716" s="31">
        <v>11556.660572229921</v>
      </c>
      <c r="U716" s="142">
        <v>76268.362744492333</v>
      </c>
      <c r="AE716" s="137">
        <f t="shared" si="59"/>
        <v>4.4736279387118651</v>
      </c>
      <c r="AF716" s="131">
        <f t="shared" ca="1" si="55"/>
        <v>-77457026.355173901</v>
      </c>
      <c r="AG716" s="131">
        <f t="shared" ca="1" si="56"/>
        <v>5830383.1099109165</v>
      </c>
      <c r="AI716" s="131">
        <f t="shared" si="57"/>
        <v>-91024487.111852556</v>
      </c>
      <c r="AJ716" s="31">
        <f t="shared" si="58"/>
        <v>76268.362744492333</v>
      </c>
    </row>
    <row r="717" spans="15:36">
      <c r="O717" s="15">
        <v>714</v>
      </c>
      <c r="P717" s="33">
        <v>3497636.5745020681</v>
      </c>
      <c r="Q717" s="33">
        <v>90684065.546343267</v>
      </c>
      <c r="R717" s="146">
        <v>-87186428.971841201</v>
      </c>
      <c r="S717" s="31">
        <v>79246.082462629391</v>
      </c>
      <c r="T717" s="31">
        <v>13416.289389824562</v>
      </c>
      <c r="U717" s="142">
        <v>65829.793072804823</v>
      </c>
      <c r="AE717" s="137">
        <f t="shared" si="59"/>
        <v>4.4799111240190443</v>
      </c>
      <c r="AF717" s="131">
        <f t="shared" ca="1" si="55"/>
        <v>-77602856.292603001</v>
      </c>
      <c r="AG717" s="131">
        <f t="shared" ca="1" si="56"/>
        <v>5684706.6143374918</v>
      </c>
      <c r="AI717" s="131">
        <f t="shared" si="57"/>
        <v>-87186428.971841201</v>
      </c>
      <c r="AJ717" s="31">
        <f t="shared" si="58"/>
        <v>65829.793072804823</v>
      </c>
    </row>
    <row r="718" spans="15:36">
      <c r="O718" s="15">
        <v>715</v>
      </c>
      <c r="P718" s="33">
        <v>3240410.2323064231</v>
      </c>
      <c r="Q718" s="33">
        <v>82031114.256172642</v>
      </c>
      <c r="R718" s="146">
        <v>-78790704.023866221</v>
      </c>
      <c r="S718" s="31">
        <v>86349.300365632735</v>
      </c>
      <c r="T718" s="31">
        <v>9862.611230308501</v>
      </c>
      <c r="U718" s="142">
        <v>76486.689135324239</v>
      </c>
      <c r="AE718" s="137">
        <f t="shared" si="59"/>
        <v>4.4861943093262235</v>
      </c>
      <c r="AF718" s="131">
        <f t="shared" ca="1" si="55"/>
        <v>-77748903.308445349</v>
      </c>
      <c r="AG718" s="131">
        <f t="shared" ca="1" si="56"/>
        <v>5538809.0215678569</v>
      </c>
      <c r="AI718" s="131">
        <f t="shared" si="57"/>
        <v>-78790704.023866221</v>
      </c>
      <c r="AJ718" s="31">
        <f t="shared" si="58"/>
        <v>76486.689135324239</v>
      </c>
    </row>
    <row r="719" spans="15:36">
      <c r="O719" s="15">
        <v>716</v>
      </c>
      <c r="P719" s="33">
        <v>3245664.4678717908</v>
      </c>
      <c r="Q719" s="33">
        <v>71466639.098639905</v>
      </c>
      <c r="R719" s="146">
        <v>-68220974.63076812</v>
      </c>
      <c r="S719" s="31">
        <v>64818.277415404656</v>
      </c>
      <c r="T719" s="31">
        <v>19230.064078971838</v>
      </c>
      <c r="U719" s="142">
        <v>45588.213336432818</v>
      </c>
      <c r="AE719" s="137">
        <f t="shared" si="59"/>
        <v>4.4924774946334027</v>
      </c>
      <c r="AF719" s="131">
        <f t="shared" ca="1" si="55"/>
        <v>-77895161.637014866</v>
      </c>
      <c r="AG719" s="131">
        <f t="shared" ca="1" si="56"/>
        <v>5392696.091389155</v>
      </c>
      <c r="AI719" s="131">
        <f t="shared" si="57"/>
        <v>-68220974.63076812</v>
      </c>
      <c r="AJ719" s="31">
        <f t="shared" si="58"/>
        <v>45588.213336432818</v>
      </c>
    </row>
    <row r="720" spans="15:36">
      <c r="O720" s="15">
        <v>717</v>
      </c>
      <c r="P720" s="33">
        <v>3479610.9786012238</v>
      </c>
      <c r="Q720" s="33">
        <v>66812288.739011593</v>
      </c>
      <c r="R720" s="146">
        <v>-63332677.760410368</v>
      </c>
      <c r="S720" s="31">
        <v>77354.355106782008</v>
      </c>
      <c r="T720" s="31">
        <v>14993.394902203674</v>
      </c>
      <c r="U720" s="142">
        <v>62360.960204578332</v>
      </c>
      <c r="AE720" s="137">
        <f t="shared" si="59"/>
        <v>4.4987606799405819</v>
      </c>
      <c r="AF720" s="131">
        <f t="shared" ca="1" si="55"/>
        <v>-78041625.504283145</v>
      </c>
      <c r="AG720" s="131">
        <f t="shared" ca="1" si="56"/>
        <v>5246373.5920896837</v>
      </c>
      <c r="AI720" s="131">
        <f t="shared" si="57"/>
        <v>-63332677.760410368</v>
      </c>
      <c r="AJ720" s="31">
        <f t="shared" si="58"/>
        <v>62360.960204578332</v>
      </c>
    </row>
    <row r="721" spans="15:36">
      <c r="O721" s="15">
        <v>718</v>
      </c>
      <c r="P721" s="33">
        <v>3617831.2468732577</v>
      </c>
      <c r="Q721" s="33">
        <v>83267910.678860873</v>
      </c>
      <c r="R721" s="146">
        <v>-79650079.431987613</v>
      </c>
      <c r="S721" s="31">
        <v>80740.116671541124</v>
      </c>
      <c r="T721" s="31">
        <v>8766.734211867446</v>
      </c>
      <c r="U721" s="142">
        <v>71973.382459673681</v>
      </c>
      <c r="AE721" s="137">
        <f t="shared" si="59"/>
        <v>4.5050438652477611</v>
      </c>
      <c r="AF721" s="131">
        <f t="shared" ca="1" si="55"/>
        <v>-78188289.128107518</v>
      </c>
      <c r="AG721" s="131">
        <f t="shared" ca="1" si="56"/>
        <v>5099847.3002311727</v>
      </c>
      <c r="AI721" s="131">
        <f t="shared" si="57"/>
        <v>-79650079.431987613</v>
      </c>
      <c r="AJ721" s="31">
        <f t="shared" si="58"/>
        <v>71973.382459673681</v>
      </c>
    </row>
    <row r="722" spans="15:36">
      <c r="O722" s="15">
        <v>719</v>
      </c>
      <c r="P722" s="33">
        <v>3049829.3908113865</v>
      </c>
      <c r="Q722" s="33">
        <v>83626501.886252165</v>
      </c>
      <c r="R722" s="146">
        <v>-80576672.495440781</v>
      </c>
      <c r="S722" s="31">
        <v>90066.575892132387</v>
      </c>
      <c r="T722" s="31">
        <v>17383.622712049055</v>
      </c>
      <c r="U722" s="142">
        <v>72682.953180083336</v>
      </c>
      <c r="AE722" s="137">
        <f t="shared" si="59"/>
        <v>4.5113270505549403</v>
      </c>
      <c r="AF722" s="131">
        <f t="shared" ca="1" si="55"/>
        <v>-78335146.718459234</v>
      </c>
      <c r="AG722" s="131">
        <f t="shared" ca="1" si="56"/>
        <v>4953123.0004207296</v>
      </c>
      <c r="AI722" s="131">
        <f t="shared" si="57"/>
        <v>-80576672.495440781</v>
      </c>
      <c r="AJ722" s="31">
        <f t="shared" si="58"/>
        <v>72682.953180083336</v>
      </c>
    </row>
    <row r="723" spans="15:36">
      <c r="O723" s="15">
        <v>720</v>
      </c>
      <c r="P723" s="33">
        <v>4008212.5321164625</v>
      </c>
      <c r="Q723" s="33">
        <v>76855443.824392781</v>
      </c>
      <c r="R723" s="146">
        <v>-72847231.292276323</v>
      </c>
      <c r="S723" s="31">
        <v>98157.69629706</v>
      </c>
      <c r="T723" s="31">
        <v>13233.479176494116</v>
      </c>
      <c r="U723" s="142">
        <v>84924.217120565881</v>
      </c>
      <c r="AE723" s="137">
        <f t="shared" si="59"/>
        <v>4.5176102358621195</v>
      </c>
      <c r="AF723" s="131">
        <f t="shared" ca="1" si="55"/>
        <v>-78482192.477652073</v>
      </c>
      <c r="AG723" s="131">
        <f t="shared" ca="1" si="56"/>
        <v>4806206.4850824811</v>
      </c>
      <c r="AI723" s="131">
        <f t="shared" si="57"/>
        <v>-72847231.292276323</v>
      </c>
      <c r="AJ723" s="31">
        <f t="shared" si="58"/>
        <v>84924.217120565881</v>
      </c>
    </row>
    <row r="724" spans="15:36">
      <c r="O724" s="15">
        <v>721</v>
      </c>
      <c r="P724" s="33">
        <v>2697777.8329655952</v>
      </c>
      <c r="Q724" s="33">
        <v>89848897.979367703</v>
      </c>
      <c r="R724" s="146">
        <v>-87151120.146402106</v>
      </c>
      <c r="S724" s="31">
        <v>94270.355142455781</v>
      </c>
      <c r="T724" s="31">
        <v>9593.1403795714814</v>
      </c>
      <c r="U724" s="142">
        <v>84677.214762884294</v>
      </c>
      <c r="AE724" s="137">
        <f t="shared" si="59"/>
        <v>4.5238934211692987</v>
      </c>
      <c r="AF724" s="131">
        <f t="shared" ca="1" si="55"/>
        <v>-78629420.600571275</v>
      </c>
      <c r="AG724" s="131">
        <f t="shared" ca="1" si="56"/>
        <v>4659103.5542288888</v>
      </c>
      <c r="AI724" s="131">
        <f t="shared" si="57"/>
        <v>-87151120.146402106</v>
      </c>
      <c r="AJ724" s="31">
        <f t="shared" si="58"/>
        <v>84677.214762884294</v>
      </c>
    </row>
    <row r="725" spans="15:36">
      <c r="O725" s="15">
        <v>722</v>
      </c>
      <c r="P725" s="33">
        <v>2915180.5031941072</v>
      </c>
      <c r="Q725" s="33">
        <v>84405672.202955931</v>
      </c>
      <c r="R725" s="146">
        <v>-81490491.699761823</v>
      </c>
      <c r="S725" s="31">
        <v>109441.09911775106</v>
      </c>
      <c r="T725" s="31">
        <v>18708.128407428067</v>
      </c>
      <c r="U725" s="142">
        <v>90732.970710322988</v>
      </c>
      <c r="AE725" s="137">
        <f t="shared" si="59"/>
        <v>4.5301766064764779</v>
      </c>
      <c r="AF725" s="131">
        <f t="shared" ca="1" si="55"/>
        <v>-78776825.274902612</v>
      </c>
      <c r="AG725" s="131">
        <f t="shared" ca="1" si="56"/>
        <v>4511820.0152317835</v>
      </c>
      <c r="AI725" s="131">
        <f t="shared" si="57"/>
        <v>-81490491.699761823</v>
      </c>
      <c r="AJ725" s="31">
        <f t="shared" si="58"/>
        <v>90732.970710322988</v>
      </c>
    </row>
    <row r="726" spans="15:36">
      <c r="O726" s="15">
        <v>723</v>
      </c>
      <c r="P726" s="33">
        <v>2654516.2886058427</v>
      </c>
      <c r="Q726" s="33">
        <v>89079042.586652234</v>
      </c>
      <c r="R726" s="146">
        <v>-86424526.298046395</v>
      </c>
      <c r="S726" s="31">
        <v>52434.330769313936</v>
      </c>
      <c r="T726" s="31">
        <v>10661.070186008112</v>
      </c>
      <c r="U726" s="142">
        <v>41773.260583305826</v>
      </c>
      <c r="AE726" s="137">
        <f t="shared" si="59"/>
        <v>4.5364597917836571</v>
      </c>
      <c r="AF726" s="131">
        <f t="shared" ca="1" si="55"/>
        <v>-78924400.681361958</v>
      </c>
      <c r="AG726" s="131">
        <f t="shared" ca="1" si="56"/>
        <v>4364361.6825930951</v>
      </c>
      <c r="AI726" s="131">
        <f t="shared" si="57"/>
        <v>-86424526.298046395</v>
      </c>
      <c r="AJ726" s="31">
        <f t="shared" si="58"/>
        <v>41773.260583305826</v>
      </c>
    </row>
    <row r="727" spans="15:36">
      <c r="O727" s="15">
        <v>724</v>
      </c>
      <c r="P727" s="33">
        <v>3096800.3228303413</v>
      </c>
      <c r="Q727" s="33">
        <v>75071882.27429451</v>
      </c>
      <c r="R727" s="146">
        <v>-71975081.951464176</v>
      </c>
      <c r="S727" s="31">
        <v>51038.537053976383</v>
      </c>
      <c r="T727" s="31">
        <v>15164.535257797921</v>
      </c>
      <c r="U727" s="142">
        <v>35874.001796178462</v>
      </c>
      <c r="AE727" s="137">
        <f t="shared" si="59"/>
        <v>4.5427429770908363</v>
      </c>
      <c r="AF727" s="131">
        <f t="shared" ca="1" si="55"/>
        <v>-79072140.993924946</v>
      </c>
      <c r="AG727" s="131">
        <f t="shared" ca="1" si="56"/>
        <v>4216734.3777153064</v>
      </c>
      <c r="AI727" s="131">
        <f t="shared" si="57"/>
        <v>-71975081.951464176</v>
      </c>
      <c r="AJ727" s="31">
        <f t="shared" si="58"/>
        <v>35874.001796178462</v>
      </c>
    </row>
    <row r="728" spans="15:36">
      <c r="O728" s="15">
        <v>725</v>
      </c>
      <c r="P728" s="33">
        <v>3435669.8006873517</v>
      </c>
      <c r="Q728" s="33">
        <v>90291178.935186878</v>
      </c>
      <c r="R728" s="146">
        <v>-86855509.13449952</v>
      </c>
      <c r="S728" s="31">
        <v>194742.14834004792</v>
      </c>
      <c r="T728" s="31">
        <v>13243.319675398943</v>
      </c>
      <c r="U728" s="142">
        <v>181498.82866464899</v>
      </c>
      <c r="AE728" s="137">
        <f t="shared" si="59"/>
        <v>4.5490261623980155</v>
      </c>
      <c r="AF728" s="131">
        <f t="shared" ca="1" si="55"/>
        <v>-79220040.380057007</v>
      </c>
      <c r="AG728" s="131">
        <f t="shared" ca="1" si="56"/>
        <v>4068943.9286716371</v>
      </c>
      <c r="AI728" s="131">
        <f t="shared" si="57"/>
        <v>-86855509.13449952</v>
      </c>
      <c r="AJ728" s="31">
        <f t="shared" si="58"/>
        <v>181498.82866464899</v>
      </c>
    </row>
    <row r="729" spans="15:36">
      <c r="O729" s="15">
        <v>726</v>
      </c>
      <c r="P729" s="33">
        <v>3621229.6718623559</v>
      </c>
      <c r="Q729" s="33">
        <v>72438049.178408653</v>
      </c>
      <c r="R729" s="146">
        <v>-68816819.506546304</v>
      </c>
      <c r="S729" s="31">
        <v>52610.349912801103</v>
      </c>
      <c r="T729" s="31">
        <v>15808.524449619796</v>
      </c>
      <c r="U729" s="142">
        <v>36801.825463181303</v>
      </c>
      <c r="AE729" s="137">
        <f t="shared" si="59"/>
        <v>4.5553093477051947</v>
      </c>
      <c r="AF729" s="131">
        <f t="shared" ca="1" si="55"/>
        <v>-79368093.000943631</v>
      </c>
      <c r="AG729" s="131">
        <f t="shared" ca="1" si="56"/>
        <v>3920996.1699759555</v>
      </c>
      <c r="AI729" s="131">
        <f t="shared" si="57"/>
        <v>-68816819.506546304</v>
      </c>
      <c r="AJ729" s="31">
        <f t="shared" si="58"/>
        <v>36801.825463181303</v>
      </c>
    </row>
    <row r="730" spans="15:36">
      <c r="O730" s="15">
        <v>727</v>
      </c>
      <c r="P730" s="33">
        <v>3155823.8581499825</v>
      </c>
      <c r="Q730" s="33">
        <v>73934462.720736787</v>
      </c>
      <c r="R730" s="146">
        <v>-70778638.862586811</v>
      </c>
      <c r="S730" s="31">
        <v>65543.234914582601</v>
      </c>
      <c r="T730" s="31">
        <v>16534.449899576961</v>
      </c>
      <c r="U730" s="142">
        <v>49008.78501500564</v>
      </c>
      <c r="AE730" s="137">
        <f t="shared" si="59"/>
        <v>4.5615925330123739</v>
      </c>
      <c r="AF730" s="131">
        <f t="shared" ca="1" si="55"/>
        <v>-79516293.011720836</v>
      </c>
      <c r="AG730" s="131">
        <f t="shared" ca="1" si="56"/>
        <v>3772896.9423524491</v>
      </c>
      <c r="AI730" s="131">
        <f t="shared" si="57"/>
        <v>-70778638.862586811</v>
      </c>
      <c r="AJ730" s="31">
        <f t="shared" si="58"/>
        <v>49008.78501500564</v>
      </c>
    </row>
    <row r="731" spans="15:36">
      <c r="O731" s="15">
        <v>728</v>
      </c>
      <c r="P731" s="33">
        <v>3438925.5614383873</v>
      </c>
      <c r="Q731" s="33">
        <v>83713571.093559414</v>
      </c>
      <c r="R731" s="146">
        <v>-80274645.532121032</v>
      </c>
      <c r="S731" s="31">
        <v>102602.14621649473</v>
      </c>
      <c r="T731" s="31">
        <v>17689.567150212129</v>
      </c>
      <c r="U731" s="142">
        <v>84912.579066282604</v>
      </c>
      <c r="AE731" s="137">
        <f t="shared" si="59"/>
        <v>4.5678757183195531</v>
      </c>
      <c r="AF731" s="131">
        <f t="shared" ca="1" si="55"/>
        <v>-79664634.561705977</v>
      </c>
      <c r="AG731" s="131">
        <f t="shared" ca="1" si="56"/>
        <v>3624652.0925050373</v>
      </c>
      <c r="AI731" s="131">
        <f t="shared" si="57"/>
        <v>-80274645.532121032</v>
      </c>
      <c r="AJ731" s="31">
        <f t="shared" si="58"/>
        <v>84912.579066282604</v>
      </c>
    </row>
    <row r="732" spans="15:36">
      <c r="O732" s="15">
        <v>729</v>
      </c>
      <c r="P732" s="33">
        <v>2671977.916516698</v>
      </c>
      <c r="Q732" s="33">
        <v>78804718.617576003</v>
      </c>
      <c r="R732" s="146">
        <v>-76132740.701059312</v>
      </c>
      <c r="S732" s="31">
        <v>84459.568292150594</v>
      </c>
      <c r="T732" s="31">
        <v>7479.5590013902965</v>
      </c>
      <c r="U732" s="142">
        <v>76980.009290760296</v>
      </c>
      <c r="AE732" s="137">
        <f t="shared" si="59"/>
        <v>4.5741589036267323</v>
      </c>
      <c r="AF732" s="131">
        <f t="shared" ca="1" si="55"/>
        <v>-79813111.79462865</v>
      </c>
      <c r="AG732" s="131">
        <f t="shared" ca="1" si="56"/>
        <v>3476267.4728865572</v>
      </c>
      <c r="AI732" s="131">
        <f t="shared" si="57"/>
        <v>-76132740.701059312</v>
      </c>
      <c r="AJ732" s="31">
        <f t="shared" si="58"/>
        <v>76980.009290760296</v>
      </c>
    </row>
    <row r="733" spans="15:36">
      <c r="O733" s="15">
        <v>730</v>
      </c>
      <c r="P733" s="33">
        <v>3187036.7145496784</v>
      </c>
      <c r="Q733" s="33">
        <v>82338225.334012315</v>
      </c>
      <c r="R733" s="146">
        <v>-79151188.619462639</v>
      </c>
      <c r="S733" s="31">
        <v>94098.279711263152</v>
      </c>
      <c r="T733" s="31">
        <v>5280.7419571248811</v>
      </c>
      <c r="U733" s="142">
        <v>88817.537754138277</v>
      </c>
      <c r="AE733" s="137">
        <f t="shared" si="59"/>
        <v>4.5804420889339115</v>
      </c>
      <c r="AF733" s="131">
        <f t="shared" ca="1" si="55"/>
        <v>-79961718.848861918</v>
      </c>
      <c r="AG733" s="131">
        <f t="shared" ca="1" si="56"/>
        <v>3327748.941467715</v>
      </c>
      <c r="AI733" s="131">
        <f t="shared" si="57"/>
        <v>-79151188.619462639</v>
      </c>
      <c r="AJ733" s="31">
        <f t="shared" si="58"/>
        <v>88817.537754138277</v>
      </c>
    </row>
    <row r="734" spans="15:36">
      <c r="O734" s="15">
        <v>731</v>
      </c>
      <c r="P734" s="33">
        <v>3568328.2923339172</v>
      </c>
      <c r="Q734" s="33">
        <v>88378324.369595453</v>
      </c>
      <c r="R734" s="146">
        <v>-84809996.077261537</v>
      </c>
      <c r="S734" s="31">
        <v>76341.269831124519</v>
      </c>
      <c r="T734" s="31">
        <v>11792.676527185067</v>
      </c>
      <c r="U734" s="142">
        <v>64548.593303939451</v>
      </c>
      <c r="AE734" s="137">
        <f t="shared" si="59"/>
        <v>4.5867252742410907</v>
      </c>
      <c r="AF734" s="131">
        <f t="shared" ca="1" si="55"/>
        <v>-80110449.857653767</v>
      </c>
      <c r="AG734" s="131">
        <f t="shared" ca="1" si="56"/>
        <v>3179102.3615058279</v>
      </c>
      <c r="AI734" s="131">
        <f t="shared" si="57"/>
        <v>-84809996.077261537</v>
      </c>
      <c r="AJ734" s="31">
        <f t="shared" si="58"/>
        <v>64548.593303939451</v>
      </c>
    </row>
    <row r="735" spans="15:36">
      <c r="O735" s="15">
        <v>732</v>
      </c>
      <c r="P735" s="33">
        <v>2967522.7338693733</v>
      </c>
      <c r="Q735" s="33">
        <v>88339652.359936148</v>
      </c>
      <c r="R735" s="146">
        <v>-85372129.626066774</v>
      </c>
      <c r="S735" s="31">
        <v>113152.21980079752</v>
      </c>
      <c r="T735" s="31">
        <v>10921.663386091463</v>
      </c>
      <c r="U735" s="142">
        <v>102230.55641470606</v>
      </c>
      <c r="AE735" s="137">
        <f t="shared" si="59"/>
        <v>4.5930084595482699</v>
      </c>
      <c r="AF735" s="131">
        <f t="shared" ca="1" si="55"/>
        <v>-80259298.949358612</v>
      </c>
      <c r="AG735" s="131">
        <f t="shared" ca="1" si="56"/>
        <v>3030333.6013133479</v>
      </c>
      <c r="AI735" s="131">
        <f t="shared" si="57"/>
        <v>-85372129.626066774</v>
      </c>
      <c r="AJ735" s="31">
        <f t="shared" si="58"/>
        <v>102230.55641470606</v>
      </c>
    </row>
    <row r="736" spans="15:36">
      <c r="O736" s="15">
        <v>733</v>
      </c>
      <c r="P736" s="33">
        <v>3517268.7777946875</v>
      </c>
      <c r="Q736" s="33">
        <v>110779482.03958787</v>
      </c>
      <c r="R736" s="146">
        <v>-107262213.26179318</v>
      </c>
      <c r="S736" s="31">
        <v>77524.264017573791</v>
      </c>
      <c r="T736" s="31">
        <v>11996.619222583347</v>
      </c>
      <c r="U736" s="142">
        <v>65527.64479499044</v>
      </c>
      <c r="AE736" s="137">
        <f t="shared" si="59"/>
        <v>4.5992916448554491</v>
      </c>
      <c r="AF736" s="131">
        <f t="shared" ca="1" si="55"/>
        <v>-80408260.247669205</v>
      </c>
      <c r="AG736" s="131">
        <f t="shared" ca="1" si="56"/>
        <v>2881448.5340261953</v>
      </c>
      <c r="AI736" s="131">
        <f t="shared" si="57"/>
        <v>-107262213.26179318</v>
      </c>
      <c r="AJ736" s="31">
        <f t="shared" si="58"/>
        <v>65527.64479499044</v>
      </c>
    </row>
    <row r="737" spans="15:36">
      <c r="O737" s="15">
        <v>734</v>
      </c>
      <c r="P737" s="33">
        <v>3134037.6199728753</v>
      </c>
      <c r="Q737" s="33">
        <v>81573733.362497911</v>
      </c>
      <c r="R737" s="146">
        <v>-78439695.742525041</v>
      </c>
      <c r="S737" s="31">
        <v>72968.149984628733</v>
      </c>
      <c r="T737" s="31">
        <v>10254.563060595683</v>
      </c>
      <c r="U737" s="142">
        <v>62713.58692403305</v>
      </c>
      <c r="AE737" s="137">
        <f t="shared" si="59"/>
        <v>4.6055748301626283</v>
      </c>
      <c r="AF737" s="131">
        <f t="shared" ca="1" si="55"/>
        <v>-80557327.871848539</v>
      </c>
      <c r="AG737" s="131">
        <f t="shared" ca="1" si="56"/>
        <v>2732453.0373718943</v>
      </c>
      <c r="AI737" s="131">
        <f t="shared" si="57"/>
        <v>-78439695.742525041</v>
      </c>
      <c r="AJ737" s="31">
        <f t="shared" si="58"/>
        <v>62713.58692403305</v>
      </c>
    </row>
    <row r="738" spans="15:36">
      <c r="O738" s="15">
        <v>735</v>
      </c>
      <c r="P738" s="33">
        <v>3450406.753676747</v>
      </c>
      <c r="Q738" s="33">
        <v>73981548.977533966</v>
      </c>
      <c r="R738" s="146">
        <v>-70531142.223857224</v>
      </c>
      <c r="S738" s="31">
        <v>75768.478045340278</v>
      </c>
      <c r="T738" s="31">
        <v>10547.550409383774</v>
      </c>
      <c r="U738" s="142">
        <v>65220.927635956505</v>
      </c>
      <c r="AE738" s="137">
        <f t="shared" si="59"/>
        <v>4.6118580154698074</v>
      </c>
      <c r="AF738" s="131">
        <f t="shared" ca="1" si="55"/>
        <v>-80706495.936962038</v>
      </c>
      <c r="AG738" s="131">
        <f t="shared" ca="1" si="56"/>
        <v>2583352.9934375319</v>
      </c>
      <c r="AI738" s="131">
        <f t="shared" si="57"/>
        <v>-70531142.223857224</v>
      </c>
      <c r="AJ738" s="31">
        <f t="shared" si="58"/>
        <v>65220.927635956505</v>
      </c>
    </row>
    <row r="739" spans="15:36">
      <c r="O739" s="15">
        <v>736</v>
      </c>
      <c r="P739" s="33">
        <v>3654467.5377048333</v>
      </c>
      <c r="Q739" s="33">
        <v>95466455.507963791</v>
      </c>
      <c r="R739" s="146">
        <v>-91811987.970258951</v>
      </c>
      <c r="S739" s="31">
        <v>108213.25976731061</v>
      </c>
      <c r="T739" s="31">
        <v>18735.495853508939</v>
      </c>
      <c r="U739" s="142">
        <v>89477.763913801668</v>
      </c>
      <c r="AE739" s="137">
        <f t="shared" si="59"/>
        <v>4.6181412007769866</v>
      </c>
      <c r="AF739" s="131">
        <f t="shared" ca="1" si="55"/>
        <v>-80855758.554109946</v>
      </c>
      <c r="AG739" s="131">
        <f t="shared" ca="1" si="56"/>
        <v>2434154.2884375416</v>
      </c>
      <c r="AI739" s="131">
        <f t="shared" si="57"/>
        <v>-91811987.970258951</v>
      </c>
      <c r="AJ739" s="31">
        <f t="shared" si="58"/>
        <v>89477.763913801668</v>
      </c>
    </row>
    <row r="740" spans="15:36">
      <c r="O740" s="15">
        <v>737</v>
      </c>
      <c r="P740" s="33">
        <v>3503704.231081713</v>
      </c>
      <c r="Q740" s="33">
        <v>101678701.59238446</v>
      </c>
      <c r="R740" s="146">
        <v>-98174997.361302748</v>
      </c>
      <c r="S740" s="31">
        <v>59976.280777156411</v>
      </c>
      <c r="T740" s="31">
        <v>16373.274576925593</v>
      </c>
      <c r="U740" s="142">
        <v>43603.006200230819</v>
      </c>
      <c r="AE740" s="137">
        <f t="shared" si="59"/>
        <v>4.6244243860841658</v>
      </c>
      <c r="AF740" s="131">
        <f t="shared" ca="1" si="55"/>
        <v>-81005109.830659688</v>
      </c>
      <c r="AG740" s="131">
        <f t="shared" ca="1" si="56"/>
        <v>2284862.8124813279</v>
      </c>
      <c r="AI740" s="131">
        <f t="shared" si="57"/>
        <v>-98174997.361302748</v>
      </c>
      <c r="AJ740" s="31">
        <f t="shared" si="58"/>
        <v>43603.006200230819</v>
      </c>
    </row>
    <row r="741" spans="15:36">
      <c r="O741" s="15">
        <v>738</v>
      </c>
      <c r="P741" s="33">
        <v>3473675.89475421</v>
      </c>
      <c r="Q741" s="33">
        <v>92434272.080363363</v>
      </c>
      <c r="R741" s="146">
        <v>-88960596.185609147</v>
      </c>
      <c r="S741" s="31">
        <v>134764.22195016386</v>
      </c>
      <c r="T741" s="31">
        <v>12381.624527690225</v>
      </c>
      <c r="U741" s="142">
        <v>122382.59742247364</v>
      </c>
      <c r="AE741" s="137">
        <f t="shared" si="59"/>
        <v>4.630707571391345</v>
      </c>
      <c r="AF741" s="131">
        <f t="shared" ca="1" si="55"/>
        <v>-81154543.870478615</v>
      </c>
      <c r="AG741" s="131">
        <f t="shared" ca="1" si="56"/>
        <v>2135484.4593407344</v>
      </c>
      <c r="AI741" s="131">
        <f t="shared" si="57"/>
        <v>-88960596.185609147</v>
      </c>
      <c r="AJ741" s="31">
        <f t="shared" si="58"/>
        <v>122382.59742247364</v>
      </c>
    </row>
    <row r="742" spans="15:36">
      <c r="O742" s="15">
        <v>739</v>
      </c>
      <c r="P742" s="33">
        <v>2759875.7750782315</v>
      </c>
      <c r="Q742" s="33">
        <v>84426565.310433865</v>
      </c>
      <c r="R742" s="146">
        <v>-81666689.535355628</v>
      </c>
      <c r="S742" s="31">
        <v>70932.942133984252</v>
      </c>
      <c r="T742" s="31">
        <v>8440.3514324455391</v>
      </c>
      <c r="U742" s="142">
        <v>62492.590701538713</v>
      </c>
      <c r="AE742" s="137">
        <f t="shared" si="59"/>
        <v>4.6369907566985242</v>
      </c>
      <c r="AF742" s="131">
        <f t="shared" ca="1" si="55"/>
        <v>-81304054.774166688</v>
      </c>
      <c r="AG742" s="131">
        <f t="shared" ca="1" si="56"/>
        <v>1986025.1262173662</v>
      </c>
      <c r="AI742" s="131">
        <f t="shared" si="57"/>
        <v>-81666689.535355628</v>
      </c>
      <c r="AJ742" s="31">
        <f t="shared" si="58"/>
        <v>62492.590701538713</v>
      </c>
    </row>
    <row r="743" spans="15:36">
      <c r="O743" s="15">
        <v>740</v>
      </c>
      <c r="P743" s="33">
        <v>3604349.620951253</v>
      </c>
      <c r="Q743" s="33">
        <v>101542662.32125229</v>
      </c>
      <c r="R743" s="146">
        <v>-97938312.700301036</v>
      </c>
      <c r="S743" s="31">
        <v>64024.967500195329</v>
      </c>
      <c r="T743" s="31">
        <v>5418.4879248395946</v>
      </c>
      <c r="U743" s="142">
        <v>58606.479575355734</v>
      </c>
      <c r="AE743" s="137">
        <f t="shared" si="59"/>
        <v>4.6432739420057034</v>
      </c>
      <c r="AF743" s="131">
        <f t="shared" ca="1" si="55"/>
        <v>-81453636.639289439</v>
      </c>
      <c r="AG743" s="131">
        <f t="shared" ca="1" si="56"/>
        <v>1836490.713509779</v>
      </c>
      <c r="AI743" s="131">
        <f t="shared" si="57"/>
        <v>-97938312.700301036</v>
      </c>
      <c r="AJ743" s="31">
        <f t="shared" si="58"/>
        <v>58606.479575355734</v>
      </c>
    </row>
    <row r="744" spans="15:36">
      <c r="O744" s="15">
        <v>741</v>
      </c>
      <c r="P744" s="33">
        <v>2926446.1441766671</v>
      </c>
      <c r="Q744" s="33">
        <v>93084792.579043671</v>
      </c>
      <c r="R744" s="146">
        <v>-90158346.43486701</v>
      </c>
      <c r="S744" s="31">
        <v>88472.189709733357</v>
      </c>
      <c r="T744" s="31">
        <v>18488.988331615496</v>
      </c>
      <c r="U744" s="142">
        <v>69983.201378117868</v>
      </c>
      <c r="AE744" s="137">
        <f t="shared" si="59"/>
        <v>4.6495571273128826</v>
      </c>
      <c r="AF744" s="131">
        <f t="shared" ca="1" si="55"/>
        <v>-81603283.56061098</v>
      </c>
      <c r="AG744" s="131">
        <f t="shared" ca="1" si="56"/>
        <v>1686887.124580543</v>
      </c>
      <c r="AI744" s="131">
        <f t="shared" si="57"/>
        <v>-90158346.43486701</v>
      </c>
      <c r="AJ744" s="31">
        <f t="shared" si="58"/>
        <v>69983.201378117868</v>
      </c>
    </row>
    <row r="745" spans="15:36">
      <c r="O745" s="15">
        <v>742</v>
      </c>
      <c r="P745" s="33">
        <v>3375966.6463806075</v>
      </c>
      <c r="Q745" s="33">
        <v>105317071.98466378</v>
      </c>
      <c r="R745" s="146">
        <v>-101941105.33828318</v>
      </c>
      <c r="S745" s="31">
        <v>73545.996702617267</v>
      </c>
      <c r="T745" s="31">
        <v>8101.6939809228406</v>
      </c>
      <c r="U745" s="142">
        <v>65444.302721694425</v>
      </c>
      <c r="AE745" s="137">
        <f t="shared" si="59"/>
        <v>4.6558403126200618</v>
      </c>
      <c r="AF745" s="131">
        <f t="shared" ca="1" si="55"/>
        <v>-81752989.630327061</v>
      </c>
      <c r="AG745" s="131">
        <f t="shared" ca="1" si="56"/>
        <v>1537220.2655231869</v>
      </c>
      <c r="AI745" s="131">
        <f t="shared" si="57"/>
        <v>-101941105.33828318</v>
      </c>
      <c r="AJ745" s="31">
        <f t="shared" si="58"/>
        <v>65444.302721694425</v>
      </c>
    </row>
    <row r="746" spans="15:36">
      <c r="O746" s="15">
        <v>743</v>
      </c>
      <c r="P746" s="33">
        <v>3279740.3069687593</v>
      </c>
      <c r="Q746" s="33">
        <v>79230340.844306499</v>
      </c>
      <c r="R746" s="146">
        <v>-75950600.537337735</v>
      </c>
      <c r="S746" s="31">
        <v>133813.73193625282</v>
      </c>
      <c r="T746" s="31">
        <v>24420.510185933781</v>
      </c>
      <c r="U746" s="142">
        <v>109393.22175031903</v>
      </c>
      <c r="AE746" s="137">
        <f t="shared" si="59"/>
        <v>4.662123497927241</v>
      </c>
      <c r="AF746" s="131">
        <f t="shared" ca="1" si="55"/>
        <v>-81902748.938298404</v>
      </c>
      <c r="AG746" s="131">
        <f t="shared" ca="1" si="56"/>
        <v>1387496.0449290352</v>
      </c>
      <c r="AI746" s="131">
        <f t="shared" si="57"/>
        <v>-75950600.537337735</v>
      </c>
      <c r="AJ746" s="31">
        <f t="shared" si="58"/>
        <v>109393.22175031903</v>
      </c>
    </row>
    <row r="747" spans="15:36">
      <c r="O747" s="15">
        <v>744</v>
      </c>
      <c r="P747" s="33">
        <v>3015184.0380337127</v>
      </c>
      <c r="Q747" s="33">
        <v>80339731.623105153</v>
      </c>
      <c r="R747" s="146">
        <v>-77324547.585071445</v>
      </c>
      <c r="S747" s="31">
        <v>45504.432044820947</v>
      </c>
      <c r="T747" s="31">
        <v>14898.931073146936</v>
      </c>
      <c r="U747" s="142">
        <v>30605.50097167401</v>
      </c>
      <c r="AE747" s="137">
        <f t="shared" si="59"/>
        <v>4.6684066832344202</v>
      </c>
      <c r="AF747" s="131">
        <f t="shared" ca="1" si="55"/>
        <v>-82052555.572283953</v>
      </c>
      <c r="AG747" s="131">
        <f t="shared" ca="1" si="56"/>
        <v>1237720.3736539481</v>
      </c>
      <c r="AI747" s="131">
        <f t="shared" si="57"/>
        <v>-77324547.585071445</v>
      </c>
      <c r="AJ747" s="31">
        <f t="shared" si="58"/>
        <v>30605.50097167401</v>
      </c>
    </row>
    <row r="748" spans="15:36">
      <c r="O748" s="15">
        <v>745</v>
      </c>
      <c r="P748" s="33">
        <v>3418131.0482201991</v>
      </c>
      <c r="Q748" s="33">
        <v>82793650.413975477</v>
      </c>
      <c r="R748" s="146">
        <v>-79375519.365755275</v>
      </c>
      <c r="S748" s="31">
        <v>84647.331253849261</v>
      </c>
      <c r="T748" s="31">
        <v>4907.1680216125415</v>
      </c>
      <c r="U748" s="142">
        <v>79740.163232236722</v>
      </c>
      <c r="AE748" s="137">
        <f t="shared" si="59"/>
        <v>4.6746898685415994</v>
      </c>
      <c r="AF748" s="131">
        <f t="shared" ca="1" si="55"/>
        <v>-82202403.618174314</v>
      </c>
      <c r="AG748" s="131">
        <f t="shared" ca="1" si="56"/>
        <v>1087899.1645849706</v>
      </c>
      <c r="AI748" s="131">
        <f t="shared" si="57"/>
        <v>-79375519.365755275</v>
      </c>
      <c r="AJ748" s="31">
        <f t="shared" si="58"/>
        <v>79740.163232236722</v>
      </c>
    </row>
    <row r="749" spans="15:36">
      <c r="O749" s="15">
        <v>746</v>
      </c>
      <c r="P749" s="33">
        <v>3165975.5497184065</v>
      </c>
      <c r="Q749" s="33">
        <v>93305489.884990409</v>
      </c>
      <c r="R749" s="146">
        <v>-90139514.335271999</v>
      </c>
      <c r="S749" s="31">
        <v>66512.195567973235</v>
      </c>
      <c r="T749" s="31">
        <v>6969.9483603480894</v>
      </c>
      <c r="U749" s="142">
        <v>59542.247207625143</v>
      </c>
      <c r="AE749" s="137">
        <f t="shared" si="59"/>
        <v>4.6809730538487786</v>
      </c>
      <c r="AF749" s="131">
        <f t="shared" ca="1" si="55"/>
        <v>-82352287.160225227</v>
      </c>
      <c r="AG749" s="131">
        <f t="shared" ca="1" si="56"/>
        <v>938038.33240690175</v>
      </c>
      <c r="AI749" s="131">
        <f t="shared" si="57"/>
        <v>-90139514.335271999</v>
      </c>
      <c r="AJ749" s="31">
        <f t="shared" si="58"/>
        <v>59542.247207625143</v>
      </c>
    </row>
    <row r="750" spans="15:36">
      <c r="O750" s="15">
        <v>747</v>
      </c>
      <c r="P750" s="33">
        <v>3575933.149401783</v>
      </c>
      <c r="Q750" s="33">
        <v>99094828.529925376</v>
      </c>
      <c r="R750" s="146">
        <v>-95518895.380523592</v>
      </c>
      <c r="S750" s="31">
        <v>76650.613853075643</v>
      </c>
      <c r="T750" s="31">
        <v>8822.5179739550895</v>
      </c>
      <c r="U750" s="142">
        <v>67828.095879120548</v>
      </c>
      <c r="AE750" s="137">
        <f t="shared" si="59"/>
        <v>4.6872562391559578</v>
      </c>
      <c r="AF750" s="131">
        <f t="shared" ca="1" si="55"/>
        <v>-82502200.281291068</v>
      </c>
      <c r="AG750" s="131">
        <f t="shared" ca="1" si="56"/>
        <v>788143.79336879321</v>
      </c>
      <c r="AI750" s="131">
        <f t="shared" si="57"/>
        <v>-95518895.380523592</v>
      </c>
      <c r="AJ750" s="31">
        <f t="shared" si="58"/>
        <v>67828.095879120548</v>
      </c>
    </row>
    <row r="751" spans="15:36">
      <c r="O751" s="15">
        <v>748</v>
      </c>
      <c r="P751" s="33">
        <v>3111923.5732927364</v>
      </c>
      <c r="Q751" s="33">
        <v>89273207.539397568</v>
      </c>
      <c r="R751" s="146">
        <v>-86161283.966104835</v>
      </c>
      <c r="S751" s="31">
        <v>91488.532751783045</v>
      </c>
      <c r="T751" s="31">
        <v>7918.4459485967509</v>
      </c>
      <c r="U751" s="142">
        <v>83570.086803186292</v>
      </c>
      <c r="AE751" s="137">
        <f t="shared" si="59"/>
        <v>4.693539424463137</v>
      </c>
      <c r="AF751" s="131">
        <f t="shared" ca="1" si="55"/>
        <v>-82652137.063058525</v>
      </c>
      <c r="AG751" s="131">
        <f t="shared" ca="1" si="56"/>
        <v>638221.46505038545</v>
      </c>
      <c r="AI751" s="131">
        <f t="shared" si="57"/>
        <v>-86161283.966104835</v>
      </c>
      <c r="AJ751" s="31">
        <f t="shared" si="58"/>
        <v>83570.086803186292</v>
      </c>
    </row>
    <row r="752" spans="15:36">
      <c r="O752" s="15">
        <v>749</v>
      </c>
      <c r="P752" s="33">
        <v>3798120.6531023737</v>
      </c>
      <c r="Q752" s="33">
        <v>77382149.37555635</v>
      </c>
      <c r="R752" s="146">
        <v>-73584028.722453982</v>
      </c>
      <c r="S752" s="31">
        <v>99919.851310661266</v>
      </c>
      <c r="T752" s="31">
        <v>9792.1089078020341</v>
      </c>
      <c r="U752" s="142">
        <v>90127.742402859236</v>
      </c>
      <c r="AE752" s="137">
        <f t="shared" si="59"/>
        <v>4.6998226097703162</v>
      </c>
      <c r="AF752" s="131">
        <f t="shared" ca="1" si="55"/>
        <v>-82802091.586280182</v>
      </c>
      <c r="AG752" s="131">
        <f t="shared" ca="1" si="56"/>
        <v>488277.26612849254</v>
      </c>
      <c r="AI752" s="131">
        <f t="shared" si="57"/>
        <v>-73584028.722453982</v>
      </c>
      <c r="AJ752" s="31">
        <f t="shared" si="58"/>
        <v>90127.742402859236</v>
      </c>
    </row>
    <row r="753" spans="15:36">
      <c r="O753" s="15">
        <v>750</v>
      </c>
      <c r="P753" s="33">
        <v>3304048.0719573172</v>
      </c>
      <c r="Q753" s="33">
        <v>88570541.281968057</v>
      </c>
      <c r="R753" s="146">
        <v>-85266493.210010737</v>
      </c>
      <c r="S753" s="31">
        <v>52552.668311560352</v>
      </c>
      <c r="T753" s="31">
        <v>11144.866564154676</v>
      </c>
      <c r="U753" s="142">
        <v>41407.801747405676</v>
      </c>
      <c r="AE753" s="137">
        <f t="shared" si="59"/>
        <v>4.7061057950774954</v>
      </c>
      <c r="AF753" s="131">
        <f t="shared" ca="1" si="55"/>
        <v>-82952057.931008235</v>
      </c>
      <c r="AG753" s="131">
        <f t="shared" ca="1" si="56"/>
        <v>338317.11614334205</v>
      </c>
      <c r="AI753" s="131">
        <f t="shared" si="57"/>
        <v>-85266493.210010737</v>
      </c>
      <c r="AJ753" s="31">
        <f t="shared" si="58"/>
        <v>41407.801747405676</v>
      </c>
    </row>
    <row r="754" spans="15:36">
      <c r="O754" s="15">
        <v>751</v>
      </c>
      <c r="P754" s="33">
        <v>3505067.8980994332</v>
      </c>
      <c r="Q754" s="33">
        <v>87363508.027689099</v>
      </c>
      <c r="R754" s="146">
        <v>-83858440.129589662</v>
      </c>
      <c r="S754" s="31">
        <v>102884.59991384821</v>
      </c>
      <c r="T754" s="31">
        <v>9220.488656808946</v>
      </c>
      <c r="U754" s="142">
        <v>93664.111257039272</v>
      </c>
      <c r="AE754" s="137">
        <f t="shared" si="59"/>
        <v>4.7123889803846746</v>
      </c>
      <c r="AF754" s="131">
        <f t="shared" ca="1" si="55"/>
        <v>-83102030.176828161</v>
      </c>
      <c r="AG754" s="131">
        <f t="shared" ca="1" si="56"/>
        <v>188346.93526488269</v>
      </c>
      <c r="AI754" s="131">
        <f t="shared" si="57"/>
        <v>-83858440.129589662</v>
      </c>
      <c r="AJ754" s="31">
        <f t="shared" si="58"/>
        <v>93664.111257039272</v>
      </c>
    </row>
    <row r="755" spans="15:36">
      <c r="O755" s="15">
        <v>752</v>
      </c>
      <c r="P755" s="33">
        <v>2872814.6587431016</v>
      </c>
      <c r="Q755" s="33">
        <v>95944046.023057982</v>
      </c>
      <c r="R755" s="146">
        <v>-93071231.364314884</v>
      </c>
      <c r="S755" s="31">
        <v>80797.023259344103</v>
      </c>
      <c r="T755" s="31">
        <v>12709.136982268232</v>
      </c>
      <c r="U755" s="142">
        <v>68087.886277075871</v>
      </c>
      <c r="AE755" s="137">
        <f t="shared" si="59"/>
        <v>4.7186721656918538</v>
      </c>
      <c r="AF755" s="131">
        <f t="shared" ca="1" si="55"/>
        <v>-83252002.403092518</v>
      </c>
      <c r="AG755" s="131">
        <f t="shared" ca="1" si="56"/>
        <v>38372.64405906538</v>
      </c>
      <c r="AI755" s="131">
        <f t="shared" si="57"/>
        <v>-93071231.364314884</v>
      </c>
      <c r="AJ755" s="31">
        <f t="shared" si="58"/>
        <v>68087.886277075871</v>
      </c>
    </row>
    <row r="756" spans="15:36">
      <c r="O756" s="15">
        <v>753</v>
      </c>
      <c r="P756" s="33">
        <v>3349405.2640279592</v>
      </c>
      <c r="Q756" s="33">
        <v>81443336.490348101</v>
      </c>
      <c r="R756" s="146">
        <v>-78093931.226320148</v>
      </c>
      <c r="S756" s="31">
        <v>98250.100414454864</v>
      </c>
      <c r="T756" s="31">
        <v>10210.00363840347</v>
      </c>
      <c r="U756" s="142">
        <v>88040.096776051389</v>
      </c>
      <c r="AE756" s="137">
        <f t="shared" si="59"/>
        <v>4.724955350999033</v>
      </c>
      <c r="AF756" s="131">
        <f t="shared" ca="1" si="55"/>
        <v>-83401968.689154565</v>
      </c>
      <c r="AG756" s="131">
        <f t="shared" ca="1" si="56"/>
        <v>-111599.83674589015</v>
      </c>
      <c r="AI756" s="131">
        <f t="shared" si="57"/>
        <v>-78093931.226320148</v>
      </c>
      <c r="AJ756" s="31">
        <f t="shared" si="58"/>
        <v>88040.096776051389</v>
      </c>
    </row>
    <row r="757" spans="15:36">
      <c r="O757" s="15">
        <v>754</v>
      </c>
      <c r="P757" s="33">
        <v>3674094.3902316345</v>
      </c>
      <c r="Q757" s="33">
        <v>84867826.892857745</v>
      </c>
      <c r="R757" s="146">
        <v>-81193732.502626106</v>
      </c>
      <c r="S757" s="31">
        <v>110598.52256130546</v>
      </c>
      <c r="T757" s="31">
        <v>11495.551654015422</v>
      </c>
      <c r="U757" s="142">
        <v>99102.970907290044</v>
      </c>
      <c r="AE757" s="137">
        <f t="shared" si="59"/>
        <v>4.7312385363062122</v>
      </c>
      <c r="AF757" s="131">
        <f t="shared" ca="1" si="55"/>
        <v>-83551923.114602149</v>
      </c>
      <c r="AG757" s="131">
        <f t="shared" ca="1" si="56"/>
        <v>-261564.58649323575</v>
      </c>
      <c r="AI757" s="131">
        <f t="shared" si="57"/>
        <v>-81193732.502626106</v>
      </c>
      <c r="AJ757" s="31">
        <f t="shared" si="58"/>
        <v>99102.970907290044</v>
      </c>
    </row>
    <row r="758" spans="15:36">
      <c r="O758" s="15">
        <v>755</v>
      </c>
      <c r="P758" s="33">
        <v>3025547.7587347892</v>
      </c>
      <c r="Q758" s="33">
        <v>92970208.541992813</v>
      </c>
      <c r="R758" s="146">
        <v>-89944660.783258021</v>
      </c>
      <c r="S758" s="31">
        <v>124340.51684293074</v>
      </c>
      <c r="T758" s="31">
        <v>9173.5095855779145</v>
      </c>
      <c r="U758" s="142">
        <v>115167.00725735282</v>
      </c>
      <c r="AE758" s="137">
        <f t="shared" si="59"/>
        <v>4.7375217216133914</v>
      </c>
      <c r="AF758" s="131">
        <f t="shared" ca="1" si="55"/>
        <v>-83701859.759491295</v>
      </c>
      <c r="AG758" s="131">
        <f t="shared" ca="1" si="56"/>
        <v>-411515.68483143218</v>
      </c>
      <c r="AI758" s="131">
        <f t="shared" si="57"/>
        <v>-89944660.783258021</v>
      </c>
      <c r="AJ758" s="31">
        <f t="shared" si="58"/>
        <v>115167.00725735282</v>
      </c>
    </row>
    <row r="759" spans="15:36">
      <c r="O759" s="15">
        <v>756</v>
      </c>
      <c r="P759" s="33">
        <v>3475723.3838539948</v>
      </c>
      <c r="Q759" s="33">
        <v>75694689.193541452</v>
      </c>
      <c r="R759" s="146">
        <v>-72218965.809687451</v>
      </c>
      <c r="S759" s="31">
        <v>143270.62099427078</v>
      </c>
      <c r="T759" s="31">
        <v>13533.316185519714</v>
      </c>
      <c r="U759" s="142">
        <v>129737.30480875107</v>
      </c>
      <c r="AE759" s="137">
        <f t="shared" si="59"/>
        <v>4.7438049069205706</v>
      </c>
      <c r="AF759" s="131">
        <f t="shared" ca="1" si="55"/>
        <v>-83851772.704579994</v>
      </c>
      <c r="AG759" s="131">
        <f t="shared" ca="1" si="56"/>
        <v>-561447.21194787452</v>
      </c>
      <c r="AI759" s="131">
        <f t="shared" si="57"/>
        <v>-72218965.809687451</v>
      </c>
      <c r="AJ759" s="31">
        <f t="shared" si="58"/>
        <v>129737.30480875107</v>
      </c>
    </row>
    <row r="760" spans="15:36">
      <c r="O760" s="15">
        <v>757</v>
      </c>
      <c r="P760" s="33">
        <v>3343267.830083054</v>
      </c>
      <c r="Q760" s="33">
        <v>93527346.303494588</v>
      </c>
      <c r="R760" s="146">
        <v>-90184078.47341153</v>
      </c>
      <c r="S760" s="31">
        <v>46089.670053915746</v>
      </c>
      <c r="T760" s="31">
        <v>7231.7117879669522</v>
      </c>
      <c r="U760" s="142">
        <v>38857.958265948793</v>
      </c>
      <c r="AE760" s="137">
        <f t="shared" si="59"/>
        <v>4.7500880922277497</v>
      </c>
      <c r="AF760" s="131">
        <f t="shared" ca="1" si="55"/>
        <v>-84001656.031561881</v>
      </c>
      <c r="AG760" s="131">
        <f t="shared" ca="1" si="56"/>
        <v>-711353.248802596</v>
      </c>
      <c r="AI760" s="131">
        <f t="shared" si="57"/>
        <v>-90184078.47341153</v>
      </c>
      <c r="AJ760" s="31">
        <f t="shared" si="58"/>
        <v>38857.958265948793</v>
      </c>
    </row>
    <row r="761" spans="15:36">
      <c r="O761" s="15">
        <v>758</v>
      </c>
      <c r="P761" s="33">
        <v>3342937.1757242968</v>
      </c>
      <c r="Q761" s="33">
        <v>96980997.046406344</v>
      </c>
      <c r="R761" s="146">
        <v>-93638059.870682046</v>
      </c>
      <c r="S761" s="31">
        <v>156653.54106047409</v>
      </c>
      <c r="T761" s="31">
        <v>11526.668968125739</v>
      </c>
      <c r="U761" s="142">
        <v>145126.87209234835</v>
      </c>
      <c r="AE761" s="137">
        <f t="shared" si="59"/>
        <v>4.7563712775349289</v>
      </c>
      <c r="AF761" s="131">
        <f t="shared" ca="1" si="55"/>
        <v>-84151503.82329984</v>
      </c>
      <c r="AG761" s="131">
        <f t="shared" ca="1" si="56"/>
        <v>-861227.87736194197</v>
      </c>
      <c r="AI761" s="131">
        <f t="shared" si="57"/>
        <v>-93638059.870682046</v>
      </c>
      <c r="AJ761" s="31">
        <f t="shared" si="58"/>
        <v>145126.87209234835</v>
      </c>
    </row>
    <row r="762" spans="15:36">
      <c r="O762" s="15">
        <v>759</v>
      </c>
      <c r="P762" s="33">
        <v>3350804.1029555891</v>
      </c>
      <c r="Q762" s="33">
        <v>96782604.318581849</v>
      </c>
      <c r="R762" s="146">
        <v>-93431800.215626255</v>
      </c>
      <c r="S762" s="31">
        <v>78605.731321907529</v>
      </c>
      <c r="T762" s="31">
        <v>4874.8344353571511</v>
      </c>
      <c r="U762" s="142">
        <v>73730.896886550385</v>
      </c>
      <c r="AE762" s="137">
        <f t="shared" si="59"/>
        <v>4.7626544628421081</v>
      </c>
      <c r="AF762" s="131">
        <f t="shared" ca="1" si="55"/>
        <v>-84301310.164059639</v>
      </c>
      <c r="AG762" s="131">
        <f t="shared" ca="1" si="56"/>
        <v>-1011065.1808322031</v>
      </c>
      <c r="AI762" s="131">
        <f t="shared" si="57"/>
        <v>-93431800.215626255</v>
      </c>
      <c r="AJ762" s="31">
        <f t="shared" si="58"/>
        <v>73730.896886550385</v>
      </c>
    </row>
    <row r="763" spans="15:36">
      <c r="O763" s="15">
        <v>760</v>
      </c>
      <c r="P763" s="33">
        <v>3459931.5310950931</v>
      </c>
      <c r="Q763" s="33">
        <v>72280780.647199318</v>
      </c>
      <c r="R763" s="146">
        <v>-68820849.11610423</v>
      </c>
      <c r="S763" s="31">
        <v>95454.709804790735</v>
      </c>
      <c r="T763" s="31">
        <v>14754.75317494214</v>
      </c>
      <c r="U763" s="142">
        <v>80699.956629848602</v>
      </c>
      <c r="AE763" s="137">
        <f t="shared" si="59"/>
        <v>4.7689376481492873</v>
      </c>
      <c r="AF763" s="131">
        <f t="shared" ca="1" si="55"/>
        <v>-84451069.139743447</v>
      </c>
      <c r="AG763" s="131">
        <f t="shared" ca="1" si="56"/>
        <v>-1160859.2438932015</v>
      </c>
      <c r="AI763" s="131">
        <f t="shared" si="57"/>
        <v>-68820849.11610423</v>
      </c>
      <c r="AJ763" s="31">
        <f t="shared" si="58"/>
        <v>80699.956629848602</v>
      </c>
    </row>
    <row r="764" spans="15:36">
      <c r="O764" s="15">
        <v>761</v>
      </c>
      <c r="P764" s="33">
        <v>3498285.5231168116</v>
      </c>
      <c r="Q764" s="33">
        <v>90709087.346864596</v>
      </c>
      <c r="R764" s="146">
        <v>-87210801.823747784</v>
      </c>
      <c r="S764" s="31">
        <v>127976.49362548525</v>
      </c>
      <c r="T764" s="31">
        <v>10170.495294740238</v>
      </c>
      <c r="U764" s="142">
        <v>117805.99833074502</v>
      </c>
      <c r="AE764" s="137">
        <f t="shared" si="59"/>
        <v>4.7752208334564665</v>
      </c>
      <c r="AF764" s="131">
        <f t="shared" ca="1" si="55"/>
        <v>-84600774.838123336</v>
      </c>
      <c r="AG764" s="131">
        <f t="shared" ca="1" si="56"/>
        <v>-1310604.1529318152</v>
      </c>
      <c r="AI764" s="131">
        <f t="shared" si="57"/>
        <v>-87210801.823747784</v>
      </c>
      <c r="AJ764" s="31">
        <f t="shared" si="58"/>
        <v>117805.99833074502</v>
      </c>
    </row>
    <row r="765" spans="15:36">
      <c r="O765" s="15">
        <v>762</v>
      </c>
      <c r="P765" s="33">
        <v>2713415.7271488844</v>
      </c>
      <c r="Q765" s="33">
        <v>87566175.745831296</v>
      </c>
      <c r="R765" s="146">
        <v>-84852760.018682405</v>
      </c>
      <c r="S765" s="31">
        <v>88393.96898391108</v>
      </c>
      <c r="T765" s="31">
        <v>5258.9694936400247</v>
      </c>
      <c r="U765" s="142">
        <v>83134.99949027106</v>
      </c>
      <c r="AE765" s="137">
        <f t="shared" si="59"/>
        <v>4.7815040187636457</v>
      </c>
      <c r="AF765" s="131">
        <f t="shared" ca="1" si="55"/>
        <v>-84750421.349074662</v>
      </c>
      <c r="AG765" s="131">
        <f t="shared" ca="1" si="56"/>
        <v>-1460293.9962754403</v>
      </c>
      <c r="AI765" s="131">
        <f t="shared" si="57"/>
        <v>-84852760.018682405</v>
      </c>
      <c r="AJ765" s="31">
        <f t="shared" si="58"/>
        <v>83134.99949027106</v>
      </c>
    </row>
    <row r="766" spans="15:36">
      <c r="O766" s="15">
        <v>763</v>
      </c>
      <c r="P766" s="33">
        <v>3234425.4912761762</v>
      </c>
      <c r="Q766" s="33">
        <v>91527728.577957422</v>
      </c>
      <c r="R766" s="146">
        <v>-88293303.086681247</v>
      </c>
      <c r="S766" s="31">
        <v>62670.860962503131</v>
      </c>
      <c r="T766" s="31">
        <v>12862.222481240557</v>
      </c>
      <c r="U766" s="142">
        <v>49808.638481262577</v>
      </c>
      <c r="AE766" s="137">
        <f t="shared" si="59"/>
        <v>4.7877872040708249</v>
      </c>
      <c r="AF766" s="131">
        <f t="shared" ca="1" si="55"/>
        <v>-84900002.76480943</v>
      </c>
      <c r="AG766" s="131">
        <f t="shared" ca="1" si="56"/>
        <v>-1609922.8644253721</v>
      </c>
      <c r="AI766" s="131">
        <f t="shared" si="57"/>
        <v>-88293303.086681247</v>
      </c>
      <c r="AJ766" s="31">
        <f t="shared" si="58"/>
        <v>49808.638481262577</v>
      </c>
    </row>
    <row r="767" spans="15:36">
      <c r="O767" s="15">
        <v>764</v>
      </c>
      <c r="P767" s="33">
        <v>3352263.6768953605</v>
      </c>
      <c r="Q767" s="33">
        <v>78810089.01374799</v>
      </c>
      <c r="R767" s="146">
        <v>-75457825.336852625</v>
      </c>
      <c r="S767" s="31">
        <v>50154.607653944244</v>
      </c>
      <c r="T767" s="31">
        <v>6098.8927426185419</v>
      </c>
      <c r="U767" s="142">
        <v>44055.714911325704</v>
      </c>
      <c r="AE767" s="137">
        <f t="shared" si="59"/>
        <v>4.7940703893780041</v>
      </c>
      <c r="AF767" s="131">
        <f t="shared" ca="1" si="55"/>
        <v>-85049513.180109441</v>
      </c>
      <c r="AG767" s="131">
        <f t="shared" ca="1" si="56"/>
        <v>-1759484.8502901006</v>
      </c>
      <c r="AI767" s="131">
        <f t="shared" si="57"/>
        <v>-75457825.336852625</v>
      </c>
      <c r="AJ767" s="31">
        <f t="shared" si="58"/>
        <v>44055.714911325704</v>
      </c>
    </row>
    <row r="768" spans="15:36">
      <c r="O768" s="15">
        <v>765</v>
      </c>
      <c r="P768" s="33">
        <v>3879127.9772323137</v>
      </c>
      <c r="Q768" s="33">
        <v>87327349.676926821</v>
      </c>
      <c r="R768" s="146">
        <v>-83448221.699694514</v>
      </c>
      <c r="S768" s="31">
        <v>102542.8014352286</v>
      </c>
      <c r="T768" s="31">
        <v>8707.9301198457324</v>
      </c>
      <c r="U768" s="142">
        <v>93834.871315382858</v>
      </c>
      <c r="AE768" s="137">
        <f t="shared" si="59"/>
        <v>4.8003535746851833</v>
      </c>
      <c r="AF768" s="131">
        <f t="shared" ca="1" si="55"/>
        <v>-85198946.69255954</v>
      </c>
      <c r="AG768" s="131">
        <f t="shared" ca="1" si="56"/>
        <v>-1908974.0494185158</v>
      </c>
      <c r="AI768" s="131">
        <f t="shared" si="57"/>
        <v>-83448221.699694514</v>
      </c>
      <c r="AJ768" s="31">
        <f t="shared" si="58"/>
        <v>93834.871315382858</v>
      </c>
    </row>
    <row r="769" spans="15:36">
      <c r="O769" s="15">
        <v>766</v>
      </c>
      <c r="P769" s="33">
        <v>3248409.9466293622</v>
      </c>
      <c r="Q769" s="33">
        <v>80045529.640503064</v>
      </c>
      <c r="R769" s="146">
        <v>-76797119.693873703</v>
      </c>
      <c r="S769" s="31">
        <v>60466.702595898969</v>
      </c>
      <c r="T769" s="31">
        <v>18982.134869606562</v>
      </c>
      <c r="U769" s="142">
        <v>41484.567726292407</v>
      </c>
      <c r="AE769" s="137">
        <f t="shared" si="59"/>
        <v>4.8066367599923625</v>
      </c>
      <c r="AF769" s="131">
        <f t="shared" ca="1" si="55"/>
        <v>-85348297.402780488</v>
      </c>
      <c r="AG769" s="131">
        <f t="shared" ca="1" si="56"/>
        <v>-2058384.5602330025</v>
      </c>
      <c r="AI769" s="131">
        <f t="shared" si="57"/>
        <v>-76797119.693873703</v>
      </c>
      <c r="AJ769" s="31">
        <f t="shared" si="58"/>
        <v>41484.567726292407</v>
      </c>
    </row>
    <row r="770" spans="15:36">
      <c r="O770" s="15">
        <v>767</v>
      </c>
      <c r="P770" s="33">
        <v>3295381.074590663</v>
      </c>
      <c r="Q770" s="33">
        <v>79775411.456134096</v>
      </c>
      <c r="R770" s="146">
        <v>-76480030.381543428</v>
      </c>
      <c r="S770" s="31">
        <v>41108.812653130357</v>
      </c>
      <c r="T770" s="31">
        <v>7029.2372469660304</v>
      </c>
      <c r="U770" s="142">
        <v>34079.575406164324</v>
      </c>
      <c r="AE770" s="137">
        <f t="shared" si="59"/>
        <v>4.8129199452995417</v>
      </c>
      <c r="AF770" s="131">
        <f t="shared" ca="1" si="55"/>
        <v>-85497559.414662004</v>
      </c>
      <c r="AG770" s="131">
        <f t="shared" ca="1" si="56"/>
        <v>-2207710.4842624245</v>
      </c>
      <c r="AI770" s="131">
        <f t="shared" si="57"/>
        <v>-76480030.381543428</v>
      </c>
      <c r="AJ770" s="31">
        <f t="shared" si="58"/>
        <v>34079.575406164324</v>
      </c>
    </row>
    <row r="771" spans="15:36">
      <c r="O771" s="15">
        <v>768</v>
      </c>
      <c r="P771" s="33">
        <v>3441806.9966799435</v>
      </c>
      <c r="Q771" s="33">
        <v>69078560.111490801</v>
      </c>
      <c r="R771" s="146">
        <v>-65636753.114810854</v>
      </c>
      <c r="S771" s="31">
        <v>125969.4593970417</v>
      </c>
      <c r="T771" s="31">
        <v>12680.61607792728</v>
      </c>
      <c r="U771" s="142">
        <v>113288.84331911443</v>
      </c>
      <c r="AE771" s="137">
        <f t="shared" si="59"/>
        <v>4.8192031306067209</v>
      </c>
      <c r="AF771" s="131">
        <f t="shared" ca="1" si="55"/>
        <v>-85646726.835595414</v>
      </c>
      <c r="AG771" s="131">
        <f t="shared" ca="1" si="56"/>
        <v>-2356945.92637499</v>
      </c>
      <c r="AI771" s="131">
        <f t="shared" si="57"/>
        <v>-65636753.114810854</v>
      </c>
      <c r="AJ771" s="31">
        <f t="shared" si="58"/>
        <v>113288.84331911443</v>
      </c>
    </row>
    <row r="772" spans="15:36">
      <c r="O772" s="15">
        <v>769</v>
      </c>
      <c r="P772" s="33">
        <v>2982985.1897270479</v>
      </c>
      <c r="Q772" s="33">
        <v>94010970.993039846</v>
      </c>
      <c r="R772" s="146">
        <v>-91027985.803312793</v>
      </c>
      <c r="S772" s="31">
        <v>75018.732921612769</v>
      </c>
      <c r="T772" s="31">
        <v>6910.3893140582704</v>
      </c>
      <c r="U772" s="142">
        <v>68108.343607554503</v>
      </c>
      <c r="AE772" s="137">
        <f t="shared" si="59"/>
        <v>4.8254863159139001</v>
      </c>
      <c r="AF772" s="131">
        <f t="shared" ca="1" si="55"/>
        <v>-85795793.776706368</v>
      </c>
      <c r="AG772" s="131">
        <f t="shared" ca="1" si="56"/>
        <v>-2506084.9950109748</v>
      </c>
      <c r="AI772" s="131">
        <f t="shared" si="57"/>
        <v>-91027985.803312793</v>
      </c>
      <c r="AJ772" s="31">
        <f t="shared" si="58"/>
        <v>68108.343607554503</v>
      </c>
    </row>
    <row r="773" spans="15:36">
      <c r="O773" s="15">
        <v>770</v>
      </c>
      <c r="P773" s="33">
        <v>2884955.308147335</v>
      </c>
      <c r="Q773" s="33">
        <v>90544467.672934175</v>
      </c>
      <c r="R773" s="146">
        <v>-87659512.364786834</v>
      </c>
      <c r="S773" s="31">
        <v>107747.8393103955</v>
      </c>
      <c r="T773" s="31">
        <v>7078.4956038867167</v>
      </c>
      <c r="U773" s="142">
        <v>100669.34370650878</v>
      </c>
      <c r="AE773" s="137">
        <f t="shared" si="59"/>
        <v>4.8317695012210793</v>
      </c>
      <c r="AF773" s="131">
        <f t="shared" ref="AF773:AF836" ca="1" si="60">(AB$25*AC$19*COS(AE773)+AC$25*AC$20*SIN(AE773))+X$9</f>
        <v>-85944754.353087276</v>
      </c>
      <c r="AG773" s="131">
        <f t="shared" ref="AG773:AG836" ca="1" si="61">(AC$26*AC$19*COS(AE773)+AC$26*AC$20*SIN(AE773))+Y$9</f>
        <v>-2655121.8024153169</v>
      </c>
      <c r="AI773" s="131">
        <f t="shared" ref="AI773:AI836" si="62">R773</f>
        <v>-87659512.364786834</v>
      </c>
      <c r="AJ773" s="31">
        <f t="shared" ref="AJ773:AJ836" si="63">U773</f>
        <v>100669.34370650878</v>
      </c>
    </row>
    <row r="774" spans="15:36">
      <c r="O774" s="15">
        <v>771</v>
      </c>
      <c r="P774" s="33">
        <v>3743757.5176157141</v>
      </c>
      <c r="Q774" s="33">
        <v>85260327.45374918</v>
      </c>
      <c r="R774" s="146">
        <v>-81516569.936133459</v>
      </c>
      <c r="S774" s="31">
        <v>87814.427955558174</v>
      </c>
      <c r="T774" s="31">
        <v>20065.559261047056</v>
      </c>
      <c r="U774" s="142">
        <v>67748.868694511126</v>
      </c>
      <c r="AE774" s="137">
        <f t="shared" si="59"/>
        <v>4.8380526865282585</v>
      </c>
      <c r="AF774" s="131">
        <f t="shared" ca="1" si="60"/>
        <v>-86093602.684029654</v>
      </c>
      <c r="AG774" s="131">
        <f t="shared" ca="1" si="61"/>
        <v>-2804050.4648700519</v>
      </c>
      <c r="AI774" s="131">
        <f t="shared" si="62"/>
        <v>-81516569.936133459</v>
      </c>
      <c r="AJ774" s="31">
        <f t="shared" si="63"/>
        <v>67748.868694511126</v>
      </c>
    </row>
    <row r="775" spans="15:36">
      <c r="O775" s="15">
        <v>772</v>
      </c>
      <c r="P775" s="33">
        <v>4084769.1083326349</v>
      </c>
      <c r="Q775" s="33">
        <v>77011520.80565539</v>
      </c>
      <c r="R775" s="146">
        <v>-72926751.697322756</v>
      </c>
      <c r="S775" s="31">
        <v>101786.0570284709</v>
      </c>
      <c r="T775" s="31">
        <v>9842.1464639684164</v>
      </c>
      <c r="U775" s="142">
        <v>91943.910564502483</v>
      </c>
      <c r="AE775" s="137">
        <f t="shared" ref="AE775:AE838" si="64">AE774+AE$5</f>
        <v>4.8443358718354377</v>
      </c>
      <c r="AF775" s="131">
        <f t="shared" ca="1" si="60"/>
        <v>-86242332.893256232</v>
      </c>
      <c r="AG775" s="131">
        <f t="shared" ca="1" si="61"/>
        <v>-2952865.1029265923</v>
      </c>
      <c r="AI775" s="131">
        <f t="shared" si="62"/>
        <v>-72926751.697322756</v>
      </c>
      <c r="AJ775" s="31">
        <f t="shared" si="63"/>
        <v>91943.910564502483</v>
      </c>
    </row>
    <row r="776" spans="15:36">
      <c r="O776" s="15">
        <v>773</v>
      </c>
      <c r="P776" s="33">
        <v>3455476.3416156638</v>
      </c>
      <c r="Q776" s="33">
        <v>88839732.460587487</v>
      </c>
      <c r="R776" s="146">
        <v>-85384256.118971825</v>
      </c>
      <c r="S776" s="31">
        <v>81963.676568155061</v>
      </c>
      <c r="T776" s="31">
        <v>11222.230368045708</v>
      </c>
      <c r="U776" s="142">
        <v>70741.446200109349</v>
      </c>
      <c r="AE776" s="137">
        <f t="shared" si="64"/>
        <v>4.8506190571426169</v>
      </c>
      <c r="AF776" s="131">
        <f t="shared" ca="1" si="60"/>
        <v>-86390939.109153047</v>
      </c>
      <c r="AG776" s="131">
        <f t="shared" ca="1" si="61"/>
        <v>-3101559.8416378396</v>
      </c>
      <c r="AI776" s="131">
        <f t="shared" si="62"/>
        <v>-85384256.118971825</v>
      </c>
      <c r="AJ776" s="31">
        <f t="shared" si="63"/>
        <v>70741.446200109349</v>
      </c>
    </row>
    <row r="777" spans="15:36">
      <c r="O777" s="15">
        <v>774</v>
      </c>
      <c r="P777" s="33">
        <v>3459275.6396173872</v>
      </c>
      <c r="Q777" s="33">
        <v>77388760.521151632</v>
      </c>
      <c r="R777" s="146">
        <v>-73929484.881534249</v>
      </c>
      <c r="S777" s="31">
        <v>46082.109702294525</v>
      </c>
      <c r="T777" s="31">
        <v>10968.082692619788</v>
      </c>
      <c r="U777" s="142">
        <v>35114.027009674741</v>
      </c>
      <c r="AE777" s="137">
        <f t="shared" si="64"/>
        <v>4.8569022424497961</v>
      </c>
      <c r="AF777" s="131">
        <f t="shared" ca="1" si="60"/>
        <v>-86539415.465001121</v>
      </c>
      <c r="AG777" s="131">
        <f t="shared" ca="1" si="61"/>
        <v>-3250128.8107901146</v>
      </c>
      <c r="AI777" s="131">
        <f t="shared" si="62"/>
        <v>-73929484.881534249</v>
      </c>
      <c r="AJ777" s="31">
        <f t="shared" si="63"/>
        <v>35114.027009674741</v>
      </c>
    </row>
    <row r="778" spans="15:36">
      <c r="O778" s="15">
        <v>775</v>
      </c>
      <c r="P778" s="33">
        <v>3675494.5353669343</v>
      </c>
      <c r="Q778" s="33">
        <v>100955261.23034193</v>
      </c>
      <c r="R778" s="146">
        <v>-97279766.694974989</v>
      </c>
      <c r="S778" s="31">
        <v>108495.2149100333</v>
      </c>
      <c r="T778" s="31">
        <v>9379.4242045843366</v>
      </c>
      <c r="U778" s="142">
        <v>99115.790705448962</v>
      </c>
      <c r="AE778" s="137">
        <f t="shared" si="64"/>
        <v>4.8631854277569753</v>
      </c>
      <c r="AF778" s="131">
        <f t="shared" ca="1" si="60"/>
        <v>-86687756.099208191</v>
      </c>
      <c r="AG778" s="131">
        <f t="shared" ca="1" si="61"/>
        <v>-3398566.1451349077</v>
      </c>
      <c r="AI778" s="131">
        <f t="shared" si="62"/>
        <v>-97279766.694974989</v>
      </c>
      <c r="AJ778" s="31">
        <f t="shared" si="63"/>
        <v>99115.790705448962</v>
      </c>
    </row>
    <row r="779" spans="15:36">
      <c r="O779" s="15">
        <v>776</v>
      </c>
      <c r="P779" s="33">
        <v>3780187.1251084297</v>
      </c>
      <c r="Q779" s="33">
        <v>91528966.787756115</v>
      </c>
      <c r="R779" s="146">
        <v>-87748779.662647679</v>
      </c>
      <c r="S779" s="31">
        <v>130076.91732430502</v>
      </c>
      <c r="T779" s="31">
        <v>12983.157170285438</v>
      </c>
      <c r="U779" s="142">
        <v>117093.76015401958</v>
      </c>
      <c r="AE779" s="137">
        <f t="shared" si="64"/>
        <v>4.8694686130641545</v>
      </c>
      <c r="AF779" s="131">
        <f t="shared" ca="1" si="60"/>
        <v>-86835955.155540004</v>
      </c>
      <c r="AG779" s="131">
        <f t="shared" ca="1" si="61"/>
        <v>-3546865.9846204231</v>
      </c>
      <c r="AI779" s="131">
        <f t="shared" si="62"/>
        <v>-87748779.662647679</v>
      </c>
      <c r="AJ779" s="31">
        <f t="shared" si="63"/>
        <v>117093.76015401958</v>
      </c>
    </row>
    <row r="780" spans="15:36">
      <c r="O780" s="15">
        <v>777</v>
      </c>
      <c r="P780" s="33">
        <v>3232275.060413966</v>
      </c>
      <c r="Q780" s="33">
        <v>65007109.965748787</v>
      </c>
      <c r="R780" s="146">
        <v>-61774834.905334823</v>
      </c>
      <c r="S780" s="31">
        <v>109581.02758517754</v>
      </c>
      <c r="T780" s="31">
        <v>9044.0234833311133</v>
      </c>
      <c r="U780" s="142">
        <v>100537.00410184643</v>
      </c>
      <c r="AE780" s="137">
        <f t="shared" si="64"/>
        <v>4.8757517983713337</v>
      </c>
      <c r="AF780" s="131">
        <f t="shared" ca="1" si="60"/>
        <v>-86984006.78335157</v>
      </c>
      <c r="AG780" s="131">
        <f t="shared" ca="1" si="61"/>
        <v>-3695022.4746229285</v>
      </c>
      <c r="AI780" s="131">
        <f t="shared" si="62"/>
        <v>-61774834.905334823</v>
      </c>
      <c r="AJ780" s="31">
        <f t="shared" si="63"/>
        <v>100537.00410184643</v>
      </c>
    </row>
    <row r="781" spans="15:36">
      <c r="O781" s="15">
        <v>778</v>
      </c>
      <c r="P781" s="33">
        <v>3283934.922265789</v>
      </c>
      <c r="Q781" s="33">
        <v>101294080.38184902</v>
      </c>
      <c r="R781" s="146">
        <v>-98010145.459583238</v>
      </c>
      <c r="S781" s="31">
        <v>111894.2757850359</v>
      </c>
      <c r="T781" s="31">
        <v>19566.847114846107</v>
      </c>
      <c r="U781" s="142">
        <v>92327.428670189795</v>
      </c>
      <c r="AE781" s="137">
        <f t="shared" si="64"/>
        <v>4.8820349836785129</v>
      </c>
      <c r="AF781" s="131">
        <f t="shared" ca="1" si="60"/>
        <v>-87131905.137818128</v>
      </c>
      <c r="AG781" s="131">
        <f t="shared" ca="1" si="61"/>
        <v>-3843029.7661778824</v>
      </c>
      <c r="AI781" s="131">
        <f t="shared" si="62"/>
        <v>-98010145.459583238</v>
      </c>
      <c r="AJ781" s="31">
        <f t="shared" si="63"/>
        <v>92327.428670189795</v>
      </c>
    </row>
    <row r="782" spans="15:36">
      <c r="O782" s="15">
        <v>779</v>
      </c>
      <c r="P782" s="33">
        <v>3761323.0757269771</v>
      </c>
      <c r="Q782" s="33">
        <v>98197375.707804844</v>
      </c>
      <c r="R782" s="146">
        <v>-94436052.632077873</v>
      </c>
      <c r="S782" s="31">
        <v>64224.496215455758</v>
      </c>
      <c r="T782" s="31">
        <v>10704.690062590091</v>
      </c>
      <c r="U782" s="142">
        <v>53519.806152865669</v>
      </c>
      <c r="AE782" s="137">
        <f t="shared" si="64"/>
        <v>4.888318168985692</v>
      </c>
      <c r="AF782" s="131">
        <f t="shared" ca="1" si="60"/>
        <v>-87279644.38016589</v>
      </c>
      <c r="AG782" s="131">
        <f t="shared" ca="1" si="61"/>
        <v>-3990882.0162108452</v>
      </c>
      <c r="AI782" s="131">
        <f t="shared" si="62"/>
        <v>-94436052.632077873</v>
      </c>
      <c r="AJ782" s="31">
        <f t="shared" si="63"/>
        <v>53519.806152865669</v>
      </c>
    </row>
    <row r="783" spans="15:36">
      <c r="O783" s="15">
        <v>780</v>
      </c>
      <c r="P783" s="33">
        <v>3785416.3690687208</v>
      </c>
      <c r="Q783" s="33">
        <v>89950965.62290822</v>
      </c>
      <c r="R783" s="146">
        <v>-86165549.253839493</v>
      </c>
      <c r="S783" s="31">
        <v>40466.227697194437</v>
      </c>
      <c r="T783" s="31">
        <v>10965.813873994386</v>
      </c>
      <c r="U783" s="142">
        <v>29500.413823200051</v>
      </c>
      <c r="AE783" s="137">
        <f t="shared" si="64"/>
        <v>4.8946013542928712</v>
      </c>
      <c r="AF783" s="131">
        <f t="shared" ca="1" si="60"/>
        <v>-87427218.677902535</v>
      </c>
      <c r="AG783" s="131">
        <f t="shared" ca="1" si="61"/>
        <v>-4138573.3877681461</v>
      </c>
      <c r="AI783" s="131">
        <f t="shared" si="62"/>
        <v>-86165549.253839493</v>
      </c>
      <c r="AJ783" s="31">
        <f t="shared" si="63"/>
        <v>29500.413823200051</v>
      </c>
    </row>
    <row r="784" spans="15:36">
      <c r="O784" s="15">
        <v>781</v>
      </c>
      <c r="P784" s="33">
        <v>3423178.7580759376</v>
      </c>
      <c r="Q784" s="33">
        <v>93447525.544611454</v>
      </c>
      <c r="R784" s="146">
        <v>-90024346.786535516</v>
      </c>
      <c r="S784" s="31">
        <v>79318.617264333239</v>
      </c>
      <c r="T784" s="31">
        <v>11255.390039153692</v>
      </c>
      <c r="U784" s="142">
        <v>68063.227225179551</v>
      </c>
      <c r="AE784" s="137">
        <f t="shared" si="64"/>
        <v>4.9008845396000504</v>
      </c>
      <c r="AF784" s="131">
        <f t="shared" ca="1" si="60"/>
        <v>-87574622.205047488</v>
      </c>
      <c r="AG784" s="131">
        <f t="shared" ca="1" si="61"/>
        <v>-4286098.0502473274</v>
      </c>
      <c r="AI784" s="131">
        <f t="shared" si="62"/>
        <v>-90024346.786535516</v>
      </c>
      <c r="AJ784" s="31">
        <f t="shared" si="63"/>
        <v>68063.227225179551</v>
      </c>
    </row>
    <row r="785" spans="15:36">
      <c r="O785" s="15">
        <v>782</v>
      </c>
      <c r="P785" s="33">
        <v>3193379.8192918813</v>
      </c>
      <c r="Q785" s="33">
        <v>78865613.081664771</v>
      </c>
      <c r="R785" s="146">
        <v>-75672233.262372896</v>
      </c>
      <c r="S785" s="31">
        <v>71122.486496672325</v>
      </c>
      <c r="T785" s="31">
        <v>8474.6788378698548</v>
      </c>
      <c r="U785" s="142">
        <v>62647.807658802471</v>
      </c>
      <c r="AE785" s="137">
        <f t="shared" si="64"/>
        <v>4.9071677249072296</v>
      </c>
      <c r="AF785" s="131">
        <f t="shared" ca="1" si="60"/>
        <v>-87721849.142361864</v>
      </c>
      <c r="AG785" s="131">
        <f t="shared" ca="1" si="61"/>
        <v>-4433450.1796273151</v>
      </c>
      <c r="AI785" s="131">
        <f t="shared" si="62"/>
        <v>-75672233.262372896</v>
      </c>
      <c r="AJ785" s="31">
        <f t="shared" si="63"/>
        <v>62647.807658802471</v>
      </c>
    </row>
    <row r="786" spans="15:36">
      <c r="O786" s="15">
        <v>783</v>
      </c>
      <c r="P786" s="33">
        <v>3047507.2294832566</v>
      </c>
      <c r="Q786" s="33">
        <v>75489149.4688932</v>
      </c>
      <c r="R786" s="146">
        <v>-72441642.239409938</v>
      </c>
      <c r="S786" s="31">
        <v>168518.49435307676</v>
      </c>
      <c r="T786" s="31">
        <v>13529.930880183618</v>
      </c>
      <c r="U786" s="142">
        <v>154988.56347289315</v>
      </c>
      <c r="AE786" s="137">
        <f t="shared" si="64"/>
        <v>4.9134509102144088</v>
      </c>
      <c r="AF786" s="131">
        <f t="shared" ca="1" si="60"/>
        <v>-87868893.6775783</v>
      </c>
      <c r="AG786" s="131">
        <f t="shared" ca="1" si="61"/>
        <v>-4580623.9586983491</v>
      </c>
      <c r="AI786" s="131">
        <f t="shared" si="62"/>
        <v>-72441642.239409938</v>
      </c>
      <c r="AJ786" s="31">
        <f t="shared" si="63"/>
        <v>154988.56347289315</v>
      </c>
    </row>
    <row r="787" spans="15:36">
      <c r="O787" s="15">
        <v>784</v>
      </c>
      <c r="P787" s="33">
        <v>3520048.7984871566</v>
      </c>
      <c r="Q787" s="33">
        <v>76306924.120956033</v>
      </c>
      <c r="R787" s="146">
        <v>-72786875.322468877</v>
      </c>
      <c r="S787" s="31">
        <v>76987.518419375177</v>
      </c>
      <c r="T787" s="31">
        <v>10273.302345939883</v>
      </c>
      <c r="U787" s="142">
        <v>66714.216073435295</v>
      </c>
      <c r="AE787" s="137">
        <f t="shared" si="64"/>
        <v>4.919734095521588</v>
      </c>
      <c r="AF787" s="131">
        <f t="shared" ca="1" si="60"/>
        <v>-88015750.005630329</v>
      </c>
      <c r="AG787" s="131">
        <f t="shared" ca="1" si="61"/>
        <v>-4727613.577291633</v>
      </c>
      <c r="AI787" s="131">
        <f t="shared" si="62"/>
        <v>-72786875.322468877</v>
      </c>
      <c r="AJ787" s="31">
        <f t="shared" si="63"/>
        <v>66714.216073435295</v>
      </c>
    </row>
    <row r="788" spans="15:36">
      <c r="O788" s="15">
        <v>785</v>
      </c>
      <c r="P788" s="33">
        <v>2864228.4645321742</v>
      </c>
      <c r="Q788" s="33">
        <v>87954696.570068687</v>
      </c>
      <c r="R788" s="146">
        <v>-85090468.10553652</v>
      </c>
      <c r="S788" s="31">
        <v>77173.838557499606</v>
      </c>
      <c r="T788" s="31">
        <v>21140.732746844689</v>
      </c>
      <c r="U788" s="142">
        <v>56033.105810654917</v>
      </c>
      <c r="AE788" s="137">
        <f t="shared" si="64"/>
        <v>4.9260172808287672</v>
      </c>
      <c r="AF788" s="131">
        <f t="shared" ca="1" si="60"/>
        <v>-88162412.328881547</v>
      </c>
      <c r="AG788" s="131">
        <f t="shared" ca="1" si="61"/>
        <v>-4874413.2325087115</v>
      </c>
      <c r="AI788" s="131">
        <f t="shared" si="62"/>
        <v>-85090468.10553652</v>
      </c>
      <c r="AJ788" s="31">
        <f t="shared" si="63"/>
        <v>56033.105810654917</v>
      </c>
    </row>
    <row r="789" spans="15:36">
      <c r="O789" s="15">
        <v>786</v>
      </c>
      <c r="P789" s="33">
        <v>3476824.0617594006</v>
      </c>
      <c r="Q789" s="33">
        <v>91202585.289998785</v>
      </c>
      <c r="R789" s="146">
        <v>-87725761.228239387</v>
      </c>
      <c r="S789" s="31">
        <v>32320.181382854429</v>
      </c>
      <c r="T789" s="31">
        <v>6432.9236735833874</v>
      </c>
      <c r="U789" s="142">
        <v>25887.257709271042</v>
      </c>
      <c r="AE789" s="137">
        <f t="shared" si="64"/>
        <v>4.9323004661359464</v>
      </c>
      <c r="AF789" s="131">
        <f t="shared" ca="1" si="60"/>
        <v>-88308874.857354581</v>
      </c>
      <c r="AG789" s="131">
        <f t="shared" ca="1" si="61"/>
        <v>-5021017.1289505586</v>
      </c>
      <c r="AI789" s="131">
        <f t="shared" si="62"/>
        <v>-87725761.228239387</v>
      </c>
      <c r="AJ789" s="31">
        <f t="shared" si="63"/>
        <v>25887.257709271042</v>
      </c>
    </row>
    <row r="790" spans="15:36">
      <c r="O790" s="15">
        <v>787</v>
      </c>
      <c r="P790" s="33">
        <v>2878674.6793160848</v>
      </c>
      <c r="Q790" s="33">
        <v>102356818.11871022</v>
      </c>
      <c r="R790" s="146">
        <v>-99478143.439394131</v>
      </c>
      <c r="S790" s="31">
        <v>104508.36548478401</v>
      </c>
      <c r="T790" s="31">
        <v>10863.378698436778</v>
      </c>
      <c r="U790" s="142">
        <v>93644.986786347232</v>
      </c>
      <c r="AE790" s="137">
        <f t="shared" si="64"/>
        <v>4.9385836514431256</v>
      </c>
      <c r="AF790" s="131">
        <f t="shared" ca="1" si="60"/>
        <v>-88455131.808959574</v>
      </c>
      <c r="AG790" s="131">
        <f t="shared" ca="1" si="61"/>
        <v>-5167419.4789463691</v>
      </c>
      <c r="AI790" s="131">
        <f t="shared" si="62"/>
        <v>-99478143.439394131</v>
      </c>
      <c r="AJ790" s="31">
        <f t="shared" si="63"/>
        <v>93644.986786347232</v>
      </c>
    </row>
    <row r="791" spans="15:36">
      <c r="O791" s="15">
        <v>788</v>
      </c>
      <c r="P791" s="33">
        <v>2952166.5575582297</v>
      </c>
      <c r="Q791" s="33">
        <v>83967476.004188091</v>
      </c>
      <c r="R791" s="146">
        <v>-81015309.446629867</v>
      </c>
      <c r="S791" s="31">
        <v>43314.463214044103</v>
      </c>
      <c r="T791" s="31">
        <v>16022.219241788145</v>
      </c>
      <c r="U791" s="142">
        <v>27292.243972255957</v>
      </c>
      <c r="AE791" s="137">
        <f t="shared" si="64"/>
        <v>4.9448668367503048</v>
      </c>
      <c r="AF791" s="131">
        <f t="shared" ca="1" si="60"/>
        <v>-88601177.409722537</v>
      </c>
      <c r="AG791" s="131">
        <f t="shared" ca="1" si="61"/>
        <v>-5313614.5027820459</v>
      </c>
      <c r="AI791" s="131">
        <f t="shared" si="62"/>
        <v>-81015309.446629867</v>
      </c>
      <c r="AJ791" s="31">
        <f t="shared" si="63"/>
        <v>27292.243972255957</v>
      </c>
    </row>
    <row r="792" spans="15:36">
      <c r="O792" s="15">
        <v>789</v>
      </c>
      <c r="P792" s="33">
        <v>3204496.0366679225</v>
      </c>
      <c r="Q792" s="33">
        <v>90638781.181698158</v>
      </c>
      <c r="R792" s="146">
        <v>-87434285.14503023</v>
      </c>
      <c r="S792" s="31">
        <v>97805.314011244642</v>
      </c>
      <c r="T792" s="31">
        <v>10618.60178399779</v>
      </c>
      <c r="U792" s="142">
        <v>87186.712227246855</v>
      </c>
      <c r="AE792" s="137">
        <f t="shared" si="64"/>
        <v>4.951150022057484</v>
      </c>
      <c r="AF792" s="131">
        <f t="shared" ca="1" si="60"/>
        <v>-88747005.894013196</v>
      </c>
      <c r="AG792" s="131">
        <f t="shared" ca="1" si="61"/>
        <v>-5459596.4289283715</v>
      </c>
      <c r="AI792" s="131">
        <f t="shared" si="62"/>
        <v>-87434285.14503023</v>
      </c>
      <c r="AJ792" s="31">
        <f t="shared" si="63"/>
        <v>87186.712227246855</v>
      </c>
    </row>
    <row r="793" spans="15:36">
      <c r="O793" s="15">
        <v>790</v>
      </c>
      <c r="P793" s="33">
        <v>3409672.6381529472</v>
      </c>
      <c r="Q793" s="33">
        <v>78510092.887978673</v>
      </c>
      <c r="R793" s="146">
        <v>-75100420.249825731</v>
      </c>
      <c r="S793" s="31">
        <v>128308.87269517253</v>
      </c>
      <c r="T793" s="31">
        <v>9084.6255032303452</v>
      </c>
      <c r="U793" s="142">
        <v>119224.24719194218</v>
      </c>
      <c r="AE793" s="137">
        <f t="shared" si="64"/>
        <v>4.9574332073646632</v>
      </c>
      <c r="AF793" s="131">
        <f t="shared" ca="1" si="60"/>
        <v>-88892611.504772693</v>
      </c>
      <c r="AG793" s="131">
        <f t="shared" ca="1" si="61"/>
        <v>-5605359.4942688663</v>
      </c>
      <c r="AI793" s="131">
        <f t="shared" si="62"/>
        <v>-75100420.249825731</v>
      </c>
      <c r="AJ793" s="31">
        <f t="shared" si="63"/>
        <v>119224.24719194218</v>
      </c>
    </row>
    <row r="794" spans="15:36">
      <c r="O794" s="15">
        <v>791</v>
      </c>
      <c r="P794" s="33">
        <v>4068606.4304411113</v>
      </c>
      <c r="Q794" s="33">
        <v>84693202.087369055</v>
      </c>
      <c r="R794" s="146">
        <v>-80624595.656927943</v>
      </c>
      <c r="S794" s="31">
        <v>179526.98848171739</v>
      </c>
      <c r="T794" s="31">
        <v>16424.90795651541</v>
      </c>
      <c r="U794" s="142">
        <v>163102.08052520198</v>
      </c>
      <c r="AE794" s="137">
        <f t="shared" si="64"/>
        <v>4.9637163926718424</v>
      </c>
      <c r="AF794" s="131">
        <f t="shared" ca="1" si="60"/>
        <v>-89037988.493740857</v>
      </c>
      <c r="AG794" s="131">
        <f t="shared" ca="1" si="61"/>
        <v>-5750897.9443272948</v>
      </c>
      <c r="AI794" s="131">
        <f t="shared" si="62"/>
        <v>-80624595.656927943</v>
      </c>
      <c r="AJ794" s="31">
        <f t="shared" si="63"/>
        <v>163102.08052520198</v>
      </c>
    </row>
    <row r="795" spans="15:36">
      <c r="O795" s="15">
        <v>792</v>
      </c>
      <c r="P795" s="33">
        <v>3186500.4858041443</v>
      </c>
      <c r="Q795" s="33">
        <v>81883406.513665766</v>
      </c>
      <c r="R795" s="146">
        <v>-78696906.027861625</v>
      </c>
      <c r="S795" s="31">
        <v>177661.83208463248</v>
      </c>
      <c r="T795" s="31">
        <v>7144.5089197750785</v>
      </c>
      <c r="U795" s="142">
        <v>170517.3231648574</v>
      </c>
      <c r="AE795" s="137">
        <f t="shared" si="64"/>
        <v>4.9699995779790216</v>
      </c>
      <c r="AF795" s="131">
        <f t="shared" ca="1" si="60"/>
        <v>-89183131.121683046</v>
      </c>
      <c r="AG795" s="131">
        <f t="shared" ca="1" si="61"/>
        <v>-5896206.0334948516</v>
      </c>
      <c r="AI795" s="131">
        <f t="shared" si="62"/>
        <v>-78696906.027861625</v>
      </c>
      <c r="AJ795" s="31">
        <f t="shared" si="63"/>
        <v>170517.3231648574</v>
      </c>
    </row>
    <row r="796" spans="15:36">
      <c r="O796" s="15">
        <v>793</v>
      </c>
      <c r="P796" s="33">
        <v>3479823.8936452903</v>
      </c>
      <c r="Q796" s="33">
        <v>99139858.817346483</v>
      </c>
      <c r="R796" s="146">
        <v>-95660034.923701197</v>
      </c>
      <c r="S796" s="31">
        <v>145824.54139006845</v>
      </c>
      <c r="T796" s="31">
        <v>13450.962685855025</v>
      </c>
      <c r="U796" s="142">
        <v>132373.57870421343</v>
      </c>
      <c r="AE796" s="137">
        <f t="shared" si="64"/>
        <v>4.9762827632862008</v>
      </c>
      <c r="AF796" s="131">
        <f t="shared" ca="1" si="60"/>
        <v>-89328033.658616871</v>
      </c>
      <c r="AG796" s="131">
        <f t="shared" ca="1" si="61"/>
        <v>-6041278.0252569811</v>
      </c>
      <c r="AI796" s="131">
        <f t="shared" si="62"/>
        <v>-95660034.923701197</v>
      </c>
      <c r="AJ796" s="31">
        <f t="shared" si="63"/>
        <v>132373.57870421343</v>
      </c>
    </row>
    <row r="797" spans="15:36">
      <c r="O797" s="15">
        <v>794</v>
      </c>
      <c r="P797" s="33">
        <v>3021013.3258568808</v>
      </c>
      <c r="Q797" s="33">
        <v>78374113.446618751</v>
      </c>
      <c r="R797" s="146">
        <v>-75353100.120761871</v>
      </c>
      <c r="S797" s="31">
        <v>96209.362754534712</v>
      </c>
      <c r="T797" s="31">
        <v>10672.321952113289</v>
      </c>
      <c r="U797" s="142">
        <v>85537.040802421427</v>
      </c>
      <c r="AE797" s="137">
        <f t="shared" si="64"/>
        <v>4.98256594859338</v>
      </c>
      <c r="AF797" s="131">
        <f t="shared" ca="1" si="60"/>
        <v>-89472690.38403827</v>
      </c>
      <c r="AG797" s="131">
        <f t="shared" ca="1" si="61"/>
        <v>-6186108.1924198568</v>
      </c>
      <c r="AI797" s="131">
        <f t="shared" si="62"/>
        <v>-75353100.120761871</v>
      </c>
      <c r="AJ797" s="31">
        <f t="shared" si="63"/>
        <v>85537.040802421427</v>
      </c>
    </row>
    <row r="798" spans="15:36">
      <c r="O798" s="15">
        <v>795</v>
      </c>
      <c r="P798" s="33">
        <v>3294377.8512758082</v>
      </c>
      <c r="Q798" s="33">
        <v>80979364.312784135</v>
      </c>
      <c r="R798" s="146">
        <v>-77684986.461508334</v>
      </c>
      <c r="S798" s="31">
        <v>109969.19615671856</v>
      </c>
      <c r="T798" s="31">
        <v>8247.1213662652735</v>
      </c>
      <c r="U798" s="142">
        <v>101722.07479045329</v>
      </c>
      <c r="AE798" s="137">
        <f t="shared" si="64"/>
        <v>4.9888491339005592</v>
      </c>
      <c r="AF798" s="131">
        <f t="shared" ca="1" si="60"/>
        <v>-89617095.587147415</v>
      </c>
      <c r="AG798" s="131">
        <f t="shared" ca="1" si="61"/>
        <v>-6330690.8173364624</v>
      </c>
      <c r="AI798" s="131">
        <f t="shared" si="62"/>
        <v>-77684986.461508334</v>
      </c>
      <c r="AJ798" s="31">
        <f t="shared" si="63"/>
        <v>101722.07479045329</v>
      </c>
    </row>
    <row r="799" spans="15:36">
      <c r="O799" s="15">
        <v>796</v>
      </c>
      <c r="P799" s="33">
        <v>3204589.8078714442</v>
      </c>
      <c r="Q799" s="33">
        <v>86290811.130664185</v>
      </c>
      <c r="R799" s="146">
        <v>-83086221.322792739</v>
      </c>
      <c r="S799" s="31">
        <v>68146.303768645361</v>
      </c>
      <c r="T799" s="31">
        <v>5680.4368317613007</v>
      </c>
      <c r="U799" s="142">
        <v>62465.866936884064</v>
      </c>
      <c r="AE799" s="137">
        <f t="shared" si="64"/>
        <v>4.9951323192077384</v>
      </c>
      <c r="AF799" s="131">
        <f t="shared" ca="1" si="60"/>
        <v>-89761243.56707415</v>
      </c>
      <c r="AG799" s="131">
        <f t="shared" ca="1" si="61"/>
        <v>-6475020.1921323352</v>
      </c>
      <c r="AI799" s="131">
        <f t="shared" si="62"/>
        <v>-83086221.322792739</v>
      </c>
      <c r="AJ799" s="31">
        <f t="shared" si="63"/>
        <v>62465.866936884064</v>
      </c>
    </row>
    <row r="800" spans="15:36">
      <c r="O800" s="15">
        <v>797</v>
      </c>
      <c r="P800" s="33">
        <v>3571656.7606595275</v>
      </c>
      <c r="Q800" s="33">
        <v>88809371.677991897</v>
      </c>
      <c r="R800" s="146">
        <v>-85237714.917332366</v>
      </c>
      <c r="S800" s="31">
        <v>52978.162126032985</v>
      </c>
      <c r="T800" s="31">
        <v>7877.8483290118456</v>
      </c>
      <c r="U800" s="142">
        <v>45100.313797021139</v>
      </c>
      <c r="AE800" s="137">
        <f t="shared" si="64"/>
        <v>5.0014155045149176</v>
      </c>
      <c r="AF800" s="131">
        <f t="shared" ca="1" si="60"/>
        <v>-89905128.633103043</v>
      </c>
      <c r="AG800" s="131">
        <f t="shared" ca="1" si="61"/>
        <v>-6619090.6189308884</v>
      </c>
      <c r="AI800" s="131">
        <f t="shared" si="62"/>
        <v>-85237714.917332366</v>
      </c>
      <c r="AJ800" s="31">
        <f t="shared" si="63"/>
        <v>45100.313797021139</v>
      </c>
    </row>
    <row r="801" spans="15:36">
      <c r="O801" s="15">
        <v>798</v>
      </c>
      <c r="P801" s="33">
        <v>3101549.0978328004</v>
      </c>
      <c r="Q801" s="33">
        <v>90807727.261185765</v>
      </c>
      <c r="R801" s="146">
        <v>-87706178.163352966</v>
      </c>
      <c r="S801" s="31">
        <v>116372.96058183472</v>
      </c>
      <c r="T801" s="31">
        <v>7867.8647584613154</v>
      </c>
      <c r="U801" s="142">
        <v>108505.0958233734</v>
      </c>
      <c r="AE801" s="137">
        <f t="shared" si="64"/>
        <v>5.0076986898220968</v>
      </c>
      <c r="AF801" s="131">
        <f t="shared" ca="1" si="60"/>
        <v>-90048745.10489808</v>
      </c>
      <c r="AG801" s="131">
        <f t="shared" ca="1" si="61"/>
        <v>-6762896.4100783588</v>
      </c>
      <c r="AI801" s="131">
        <f t="shared" si="62"/>
        <v>-87706178.163352966</v>
      </c>
      <c r="AJ801" s="31">
        <f t="shared" si="63"/>
        <v>108505.0958233734</v>
      </c>
    </row>
    <row r="802" spans="15:36">
      <c r="O802" s="15">
        <v>799</v>
      </c>
      <c r="P802" s="33">
        <v>3176177.0848453706</v>
      </c>
      <c r="Q802" s="33">
        <v>90148246.655093968</v>
      </c>
      <c r="R802" s="146">
        <v>-86972069.570248604</v>
      </c>
      <c r="S802" s="31">
        <v>98886.489717522229</v>
      </c>
      <c r="T802" s="31">
        <v>9458.2704563700154</v>
      </c>
      <c r="U802" s="142">
        <v>89428.219261152219</v>
      </c>
      <c r="AE802" s="137">
        <f t="shared" si="64"/>
        <v>5.013981875129276</v>
      </c>
      <c r="AF802" s="131">
        <f t="shared" ca="1" si="60"/>
        <v>-90192087.31272684</v>
      </c>
      <c r="AG802" s="131">
        <f t="shared" ca="1" si="61"/>
        <v>-6906431.8883683486</v>
      </c>
      <c r="AI802" s="131">
        <f t="shared" si="62"/>
        <v>-86972069.570248604</v>
      </c>
      <c r="AJ802" s="31">
        <f t="shared" si="63"/>
        <v>89428.219261152219</v>
      </c>
    </row>
    <row r="803" spans="15:36">
      <c r="O803" s="15">
        <v>800</v>
      </c>
      <c r="P803" s="33">
        <v>3503397.2790155038</v>
      </c>
      <c r="Q803" s="33">
        <v>95973851.236648098</v>
      </c>
      <c r="R803" s="146">
        <v>-92470453.957632601</v>
      </c>
      <c r="S803" s="31">
        <v>68938.552910329163</v>
      </c>
      <c r="T803" s="31">
        <v>17643.51117036842</v>
      </c>
      <c r="U803" s="142">
        <v>51295.04173996074</v>
      </c>
      <c r="AE803" s="137">
        <f t="shared" si="64"/>
        <v>5.0202650604364552</v>
      </c>
      <c r="AF803" s="131">
        <f t="shared" ca="1" si="60"/>
        <v>-90335149.597684398</v>
      </c>
      <c r="AG803" s="131">
        <f t="shared" ca="1" si="61"/>
        <v>-7049691.3872659467</v>
      </c>
      <c r="AI803" s="131">
        <f t="shared" si="62"/>
        <v>-92470453.957632601</v>
      </c>
      <c r="AJ803" s="31">
        <f t="shared" si="63"/>
        <v>51295.04173996074</v>
      </c>
    </row>
    <row r="804" spans="15:36">
      <c r="O804" s="15">
        <v>801</v>
      </c>
      <c r="P804" s="33">
        <v>3998691.6451207791</v>
      </c>
      <c r="Q804" s="33">
        <v>74046549.679544374</v>
      </c>
      <c r="R804" s="146">
        <v>-70047858.03442359</v>
      </c>
      <c r="S804" s="31">
        <v>74187.620568881815</v>
      </c>
      <c r="T804" s="31">
        <v>21025.535692792175</v>
      </c>
      <c r="U804" s="142">
        <v>53162.084876089641</v>
      </c>
      <c r="AE804" s="137">
        <f t="shared" si="64"/>
        <v>5.0265482457436343</v>
      </c>
      <c r="AF804" s="131">
        <f t="shared" ca="1" si="60"/>
        <v>-90477926.311916739</v>
      </c>
      <c r="AG804" s="131">
        <f t="shared" ca="1" si="61"/>
        <v>-7192669.2511314368</v>
      </c>
      <c r="AI804" s="131">
        <f t="shared" si="62"/>
        <v>-70047858.03442359</v>
      </c>
      <c r="AJ804" s="31">
        <f t="shared" si="63"/>
        <v>53162.084876089641</v>
      </c>
    </row>
    <row r="805" spans="15:36">
      <c r="O805" s="15">
        <v>802</v>
      </c>
      <c r="P805" s="33">
        <v>3527234.9887186233</v>
      </c>
      <c r="Q805" s="33">
        <v>72433601.452192798</v>
      </c>
      <c r="R805" s="146">
        <v>-68906366.463474169</v>
      </c>
      <c r="S805" s="31">
        <v>75887.962282785011</v>
      </c>
      <c r="T805" s="31">
        <v>8935.996321470433</v>
      </c>
      <c r="U805" s="142">
        <v>66951.965961314578</v>
      </c>
      <c r="AE805" s="137">
        <f t="shared" si="64"/>
        <v>5.0328314310508135</v>
      </c>
      <c r="AF805" s="131">
        <f t="shared" ca="1" si="60"/>
        <v>-90620411.818843618</v>
      </c>
      <c r="AG805" s="131">
        <f t="shared" ca="1" si="61"/>
        <v>-7335359.8354435684</v>
      </c>
      <c r="AI805" s="131">
        <f t="shared" si="62"/>
        <v>-68906366.463474169</v>
      </c>
      <c r="AJ805" s="31">
        <f t="shared" si="63"/>
        <v>66951.965961314578</v>
      </c>
    </row>
    <row r="806" spans="15:36">
      <c r="O806" s="15">
        <v>803</v>
      </c>
      <c r="P806" s="33">
        <v>3509924.4836704303</v>
      </c>
      <c r="Q806" s="33">
        <v>78447972.785067886</v>
      </c>
      <c r="R806" s="146">
        <v>-74938048.301397458</v>
      </c>
      <c r="S806" s="31">
        <v>87216.981124206111</v>
      </c>
      <c r="T806" s="31">
        <v>10031.663047634296</v>
      </c>
      <c r="U806" s="142">
        <v>77185.318076571813</v>
      </c>
      <c r="AE806" s="137">
        <f t="shared" si="64"/>
        <v>5.0391146163579927</v>
      </c>
      <c r="AF806" s="131">
        <f t="shared" ca="1" si="60"/>
        <v>-90762600.493381217</v>
      </c>
      <c r="AG806" s="131">
        <f t="shared" ca="1" si="61"/>
        <v>-7477757.5070224004</v>
      </c>
      <c r="AI806" s="131">
        <f t="shared" si="62"/>
        <v>-74938048.301397458</v>
      </c>
      <c r="AJ806" s="31">
        <f t="shared" si="63"/>
        <v>77185.318076571813</v>
      </c>
    </row>
    <row r="807" spans="15:36">
      <c r="O807" s="15">
        <v>804</v>
      </c>
      <c r="P807" s="33">
        <v>3834710.5566269835</v>
      </c>
      <c r="Q807" s="33">
        <v>85259654.642567247</v>
      </c>
      <c r="R807" s="146">
        <v>-81424944.085940257</v>
      </c>
      <c r="S807" s="31">
        <v>74225.640624673673</v>
      </c>
      <c r="T807" s="31">
        <v>15905.238268438674</v>
      </c>
      <c r="U807" s="142">
        <v>58320.402356234998</v>
      </c>
      <c r="AE807" s="137">
        <f t="shared" si="64"/>
        <v>5.0453978016651719</v>
      </c>
      <c r="AF807" s="131">
        <f t="shared" ca="1" si="60"/>
        <v>-90904486.722164124</v>
      </c>
      <c r="AG807" s="131">
        <f t="shared" ca="1" si="61"/>
        <v>-7619856.6442516828</v>
      </c>
      <c r="AI807" s="131">
        <f t="shared" si="62"/>
        <v>-81424944.085940257</v>
      </c>
      <c r="AJ807" s="31">
        <f t="shared" si="63"/>
        <v>58320.402356234998</v>
      </c>
    </row>
    <row r="808" spans="15:36">
      <c r="O808" s="15">
        <v>805</v>
      </c>
      <c r="P808" s="33">
        <v>3293866.0283839311</v>
      </c>
      <c r="Q808" s="33">
        <v>76451833.102392316</v>
      </c>
      <c r="R808" s="146">
        <v>-73157967.07400839</v>
      </c>
      <c r="S808" s="31">
        <v>72016.021003876449</v>
      </c>
      <c r="T808" s="31">
        <v>8803.5931222876443</v>
      </c>
      <c r="U808" s="142">
        <v>63212.427881588803</v>
      </c>
      <c r="AE808" s="137">
        <f t="shared" si="64"/>
        <v>5.0516809869723511</v>
      </c>
      <c r="AF808" s="131">
        <f t="shared" ca="1" si="60"/>
        <v>-91046064.90376699</v>
      </c>
      <c r="AG808" s="131">
        <f t="shared" ca="1" si="61"/>
        <v>-7761651.6373007884</v>
      </c>
      <c r="AI808" s="131">
        <f t="shared" si="62"/>
        <v>-73157967.07400839</v>
      </c>
      <c r="AJ808" s="31">
        <f t="shared" si="63"/>
        <v>63212.427881588803</v>
      </c>
    </row>
    <row r="809" spans="15:36">
      <c r="O809" s="15">
        <v>806</v>
      </c>
      <c r="P809" s="33">
        <v>3329072.2090921151</v>
      </c>
      <c r="Q809" s="33">
        <v>86420739.705345795</v>
      </c>
      <c r="R809" s="146">
        <v>-83091667.496253684</v>
      </c>
      <c r="S809" s="31">
        <v>101232.96143359662</v>
      </c>
      <c r="T809" s="31">
        <v>8472.5242865898472</v>
      </c>
      <c r="U809" s="142">
        <v>92760.437147006771</v>
      </c>
      <c r="AE809" s="137">
        <f t="shared" si="64"/>
        <v>5.0579641722795303</v>
      </c>
      <c r="AF809" s="131">
        <f t="shared" ca="1" si="60"/>
        <v>-91187329.448925599</v>
      </c>
      <c r="AG809" s="131">
        <f t="shared" ca="1" si="61"/>
        <v>-7903136.8883461868</v>
      </c>
      <c r="AI809" s="131">
        <f t="shared" si="62"/>
        <v>-83091667.496253684</v>
      </c>
      <c r="AJ809" s="31">
        <f t="shared" si="63"/>
        <v>92760.437147006771</v>
      </c>
    </row>
    <row r="810" spans="15:36">
      <c r="O810" s="15">
        <v>807</v>
      </c>
      <c r="P810" s="33">
        <v>3683598.1182518885</v>
      </c>
      <c r="Q810" s="33">
        <v>94880361.736605048</v>
      </c>
      <c r="R810" s="146">
        <v>-91196763.618353158</v>
      </c>
      <c r="S810" s="31">
        <v>115965.94450829548</v>
      </c>
      <c r="T810" s="31">
        <v>8555.8236671138693</v>
      </c>
      <c r="U810" s="142">
        <v>107410.1208411816</v>
      </c>
      <c r="AE810" s="137">
        <f t="shared" si="64"/>
        <v>5.0642473575867095</v>
      </c>
      <c r="AF810" s="131">
        <f t="shared" ca="1" si="60"/>
        <v>-91328274.780757621</v>
      </c>
      <c r="AG810" s="131">
        <f t="shared" ca="1" si="61"/>
        <v>-8044306.8117924258</v>
      </c>
      <c r="AI810" s="131">
        <f t="shared" si="62"/>
        <v>-91196763.618353158</v>
      </c>
      <c r="AJ810" s="31">
        <f t="shared" si="63"/>
        <v>107410.1208411816</v>
      </c>
    </row>
    <row r="811" spans="15:36">
      <c r="O811" s="15">
        <v>808</v>
      </c>
      <c r="P811" s="33">
        <v>3280934.6548795728</v>
      </c>
      <c r="Q811" s="33">
        <v>96384463.78001526</v>
      </c>
      <c r="R811" s="146">
        <v>-93103529.12513569</v>
      </c>
      <c r="S811" s="31">
        <v>94392.979482947587</v>
      </c>
      <c r="T811" s="31">
        <v>10475.34802698083</v>
      </c>
      <c r="U811" s="142">
        <v>83917.631455966752</v>
      </c>
      <c r="AE811" s="137">
        <f t="shared" si="64"/>
        <v>5.0705305428938887</v>
      </c>
      <c r="AF811" s="131">
        <f t="shared" ca="1" si="60"/>
        <v>-91468895.334982663</v>
      </c>
      <c r="AG811" s="131">
        <f t="shared" ca="1" si="61"/>
        <v>-8185155.8344926499</v>
      </c>
      <c r="AI811" s="131">
        <f t="shared" si="62"/>
        <v>-93103529.12513569</v>
      </c>
      <c r="AJ811" s="31">
        <f t="shared" si="63"/>
        <v>83917.631455966752</v>
      </c>
    </row>
    <row r="812" spans="15:36">
      <c r="O812" s="15">
        <v>809</v>
      </c>
      <c r="P812" s="33">
        <v>3434431.5082347495</v>
      </c>
      <c r="Q812" s="33">
        <v>89269450.937851146</v>
      </c>
      <c r="R812" s="146">
        <v>-85835019.429616392</v>
      </c>
      <c r="S812" s="31">
        <v>61347.168039712553</v>
      </c>
      <c r="T812" s="31">
        <v>8896.5805347012065</v>
      </c>
      <c r="U812" s="142">
        <v>52450.587505011346</v>
      </c>
      <c r="AE812" s="137">
        <f t="shared" si="64"/>
        <v>5.0768137282010679</v>
      </c>
      <c r="AF812" s="131">
        <f t="shared" ca="1" si="60"/>
        <v>-91609185.560142055</v>
      </c>
      <c r="AG812" s="131">
        <f t="shared" ca="1" si="61"/>
        <v>-8325678.3959686132</v>
      </c>
      <c r="AI812" s="131">
        <f t="shared" si="62"/>
        <v>-85835019.429616392</v>
      </c>
      <c r="AJ812" s="31">
        <f t="shared" si="63"/>
        <v>52450.587505011346</v>
      </c>
    </row>
    <row r="813" spans="15:36">
      <c r="O813" s="15">
        <v>810</v>
      </c>
      <c r="P813" s="33">
        <v>3477580.2819992788</v>
      </c>
      <c r="Q813" s="33">
        <v>87975723.121673927</v>
      </c>
      <c r="R813" s="146">
        <v>-84498142.839674652</v>
      </c>
      <c r="S813" s="31">
        <v>82260.582524966958</v>
      </c>
      <c r="T813" s="31">
        <v>18106.977705409841</v>
      </c>
      <c r="U813" s="142">
        <v>64153.60481955712</v>
      </c>
      <c r="AE813" s="137">
        <f t="shared" si="64"/>
        <v>5.0830969135082471</v>
      </c>
      <c r="AF813" s="131">
        <f t="shared" ca="1" si="60"/>
        <v>-91749139.917817906</v>
      </c>
      <c r="AG813" s="131">
        <f t="shared" ca="1" si="61"/>
        <v>-8465868.9486302063</v>
      </c>
      <c r="AI813" s="131">
        <f t="shared" si="62"/>
        <v>-84498142.839674652</v>
      </c>
      <c r="AJ813" s="31">
        <f t="shared" si="63"/>
        <v>64153.60481955712</v>
      </c>
    </row>
    <row r="814" spans="15:36">
      <c r="O814" s="15">
        <v>811</v>
      </c>
      <c r="P814" s="33">
        <v>3147334.685448016</v>
      </c>
      <c r="Q814" s="33">
        <v>105054021.73017929</v>
      </c>
      <c r="R814" s="146">
        <v>-101906687.04473127</v>
      </c>
      <c r="S814" s="31">
        <v>70803.706126084406</v>
      </c>
      <c r="T814" s="31">
        <v>32091.110255129304</v>
      </c>
      <c r="U814" s="142">
        <v>38712.595870955105</v>
      </c>
      <c r="AE814" s="137">
        <f t="shared" si="64"/>
        <v>5.0893800988154263</v>
      </c>
      <c r="AF814" s="131">
        <f t="shared" ca="1" si="60"/>
        <v>-91888752.882851809</v>
      </c>
      <c r="AG814" s="131">
        <f t="shared" ca="1" si="61"/>
        <v>-8605721.9579944517</v>
      </c>
      <c r="AI814" s="131">
        <f t="shared" si="62"/>
        <v>-101906687.04473127</v>
      </c>
      <c r="AJ814" s="31">
        <f t="shared" si="63"/>
        <v>38712.595870955105</v>
      </c>
    </row>
    <row r="815" spans="15:36">
      <c r="O815" s="15">
        <v>812</v>
      </c>
      <c r="P815" s="33">
        <v>3212057.5044200183</v>
      </c>
      <c r="Q815" s="33">
        <v>92676946.235794485</v>
      </c>
      <c r="R815" s="146">
        <v>-89464888.731374472</v>
      </c>
      <c r="S815" s="31">
        <v>178723.80675371416</v>
      </c>
      <c r="T815" s="31">
        <v>15453.971972107614</v>
      </c>
      <c r="U815" s="142">
        <v>163269.83478160654</v>
      </c>
      <c r="AE815" s="137">
        <f t="shared" si="64"/>
        <v>5.0956632841226055</v>
      </c>
      <c r="AF815" s="131">
        <f t="shared" ca="1" si="60"/>
        <v>-92028018.943562984</v>
      </c>
      <c r="AG815" s="131">
        <f t="shared" ca="1" si="61"/>
        <v>-8745231.9029040076</v>
      </c>
      <c r="AI815" s="131">
        <f t="shared" si="62"/>
        <v>-89464888.731374472</v>
      </c>
      <c r="AJ815" s="31">
        <f t="shared" si="63"/>
        <v>163269.83478160654</v>
      </c>
    </row>
    <row r="816" spans="15:36">
      <c r="O816" s="15">
        <v>813</v>
      </c>
      <c r="P816" s="33">
        <v>2722218.4772321382</v>
      </c>
      <c r="Q816" s="33">
        <v>86282015.832413852</v>
      </c>
      <c r="R816" s="146">
        <v>-83559797.355181709</v>
      </c>
      <c r="S816" s="31">
        <v>45907.496475065374</v>
      </c>
      <c r="T816" s="31">
        <v>17313.801570735646</v>
      </c>
      <c r="U816" s="142">
        <v>28593.694904329728</v>
      </c>
      <c r="AE816" s="137">
        <f t="shared" si="64"/>
        <v>5.1019464694297847</v>
      </c>
      <c r="AF816" s="131">
        <f t="shared" ca="1" si="60"/>
        <v>-92166932.601965785</v>
      </c>
      <c r="AG816" s="131">
        <f t="shared" ca="1" si="61"/>
        <v>-8884393.2757451274</v>
      </c>
      <c r="AI816" s="131">
        <f t="shared" si="62"/>
        <v>-83559797.355181709</v>
      </c>
      <c r="AJ816" s="31">
        <f t="shared" si="63"/>
        <v>28593.694904329728</v>
      </c>
    </row>
    <row r="817" spans="15:36">
      <c r="O817" s="15">
        <v>814</v>
      </c>
      <c r="P817" s="33">
        <v>2915695.3041677061</v>
      </c>
      <c r="Q817" s="33">
        <v>73390286.470753193</v>
      </c>
      <c r="R817" s="146">
        <v>-70474591.16658549</v>
      </c>
      <c r="S817" s="31">
        <v>129859.55266790734</v>
      </c>
      <c r="T817" s="31">
        <v>9143.2389267256403</v>
      </c>
      <c r="U817" s="142">
        <v>120716.3137411817</v>
      </c>
      <c r="AE817" s="137">
        <f t="shared" si="64"/>
        <v>5.1082296547369639</v>
      </c>
      <c r="AF817" s="131">
        <f t="shared" ca="1" si="60"/>
        <v>-92305488.373986855</v>
      </c>
      <c r="AG817" s="131">
        <f t="shared" ca="1" si="61"/>
        <v>-9023200.5826650932</v>
      </c>
      <c r="AI817" s="131">
        <f t="shared" si="62"/>
        <v>-70474591.16658549</v>
      </c>
      <c r="AJ817" s="31">
        <f t="shared" si="63"/>
        <v>120716.3137411817</v>
      </c>
    </row>
    <row r="818" spans="15:36">
      <c r="O818" s="15">
        <v>815</v>
      </c>
      <c r="P818" s="33">
        <v>3552222.8472864321</v>
      </c>
      <c r="Q818" s="33">
        <v>96182539.644458488</v>
      </c>
      <c r="R818" s="146">
        <v>-92630316.797172055</v>
      </c>
      <c r="S818" s="31">
        <v>69332.479864905516</v>
      </c>
      <c r="T818" s="31">
        <v>8124.8751220116965</v>
      </c>
      <c r="U818" s="142">
        <v>61207.604742893818</v>
      </c>
      <c r="AE818" s="137">
        <f t="shared" si="64"/>
        <v>5.1145128400441431</v>
      </c>
      <c r="AF818" s="131">
        <f t="shared" ca="1" si="60"/>
        <v>-92443680.789681554</v>
      </c>
      <c r="AG818" s="131">
        <f t="shared" ca="1" si="61"/>
        <v>-9161648.3437891062</v>
      </c>
      <c r="AI818" s="131">
        <f t="shared" si="62"/>
        <v>-92630316.797172055</v>
      </c>
      <c r="AJ818" s="31">
        <f t="shared" si="63"/>
        <v>61207.604742893818</v>
      </c>
    </row>
    <row r="819" spans="15:36">
      <c r="O819" s="15">
        <v>816</v>
      </c>
      <c r="P819" s="33">
        <v>3782524.5459273024</v>
      </c>
      <c r="Q819" s="33">
        <v>92258964.376617551</v>
      </c>
      <c r="R819" s="146">
        <v>-88476439.83069025</v>
      </c>
      <c r="S819" s="31">
        <v>131720.5971803916</v>
      </c>
      <c r="T819" s="31">
        <v>11120.594558943181</v>
      </c>
      <c r="U819" s="142">
        <v>120600.00262144842</v>
      </c>
      <c r="AE819" s="137">
        <f t="shared" si="64"/>
        <v>5.1207960253513223</v>
      </c>
      <c r="AF819" s="131">
        <f t="shared" ca="1" si="60"/>
        <v>-92581504.393449947</v>
      </c>
      <c r="AG819" s="131">
        <f t="shared" ca="1" si="61"/>
        <v>-9299731.0934366155</v>
      </c>
      <c r="AI819" s="131">
        <f t="shared" si="62"/>
        <v>-88476439.83069025</v>
      </c>
      <c r="AJ819" s="31">
        <f t="shared" si="63"/>
        <v>120600.00262144842</v>
      </c>
    </row>
    <row r="820" spans="15:36">
      <c r="O820" s="15">
        <v>817</v>
      </c>
      <c r="P820" s="33">
        <v>3155764.1439877665</v>
      </c>
      <c r="Q820" s="33">
        <v>94810287.310979828</v>
      </c>
      <c r="R820" s="146">
        <v>-91654523.166992068</v>
      </c>
      <c r="S820" s="31">
        <v>106153.24688058236</v>
      </c>
      <c r="T820" s="31">
        <v>5017.7129943537348</v>
      </c>
      <c r="U820" s="142">
        <v>101135.53388622863</v>
      </c>
      <c r="AE820" s="137">
        <f t="shared" si="64"/>
        <v>5.1270792106585015</v>
      </c>
      <c r="AF820" s="131">
        <f t="shared" ca="1" si="60"/>
        <v>-92718953.74425213</v>
      </c>
      <c r="AG820" s="131">
        <f t="shared" ca="1" si="61"/>
        <v>-9437443.3803371005</v>
      </c>
      <c r="AI820" s="131">
        <f t="shared" si="62"/>
        <v>-91654523.166992068</v>
      </c>
      <c r="AJ820" s="31">
        <f t="shared" si="63"/>
        <v>101135.53388622863</v>
      </c>
    </row>
    <row r="821" spans="15:36">
      <c r="O821" s="15">
        <v>818</v>
      </c>
      <c r="P821" s="33">
        <v>3768976.698646991</v>
      </c>
      <c r="Q821" s="33">
        <v>96199644.283850938</v>
      </c>
      <c r="R821" s="146">
        <v>-92430667.585203946</v>
      </c>
      <c r="S821" s="31">
        <v>76514.165922008688</v>
      </c>
      <c r="T821" s="31">
        <v>19701.045226110818</v>
      </c>
      <c r="U821" s="142">
        <v>56813.120695897873</v>
      </c>
      <c r="AE821" s="137">
        <f t="shared" si="64"/>
        <v>5.1333623959656807</v>
      </c>
      <c r="AF821" s="131">
        <f t="shared" ca="1" si="60"/>
        <v>-92856023.415823102</v>
      </c>
      <c r="AG821" s="131">
        <f t="shared" ca="1" si="61"/>
        <v>-9574779.7678452786</v>
      </c>
      <c r="AI821" s="131">
        <f t="shared" si="62"/>
        <v>-92430667.585203946</v>
      </c>
      <c r="AJ821" s="31">
        <f t="shared" si="63"/>
        <v>56813.120695897873</v>
      </c>
    </row>
    <row r="822" spans="15:36">
      <c r="O822" s="15">
        <v>819</v>
      </c>
      <c r="P822" s="33">
        <v>3164739.8650075998</v>
      </c>
      <c r="Q822" s="33">
        <v>86699114.477107584</v>
      </c>
      <c r="R822" s="146">
        <v>-83534374.61209999</v>
      </c>
      <c r="S822" s="31">
        <v>188906.38656773418</v>
      </c>
      <c r="T822" s="31">
        <v>7518.1822149897562</v>
      </c>
      <c r="U822" s="142">
        <v>181388.20435274442</v>
      </c>
      <c r="AE822" s="137">
        <f t="shared" si="64"/>
        <v>5.1396455812728599</v>
      </c>
      <c r="AF822" s="131">
        <f t="shared" ca="1" si="60"/>
        <v>-92992707.996886909</v>
      </c>
      <c r="AG822" s="131">
        <f t="shared" ca="1" si="61"/>
        <v>-9711734.8341557235</v>
      </c>
      <c r="AI822" s="131">
        <f t="shared" si="62"/>
        <v>-83534374.61209999</v>
      </c>
      <c r="AJ822" s="31">
        <f t="shared" si="63"/>
        <v>181388.20435274442</v>
      </c>
    </row>
    <row r="823" spans="15:36">
      <c r="O823" s="15">
        <v>820</v>
      </c>
      <c r="P823" s="33">
        <v>3175053.8134061177</v>
      </c>
      <c r="Q823" s="33">
        <v>69070861.938413322</v>
      </c>
      <c r="R823" s="146">
        <v>-65895808.125007205</v>
      </c>
      <c r="S823" s="31">
        <v>70345.562403314339</v>
      </c>
      <c r="T823" s="31">
        <v>4565.5628065632854</v>
      </c>
      <c r="U823" s="142">
        <v>65779.999596751048</v>
      </c>
      <c r="AE823" s="137">
        <f t="shared" si="64"/>
        <v>5.1459287665800391</v>
      </c>
      <c r="AF823" s="131">
        <f t="shared" ca="1" si="60"/>
        <v>-93129002.091370359</v>
      </c>
      <c r="AG823" s="131">
        <f t="shared" ca="1" si="61"/>
        <v>-9848303.1725169271</v>
      </c>
      <c r="AI823" s="131">
        <f t="shared" si="62"/>
        <v>-65895808.125007205</v>
      </c>
      <c r="AJ823" s="31">
        <f t="shared" si="63"/>
        <v>65779.999596751048</v>
      </c>
    </row>
    <row r="824" spans="15:36">
      <c r="O824" s="15">
        <v>821</v>
      </c>
      <c r="P824" s="33">
        <v>3138584.504406977</v>
      </c>
      <c r="Q824" s="33">
        <v>75395270.685180694</v>
      </c>
      <c r="R824" s="146">
        <v>-72256686.18077372</v>
      </c>
      <c r="S824" s="31">
        <v>106443.73842023242</v>
      </c>
      <c r="T824" s="31">
        <v>5796.7634612833781</v>
      </c>
      <c r="U824" s="142">
        <v>100646.97495894904</v>
      </c>
      <c r="AE824" s="137">
        <f t="shared" si="64"/>
        <v>5.1522119518872183</v>
      </c>
      <c r="AF824" s="131">
        <f t="shared" ca="1" si="60"/>
        <v>-93264900.318615958</v>
      </c>
      <c r="AG824" s="131">
        <f t="shared" ca="1" si="61"/>
        <v>-9984479.3914447315</v>
      </c>
      <c r="AI824" s="131">
        <f t="shared" si="62"/>
        <v>-72256686.18077372</v>
      </c>
      <c r="AJ824" s="31">
        <f t="shared" si="63"/>
        <v>100646.97495894904</v>
      </c>
    </row>
    <row r="825" spans="15:36">
      <c r="O825" s="15">
        <v>822</v>
      </c>
      <c r="P825" s="33">
        <v>3320095.489031319</v>
      </c>
      <c r="Q825" s="33">
        <v>88899163.250689328</v>
      </c>
      <c r="R825" s="146">
        <v>-85579067.761658013</v>
      </c>
      <c r="S825" s="31">
        <v>63819.822828625998</v>
      </c>
      <c r="T825" s="31">
        <v>5914.7989289978323</v>
      </c>
      <c r="U825" s="142">
        <v>57905.02389962817</v>
      </c>
      <c r="AE825" s="137">
        <f t="shared" si="64"/>
        <v>5.1584951371943975</v>
      </c>
      <c r="AF825" s="131">
        <f t="shared" ca="1" si="60"/>
        <v>-93400397.313594386</v>
      </c>
      <c r="AG825" s="131">
        <f t="shared" ca="1" si="61"/>
        <v>-10120258.114935182</v>
      </c>
      <c r="AI825" s="131">
        <f t="shared" si="62"/>
        <v>-85579067.761658013</v>
      </c>
      <c r="AJ825" s="31">
        <f t="shared" si="63"/>
        <v>57905.02389962817</v>
      </c>
    </row>
    <row r="826" spans="15:36">
      <c r="O826" s="15">
        <v>823</v>
      </c>
      <c r="P826" s="33">
        <v>3008505.1666092942</v>
      </c>
      <c r="Q826" s="33">
        <v>71235397.355509803</v>
      </c>
      <c r="R826" s="146">
        <v>-68226892.188900515</v>
      </c>
      <c r="S826" s="31">
        <v>99908.90064502311</v>
      </c>
      <c r="T826" s="31">
        <v>12341.325813858804</v>
      </c>
      <c r="U826" s="142">
        <v>87567.574831164311</v>
      </c>
      <c r="AE826" s="137">
        <f t="shared" si="64"/>
        <v>5.1647783225015766</v>
      </c>
      <c r="AF826" s="131">
        <f t="shared" ca="1" si="60"/>
        <v>-93535487.727116287</v>
      </c>
      <c r="AG826" s="131">
        <f t="shared" ca="1" si="61"/>
        <v>-10255633.982676769</v>
      </c>
      <c r="AI826" s="131">
        <f t="shared" si="62"/>
        <v>-68226892.188900515</v>
      </c>
      <c r="AJ826" s="31">
        <f t="shared" si="63"/>
        <v>87567.574831164311</v>
      </c>
    </row>
    <row r="827" spans="15:36">
      <c r="O827" s="15">
        <v>824</v>
      </c>
      <c r="P827" s="33">
        <v>3280937.7060440821</v>
      </c>
      <c r="Q827" s="33">
        <v>100627941.04857193</v>
      </c>
      <c r="R827" s="146">
        <v>-97347003.342527851</v>
      </c>
      <c r="S827" s="31">
        <v>56946.690549793893</v>
      </c>
      <c r="T827" s="31">
        <v>22939.478226012914</v>
      </c>
      <c r="U827" s="142">
        <v>34007.212323780979</v>
      </c>
      <c r="AE827" s="137">
        <f t="shared" si="64"/>
        <v>5.1710615078087558</v>
      </c>
      <c r="AF827" s="131">
        <f t="shared" ca="1" si="60"/>
        <v>-93670166.226043463</v>
      </c>
      <c r="AG827" s="131">
        <f t="shared" ca="1" si="61"/>
        <v>-10390601.650262034</v>
      </c>
      <c r="AI827" s="131">
        <f t="shared" si="62"/>
        <v>-97347003.342527851</v>
      </c>
      <c r="AJ827" s="31">
        <f t="shared" si="63"/>
        <v>34007.212323780979</v>
      </c>
    </row>
    <row r="828" spans="15:36">
      <c r="O828" s="15">
        <v>825</v>
      </c>
      <c r="P828" s="33">
        <v>3187524.6182987802</v>
      </c>
      <c r="Q828" s="33">
        <v>74013090.735509053</v>
      </c>
      <c r="R828" s="146">
        <v>-70825566.117210269</v>
      </c>
      <c r="S828" s="31">
        <v>122561.54091051628</v>
      </c>
      <c r="T828" s="31">
        <v>13291.866629302553</v>
      </c>
      <c r="U828" s="142">
        <v>109269.67428121372</v>
      </c>
      <c r="AE828" s="137">
        <f t="shared" si="64"/>
        <v>5.177344693115935</v>
      </c>
      <c r="AF828" s="131">
        <f t="shared" ca="1" si="60"/>
        <v>-93804427.493499383</v>
      </c>
      <c r="AG828" s="131">
        <f t="shared" ca="1" si="61"/>
        <v>-10525155.78939856</v>
      </c>
      <c r="AI828" s="131">
        <f t="shared" si="62"/>
        <v>-70825566.117210269</v>
      </c>
      <c r="AJ828" s="31">
        <f t="shared" si="63"/>
        <v>109269.67428121372</v>
      </c>
    </row>
    <row r="829" spans="15:36">
      <c r="O829" s="15">
        <v>826</v>
      </c>
      <c r="P829" s="33">
        <v>3532182.0435238313</v>
      </c>
      <c r="Q829" s="33">
        <v>94278344.565573439</v>
      </c>
      <c r="R829" s="146">
        <v>-90746162.522049606</v>
      </c>
      <c r="S829" s="31">
        <v>88714.848645335267</v>
      </c>
      <c r="T829" s="31">
        <v>18583.59726549641</v>
      </c>
      <c r="U829" s="142">
        <v>70131.251379838854</v>
      </c>
      <c r="AE829" s="137">
        <f t="shared" si="64"/>
        <v>5.1836278784231142</v>
      </c>
      <c r="AF829" s="131">
        <f t="shared" ca="1" si="60"/>
        <v>-93938266.229079083</v>
      </c>
      <c r="AG829" s="131">
        <f t="shared" ca="1" si="61"/>
        <v>-10659291.08811933</v>
      </c>
      <c r="AI829" s="131">
        <f t="shared" si="62"/>
        <v>-90746162.522049606</v>
      </c>
      <c r="AJ829" s="31">
        <f t="shared" si="63"/>
        <v>70131.251379838854</v>
      </c>
    </row>
    <row r="830" spans="15:36">
      <c r="O830" s="15">
        <v>827</v>
      </c>
      <c r="P830" s="33">
        <v>3771749.6525517199</v>
      </c>
      <c r="Q830" s="33">
        <v>87632014.707094759</v>
      </c>
      <c r="R830" s="146">
        <v>-83860265.054543033</v>
      </c>
      <c r="S830" s="31">
        <v>48588.694051620267</v>
      </c>
      <c r="T830" s="31">
        <v>12151.351959976391</v>
      </c>
      <c r="U830" s="142">
        <v>36437.342091643877</v>
      </c>
      <c r="AE830" s="137">
        <f t="shared" si="64"/>
        <v>5.1899110637302934</v>
      </c>
      <c r="AF830" s="131">
        <f t="shared" ca="1" si="60"/>
        <v>-94071677.149058461</v>
      </c>
      <c r="AG830" s="131">
        <f t="shared" ca="1" si="61"/>
        <v>-10793002.250992427</v>
      </c>
      <c r="AI830" s="131">
        <f t="shared" si="62"/>
        <v>-83860265.054543033</v>
      </c>
      <c r="AJ830" s="31">
        <f t="shared" si="63"/>
        <v>36437.342091643877</v>
      </c>
    </row>
    <row r="831" spans="15:36">
      <c r="O831" s="15">
        <v>828</v>
      </c>
      <c r="P831" s="33">
        <v>3086168.3434255477</v>
      </c>
      <c r="Q831" s="33">
        <v>100030223.0881605</v>
      </c>
      <c r="R831" s="146">
        <v>-96944054.744734958</v>
      </c>
      <c r="S831" s="31">
        <v>68340.884978059999</v>
      </c>
      <c r="T831" s="31">
        <v>12384.118769307894</v>
      </c>
      <c r="U831" s="142">
        <v>55956.766208752102</v>
      </c>
      <c r="AE831" s="137">
        <f t="shared" si="64"/>
        <v>5.1961942490374726</v>
      </c>
      <c r="AF831" s="131">
        <f t="shared" ca="1" si="60"/>
        <v>-94204654.986602828</v>
      </c>
      <c r="AG831" s="131">
        <f t="shared" ca="1" si="61"/>
        <v>-10926283.999330088</v>
      </c>
      <c r="AI831" s="131">
        <f t="shared" si="62"/>
        <v>-96944054.744734958</v>
      </c>
      <c r="AJ831" s="31">
        <f t="shared" si="63"/>
        <v>55956.766208752102</v>
      </c>
    </row>
    <row r="832" spans="15:36">
      <c r="O832" s="15">
        <v>829</v>
      </c>
      <c r="P832" s="33">
        <v>2604608.2276808983</v>
      </c>
      <c r="Q832" s="33">
        <v>66655612.095674112</v>
      </c>
      <c r="R832" s="146">
        <v>-64051003.867993213</v>
      </c>
      <c r="S832" s="31">
        <v>45805.259960927629</v>
      </c>
      <c r="T832" s="31">
        <v>10224.025637451856</v>
      </c>
      <c r="U832" s="142">
        <v>35581.234323475772</v>
      </c>
      <c r="AE832" s="137">
        <f t="shared" si="64"/>
        <v>5.2024774343446518</v>
      </c>
      <c r="AF832" s="131">
        <f t="shared" ca="1" si="60"/>
        <v>-94337194.49197486</v>
      </c>
      <c r="AG832" s="131">
        <f t="shared" ca="1" si="61"/>
        <v>-11059131.071397107</v>
      </c>
      <c r="AI832" s="131">
        <f t="shared" si="62"/>
        <v>-64051003.867993213</v>
      </c>
      <c r="AJ832" s="31">
        <f t="shared" si="63"/>
        <v>35581.234323475772</v>
      </c>
    </row>
    <row r="833" spans="15:36">
      <c r="O833" s="15">
        <v>830</v>
      </c>
      <c r="P833" s="33">
        <v>3241233.4159963266</v>
      </c>
      <c r="Q833" s="33">
        <v>90602201.207055971</v>
      </c>
      <c r="R833" s="146">
        <v>-87360967.791059643</v>
      </c>
      <c r="S833" s="31">
        <v>91698.53825556286</v>
      </c>
      <c r="T833" s="31">
        <v>6783.4084810947797</v>
      </c>
      <c r="U833" s="142">
        <v>84915.129774468078</v>
      </c>
      <c r="AE833" s="137">
        <f t="shared" si="64"/>
        <v>5.208760619651831</v>
      </c>
      <c r="AF833" s="131">
        <f t="shared" ca="1" si="60"/>
        <v>-94469290.432741821</v>
      </c>
      <c r="AG833" s="131">
        <f t="shared" ca="1" si="61"/>
        <v>-11191538.222618548</v>
      </c>
      <c r="AI833" s="131">
        <f t="shared" si="62"/>
        <v>-87360967.791059643</v>
      </c>
      <c r="AJ833" s="31">
        <f t="shared" si="63"/>
        <v>84915.129774468078</v>
      </c>
    </row>
    <row r="834" spans="15:36">
      <c r="O834" s="15">
        <v>831</v>
      </c>
      <c r="P834" s="33">
        <v>3266859.4438102255</v>
      </c>
      <c r="Q834" s="33">
        <v>90746662.47745207</v>
      </c>
      <c r="R834" s="146">
        <v>-87479803.033641845</v>
      </c>
      <c r="S834" s="31">
        <v>123990.61415464969</v>
      </c>
      <c r="T834" s="31">
        <v>11264.994559573584</v>
      </c>
      <c r="U834" s="142">
        <v>112725.6195950761</v>
      </c>
      <c r="AE834" s="137">
        <f t="shared" si="64"/>
        <v>5.2150438049590102</v>
      </c>
      <c r="AF834" s="131">
        <f t="shared" ca="1" si="60"/>
        <v>-94600937.59398216</v>
      </c>
      <c r="AG834" s="131">
        <f t="shared" ca="1" si="61"/>
        <v>-11323500.2257868</v>
      </c>
      <c r="AI834" s="131">
        <f t="shared" si="62"/>
        <v>-87479803.033641845</v>
      </c>
      <c r="AJ834" s="31">
        <f t="shared" si="63"/>
        <v>112725.6195950761</v>
      </c>
    </row>
    <row r="835" spans="15:36">
      <c r="O835" s="15">
        <v>832</v>
      </c>
      <c r="P835" s="33">
        <v>3208877.5653608213</v>
      </c>
      <c r="Q835" s="33">
        <v>91286685.261764869</v>
      </c>
      <c r="R835" s="146">
        <v>-88077807.696404055</v>
      </c>
      <c r="S835" s="31">
        <v>122158.07587168277</v>
      </c>
      <c r="T835" s="31">
        <v>11753.539727929689</v>
      </c>
      <c r="U835" s="142">
        <v>110404.53614375308</v>
      </c>
      <c r="AE835" s="137">
        <f t="shared" si="64"/>
        <v>5.2213269902661894</v>
      </c>
      <c r="AF835" s="131">
        <f t="shared" ca="1" si="60"/>
        <v>-94732130.778491363</v>
      </c>
      <c r="AG835" s="131">
        <f t="shared" ca="1" si="61"/>
        <v>-11455011.871267928</v>
      </c>
      <c r="AI835" s="131">
        <f t="shared" si="62"/>
        <v>-88077807.696404055</v>
      </c>
      <c r="AJ835" s="31">
        <f t="shared" si="63"/>
        <v>110404.53614375308</v>
      </c>
    </row>
    <row r="836" spans="15:36">
      <c r="O836" s="15">
        <v>833</v>
      </c>
      <c r="P836" s="33">
        <v>3930276.979502067</v>
      </c>
      <c r="Q836" s="33">
        <v>74389916.770935267</v>
      </c>
      <c r="R836" s="146">
        <v>-70459639.7914332</v>
      </c>
      <c r="S836" s="31">
        <v>171014.50153531056</v>
      </c>
      <c r="T836" s="31">
        <v>4723.8542094635277</v>
      </c>
      <c r="U836" s="142">
        <v>166290.64732584704</v>
      </c>
      <c r="AE836" s="137">
        <f t="shared" si="64"/>
        <v>5.2276101755733686</v>
      </c>
      <c r="AF836" s="131">
        <f t="shared" ca="1" si="60"/>
        <v>-94862864.806987137</v>
      </c>
      <c r="AG836" s="131">
        <f t="shared" ca="1" si="61"/>
        <v>-11586067.967207357</v>
      </c>
      <c r="AI836" s="131">
        <f t="shared" si="62"/>
        <v>-70459639.7914332</v>
      </c>
      <c r="AJ836" s="31">
        <f t="shared" si="63"/>
        <v>166290.64732584704</v>
      </c>
    </row>
    <row r="837" spans="15:36">
      <c r="O837" s="15">
        <v>834</v>
      </c>
      <c r="P837" s="33">
        <v>3305294.5248219944</v>
      </c>
      <c r="Q837" s="33">
        <v>67816543.871648341</v>
      </c>
      <c r="R837" s="146">
        <v>-64511249.346826345</v>
      </c>
      <c r="S837" s="31">
        <v>116158.12921822115</v>
      </c>
      <c r="T837" s="31">
        <v>15590.046055435741</v>
      </c>
      <c r="U837" s="142">
        <v>100568.08316278541</v>
      </c>
      <c r="AE837" s="137">
        <f t="shared" si="64"/>
        <v>5.2338933608805478</v>
      </c>
      <c r="AF837" s="131">
        <f t="shared" ref="AF837:AF900" ca="1" si="65">(AB$25*AC$19*COS(AE837)+AC$25*AC$20*SIN(AE837))+X$9</f>
        <v>-94993134.518313915</v>
      </c>
      <c r="AG837" s="131">
        <f t="shared" ref="AG837:AG900" ca="1" si="66">(AC$26*AC$19*COS(AE837)+AC$26*AC$20*SIN(AE837))+Y$9</f>
        <v>-11716663.339734821</v>
      </c>
      <c r="AI837" s="131">
        <f t="shared" ref="AI837:AI900" si="67">R837</f>
        <v>-64511249.346826345</v>
      </c>
      <c r="AJ837" s="31">
        <f t="shared" ref="AJ837:AJ900" si="68">U837</f>
        <v>100568.08316278541</v>
      </c>
    </row>
    <row r="838" spans="15:36">
      <c r="O838" s="15">
        <v>835</v>
      </c>
      <c r="P838" s="33">
        <v>3452357.4841533946</v>
      </c>
      <c r="Q838" s="33">
        <v>103773400.85616238</v>
      </c>
      <c r="R838" s="146">
        <v>-100321043.37200899</v>
      </c>
      <c r="S838" s="31">
        <v>84362.42769865536</v>
      </c>
      <c r="T838" s="31">
        <v>11690.111296102834</v>
      </c>
      <c r="U838" s="142">
        <v>72672.316402552533</v>
      </c>
      <c r="AE838" s="137">
        <f t="shared" si="64"/>
        <v>5.240176546187727</v>
      </c>
      <c r="AF838" s="131">
        <f t="shared" ca="1" si="65"/>
        <v>-95122934.769646525</v>
      </c>
      <c r="AG838" s="131">
        <f t="shared" ca="1" si="66"/>
        <v>-11846792.833168631</v>
      </c>
      <c r="AI838" s="131">
        <f t="shared" si="67"/>
        <v>-100321043.37200899</v>
      </c>
      <c r="AJ838" s="31">
        <f t="shared" si="68"/>
        <v>72672.316402552533</v>
      </c>
    </row>
    <row r="839" spans="15:36">
      <c r="O839" s="15">
        <v>836</v>
      </c>
      <c r="P839" s="33">
        <v>3174351.9676147648</v>
      </c>
      <c r="Q839" s="33">
        <v>81569860.400044695</v>
      </c>
      <c r="R839" s="146">
        <v>-78395508.432429925</v>
      </c>
      <c r="S839" s="31">
        <v>135800.95078624686</v>
      </c>
      <c r="T839" s="31">
        <v>14599.149063603827</v>
      </c>
      <c r="U839" s="142">
        <v>121201.80172264304</v>
      </c>
      <c r="AE839" s="137">
        <f t="shared" ref="AE839:AE902" si="69">AE838+AE$5</f>
        <v>5.2464597314949062</v>
      </c>
      <c r="AF839" s="131">
        <f t="shared" ca="1" si="65"/>
        <v>-95252260.436693311</v>
      </c>
      <c r="AG839" s="131">
        <f t="shared" ca="1" si="66"/>
        <v>-11976451.3102192</v>
      </c>
      <c r="AI839" s="131">
        <f t="shared" si="67"/>
        <v>-78395508.432429925</v>
      </c>
      <c r="AJ839" s="31">
        <f t="shared" si="68"/>
        <v>121201.80172264304</v>
      </c>
    </row>
    <row r="840" spans="15:36">
      <c r="O840" s="15">
        <v>837</v>
      </c>
      <c r="P840" s="33">
        <v>3410816.8067114139</v>
      </c>
      <c r="Q840" s="33">
        <v>103984604.60831669</v>
      </c>
      <c r="R840" s="146">
        <v>-100573787.80160527</v>
      </c>
      <c r="S840" s="31">
        <v>110586.71320151149</v>
      </c>
      <c r="T840" s="31">
        <v>14698.011015176928</v>
      </c>
      <c r="U840" s="142">
        <v>95888.702186334558</v>
      </c>
      <c r="AE840" s="137">
        <f t="shared" si="69"/>
        <v>5.2527429168020854</v>
      </c>
      <c r="AF840" s="131">
        <f t="shared" ca="1" si="65"/>
        <v>-95381106.413898364</v>
      </c>
      <c r="AG840" s="131">
        <f t="shared" ca="1" si="66"/>
        <v>-12105633.652191868</v>
      </c>
      <c r="AI840" s="131">
        <f t="shared" si="67"/>
        <v>-100573787.80160527</v>
      </c>
      <c r="AJ840" s="31">
        <f t="shared" si="68"/>
        <v>95888.702186334558</v>
      </c>
    </row>
    <row r="841" spans="15:36">
      <c r="O841" s="15">
        <v>838</v>
      </c>
      <c r="P841" s="33">
        <v>3451303.588876388</v>
      </c>
      <c r="Q841" s="33">
        <v>83503387.183450356</v>
      </c>
      <c r="R841" s="146">
        <v>-80052083.594573975</v>
      </c>
      <c r="S841" s="31">
        <v>101381.98507227721</v>
      </c>
      <c r="T841" s="31">
        <v>7008.8044288405881</v>
      </c>
      <c r="U841" s="142">
        <v>94373.180643436615</v>
      </c>
      <c r="AE841" s="137">
        <f t="shared" si="69"/>
        <v>5.2590261021092646</v>
      </c>
      <c r="AF841" s="131">
        <f t="shared" ca="1" si="65"/>
        <v>-95509467.614643142</v>
      </c>
      <c r="AG841" s="131">
        <f t="shared" ca="1" si="66"/>
        <v>-12234334.759188965</v>
      </c>
      <c r="AI841" s="131">
        <f t="shared" si="67"/>
        <v>-80052083.594573975</v>
      </c>
      <c r="AJ841" s="31">
        <f t="shared" si="68"/>
        <v>94373.180643436615</v>
      </c>
    </row>
    <row r="842" spans="15:36">
      <c r="O842" s="15">
        <v>839</v>
      </c>
      <c r="P842" s="33">
        <v>3443837.2134292303</v>
      </c>
      <c r="Q842" s="33">
        <v>77402267.324401751</v>
      </c>
      <c r="R842" s="146">
        <v>-73958430.110972524</v>
      </c>
      <c r="S842" s="31">
        <v>47507.712685967432</v>
      </c>
      <c r="T842" s="31">
        <v>8072.6484282778565</v>
      </c>
      <c r="U842" s="142">
        <v>39435.064257689577</v>
      </c>
      <c r="AE842" s="137">
        <f t="shared" si="69"/>
        <v>5.2653092874164438</v>
      </c>
      <c r="AF842" s="131">
        <f t="shared" ca="1" si="65"/>
        <v>-95637338.971447229</v>
      </c>
      <c r="AG842" s="131">
        <f t="shared" ca="1" si="66"/>
        <v>-12362549.550311159</v>
      </c>
      <c r="AI842" s="131">
        <f t="shared" si="67"/>
        <v>-73958430.110972524</v>
      </c>
      <c r="AJ842" s="31">
        <f t="shared" si="68"/>
        <v>39435.064257689577</v>
      </c>
    </row>
    <row r="843" spans="15:36">
      <c r="O843" s="15">
        <v>840</v>
      </c>
      <c r="P843" s="33">
        <v>3618294.5915537272</v>
      </c>
      <c r="Q843" s="33">
        <v>79065919.710820168</v>
      </c>
      <c r="R843" s="146">
        <v>-75447625.119266436</v>
      </c>
      <c r="S843" s="31">
        <v>38745.664314122128</v>
      </c>
      <c r="T843" s="31">
        <v>12151.632501118163</v>
      </c>
      <c r="U843" s="142">
        <v>26594.031813003967</v>
      </c>
      <c r="AE843" s="137">
        <f t="shared" si="69"/>
        <v>5.271592472723623</v>
      </c>
      <c r="AF843" s="131">
        <f t="shared" ca="1" si="65"/>
        <v>-95764715.436168402</v>
      </c>
      <c r="AG843" s="131">
        <f t="shared" ca="1" si="66"/>
        <v>-12490272.963858042</v>
      </c>
      <c r="AI843" s="131">
        <f t="shared" si="67"/>
        <v>-75447625.119266436</v>
      </c>
      <c r="AJ843" s="31">
        <f t="shared" si="68"/>
        <v>26594.031813003967</v>
      </c>
    </row>
    <row r="844" spans="15:36">
      <c r="O844" s="15">
        <v>841</v>
      </c>
      <c r="P844" s="33">
        <v>2575610.0723917112</v>
      </c>
      <c r="Q844" s="33">
        <v>90287828.010842159</v>
      </c>
      <c r="R844" s="146">
        <v>-87712217.938450456</v>
      </c>
      <c r="S844" s="31">
        <v>60028.916889419386</v>
      </c>
      <c r="T844" s="31">
        <v>15884.559135248042</v>
      </c>
      <c r="U844" s="142">
        <v>44144.357754171346</v>
      </c>
      <c r="AE844" s="137">
        <f t="shared" si="69"/>
        <v>5.2778756580308022</v>
      </c>
      <c r="AF844" s="131">
        <f t="shared" ca="1" si="65"/>
        <v>-95891591.98020193</v>
      </c>
      <c r="AG844" s="131">
        <f t="shared" ca="1" si="66"/>
        <v>-12617499.957527939</v>
      </c>
      <c r="AI844" s="131">
        <f t="shared" si="67"/>
        <v>-87712217.938450456</v>
      </c>
      <c r="AJ844" s="31">
        <f t="shared" si="68"/>
        <v>44144.357754171346</v>
      </c>
    </row>
    <row r="845" spans="15:36">
      <c r="O845" s="15">
        <v>842</v>
      </c>
      <c r="P845" s="33">
        <v>2700893.1627668468</v>
      </c>
      <c r="Q845" s="33">
        <v>80431929.137699068</v>
      </c>
      <c r="R845" s="146">
        <v>-77731035.974932224</v>
      </c>
      <c r="S845" s="31">
        <v>136775.5033174422</v>
      </c>
      <c r="T845" s="31">
        <v>5531.6260045019026</v>
      </c>
      <c r="U845" s="142">
        <v>131243.87731294028</v>
      </c>
      <c r="AE845" s="137">
        <f t="shared" si="69"/>
        <v>5.2841588433379814</v>
      </c>
      <c r="AF845" s="131">
        <f t="shared" ca="1" si="65"/>
        <v>-96017963.594679102</v>
      </c>
      <c r="AG845" s="131">
        <f t="shared" ca="1" si="66"/>
        <v>-12744225.508616986</v>
      </c>
      <c r="AI845" s="131">
        <f t="shared" si="67"/>
        <v>-77731035.974932224</v>
      </c>
      <c r="AJ845" s="31">
        <f t="shared" si="68"/>
        <v>131243.87731294028</v>
      </c>
    </row>
    <row r="846" spans="15:36">
      <c r="O846" s="15">
        <v>843</v>
      </c>
      <c r="P846" s="33">
        <v>2976599.6751496322</v>
      </c>
      <c r="Q846" s="33">
        <v>83167115.178209201</v>
      </c>
      <c r="R846" s="146">
        <v>-80190515.503059566</v>
      </c>
      <c r="S846" s="31">
        <v>83693.799844530004</v>
      </c>
      <c r="T846" s="31">
        <v>16444.878200645326</v>
      </c>
      <c r="U846" s="142">
        <v>67248.921643884678</v>
      </c>
      <c r="AE846" s="137">
        <f t="shared" si="69"/>
        <v>5.2904420286451606</v>
      </c>
      <c r="AF846" s="131">
        <f t="shared" ca="1" si="65"/>
        <v>-96143825.290664986</v>
      </c>
      <c r="AG846" s="131">
        <f t="shared" ca="1" si="66"/>
        <v>-12870444.614217421</v>
      </c>
      <c r="AI846" s="131">
        <f t="shared" si="67"/>
        <v>-80190515.503059566</v>
      </c>
      <c r="AJ846" s="31">
        <f t="shared" si="68"/>
        <v>67248.921643884678</v>
      </c>
    </row>
    <row r="847" spans="15:36">
      <c r="O847" s="15">
        <v>844</v>
      </c>
      <c r="P847" s="33">
        <v>3403417.8964867266</v>
      </c>
      <c r="Q847" s="33">
        <v>98548776.564057156</v>
      </c>
      <c r="R847" s="146">
        <v>-95145358.667570427</v>
      </c>
      <c r="S847" s="31">
        <v>63790.864617023173</v>
      </c>
      <c r="T847" s="31">
        <v>20153.890734898312</v>
      </c>
      <c r="U847" s="142">
        <v>43636.973882124861</v>
      </c>
      <c r="AE847" s="137">
        <f t="shared" si="69"/>
        <v>5.2967252139523398</v>
      </c>
      <c r="AF847" s="131">
        <f t="shared" ca="1" si="65"/>
        <v>-96269172.09935531</v>
      </c>
      <c r="AG847" s="131">
        <f t="shared" ca="1" si="66"/>
        <v>-12996152.291415069</v>
      </c>
      <c r="AI847" s="131">
        <f t="shared" si="67"/>
        <v>-95145358.667570427</v>
      </c>
      <c r="AJ847" s="31">
        <f t="shared" si="68"/>
        <v>43636.973882124861</v>
      </c>
    </row>
    <row r="848" spans="15:36">
      <c r="O848" s="15">
        <v>845</v>
      </c>
      <c r="P848" s="33">
        <v>3647761.0323448428</v>
      </c>
      <c r="Q848" s="33">
        <v>77861681.945930988</v>
      </c>
      <c r="R848" s="146">
        <v>-74213920.91358614</v>
      </c>
      <c r="S848" s="31">
        <v>134914.55465292389</v>
      </c>
      <c r="T848" s="31">
        <v>11888.827427789152</v>
      </c>
      <c r="U848" s="142">
        <v>123025.72722513475</v>
      </c>
      <c r="AE848" s="137">
        <f t="shared" si="69"/>
        <v>5.3030083992595189</v>
      </c>
      <c r="AF848" s="131">
        <f t="shared" ca="1" si="65"/>
        <v>-96393999.072272703</v>
      </c>
      <c r="AG848" s="131">
        <f t="shared" ca="1" si="66"/>
        <v>-13121343.577486088</v>
      </c>
      <c r="AI848" s="131">
        <f t="shared" si="67"/>
        <v>-74213920.91358614</v>
      </c>
      <c r="AJ848" s="31">
        <f t="shared" si="68"/>
        <v>123025.72722513475</v>
      </c>
    </row>
    <row r="849" spans="15:36">
      <c r="O849" s="15">
        <v>846</v>
      </c>
      <c r="P849" s="33">
        <v>3180092.69608032</v>
      </c>
      <c r="Q849" s="33">
        <v>82667339.057875127</v>
      </c>
      <c r="R849" s="146">
        <v>-79487246.3617948</v>
      </c>
      <c r="S849" s="31">
        <v>136870.52405590966</v>
      </c>
      <c r="T849" s="31">
        <v>18138.421580566861</v>
      </c>
      <c r="U849" s="142">
        <v>118732.10247534279</v>
      </c>
      <c r="AE849" s="137">
        <f t="shared" si="69"/>
        <v>5.3092915845666981</v>
      </c>
      <c r="AF849" s="131">
        <f t="shared" ca="1" si="65"/>
        <v>-96518301.281462014</v>
      </c>
      <c r="AG849" s="131">
        <f t="shared" ca="1" si="66"/>
        <v>-13246013.530092863</v>
      </c>
      <c r="AI849" s="131">
        <f t="shared" si="67"/>
        <v>-79487246.3617948</v>
      </c>
      <c r="AJ849" s="31">
        <f t="shared" si="68"/>
        <v>118732.10247534279</v>
      </c>
    </row>
    <row r="850" spans="15:36">
      <c r="O850" s="15">
        <v>847</v>
      </c>
      <c r="P850" s="33">
        <v>3129533.2818008363</v>
      </c>
      <c r="Q850" s="33">
        <v>105954431.25643694</v>
      </c>
      <c r="R850" s="146">
        <v>-102824897.97463611</v>
      </c>
      <c r="S850" s="31">
        <v>88731.200035449336</v>
      </c>
      <c r="T850" s="31">
        <v>8446.833913197026</v>
      </c>
      <c r="U850" s="142">
        <v>80284.366122252308</v>
      </c>
      <c r="AE850" s="137">
        <f t="shared" si="69"/>
        <v>5.3155747698738773</v>
      </c>
      <c r="AF850" s="131">
        <f t="shared" ca="1" si="65"/>
        <v>-96642073.819684863</v>
      </c>
      <c r="AG850" s="131">
        <f t="shared" ca="1" si="66"/>
        <v>-13370157.22747913</v>
      </c>
      <c r="AI850" s="131">
        <f t="shared" si="67"/>
        <v>-102824897.97463611</v>
      </c>
      <c r="AJ850" s="31">
        <f t="shared" si="68"/>
        <v>80284.366122252308</v>
      </c>
    </row>
    <row r="851" spans="15:36">
      <c r="O851" s="15">
        <v>848</v>
      </c>
      <c r="P851" s="33">
        <v>3670444.5164831374</v>
      </c>
      <c r="Q851" s="33">
        <v>98485668.106937408</v>
      </c>
      <c r="R851" s="146">
        <v>-94815223.590454265</v>
      </c>
      <c r="S851" s="31">
        <v>85559.992003241365</v>
      </c>
      <c r="T851" s="31">
        <v>10326.23896734239</v>
      </c>
      <c r="U851" s="142">
        <v>75233.753035898975</v>
      </c>
      <c r="AE851" s="137">
        <f t="shared" si="69"/>
        <v>5.3218579551810565</v>
      </c>
      <c r="AF851" s="131">
        <f t="shared" ca="1" si="65"/>
        <v>-96765311.800613359</v>
      </c>
      <c r="AG851" s="131">
        <f t="shared" ca="1" si="66"/>
        <v>-13493769.768664287</v>
      </c>
      <c r="AI851" s="131">
        <f t="shared" si="67"/>
        <v>-94815223.590454265</v>
      </c>
      <c r="AJ851" s="31">
        <f t="shared" si="68"/>
        <v>75233.753035898975</v>
      </c>
    </row>
    <row r="852" spans="15:36">
      <c r="O852" s="15">
        <v>849</v>
      </c>
      <c r="P852" s="33">
        <v>3539717.9555892223</v>
      </c>
      <c r="Q852" s="33">
        <v>101116160.1497629</v>
      </c>
      <c r="R852" s="146">
        <v>-97576442.194173679</v>
      </c>
      <c r="S852" s="31">
        <v>87579.775549272294</v>
      </c>
      <c r="T852" s="31">
        <v>10412.069941225065</v>
      </c>
      <c r="U852" s="142">
        <v>77167.705608047225</v>
      </c>
      <c r="AE852" s="137">
        <f t="shared" si="69"/>
        <v>5.3281411404882357</v>
      </c>
      <c r="AF852" s="131">
        <f t="shared" ca="1" si="65"/>
        <v>-96888010.359023064</v>
      </c>
      <c r="AG852" s="131">
        <f t="shared" ca="1" si="66"/>
        <v>-13616846.273636872</v>
      </c>
      <c r="AI852" s="131">
        <f t="shared" si="67"/>
        <v>-97576442.194173679</v>
      </c>
      <c r="AJ852" s="31">
        <f t="shared" si="68"/>
        <v>77167.705608047225</v>
      </c>
    </row>
    <row r="853" spans="15:36">
      <c r="O853" s="15">
        <v>850</v>
      </c>
      <c r="P853" s="33">
        <v>3271217.0248554125</v>
      </c>
      <c r="Q853" s="33">
        <v>87076715.174602896</v>
      </c>
      <c r="R853" s="146">
        <v>-83805498.149747491</v>
      </c>
      <c r="S853" s="31">
        <v>139815.63981318183</v>
      </c>
      <c r="T853" s="31">
        <v>13495.379642092714</v>
      </c>
      <c r="U853" s="142">
        <v>126320.26017108912</v>
      </c>
      <c r="AE853" s="137">
        <f t="shared" si="69"/>
        <v>5.3344243257954149</v>
      </c>
      <c r="AF853" s="131">
        <f t="shared" ca="1" si="65"/>
        <v>-97010164.650984943</v>
      </c>
      <c r="AG853" s="131">
        <f t="shared" ca="1" si="66"/>
        <v>-13739381.883547198</v>
      </c>
      <c r="AI853" s="131">
        <f t="shared" si="67"/>
        <v>-83805498.149747491</v>
      </c>
      <c r="AJ853" s="31">
        <f t="shared" si="68"/>
        <v>126320.26017108912</v>
      </c>
    </row>
    <row r="854" spans="15:36">
      <c r="O854" s="15">
        <v>851</v>
      </c>
      <c r="P854" s="33">
        <v>3209322.634149251</v>
      </c>
      <c r="Q854" s="33">
        <v>89483283.200983822</v>
      </c>
      <c r="R854" s="146">
        <v>-86273960.566834569</v>
      </c>
      <c r="S854" s="31">
        <v>93204.558685947399</v>
      </c>
      <c r="T854" s="31">
        <v>13807.688508200763</v>
      </c>
      <c r="U854" s="142">
        <v>79396.870177746634</v>
      </c>
      <c r="AE854" s="137">
        <f t="shared" si="69"/>
        <v>5.3407075111025941</v>
      </c>
      <c r="AF854" s="131">
        <f t="shared" ca="1" si="65"/>
        <v>-97131769.854056746</v>
      </c>
      <c r="AG854" s="131">
        <f t="shared" ca="1" si="66"/>
        <v>-13861371.760899212</v>
      </c>
      <c r="AI854" s="131">
        <f t="shared" si="67"/>
        <v>-86273960.566834569</v>
      </c>
      <c r="AJ854" s="31">
        <f t="shared" si="68"/>
        <v>79396.870177746634</v>
      </c>
    </row>
    <row r="855" spans="15:36">
      <c r="O855" s="15">
        <v>852</v>
      </c>
      <c r="P855" s="33">
        <v>2995767.2927567149</v>
      </c>
      <c r="Q855" s="33">
        <v>105774215.04670601</v>
      </c>
      <c r="R855" s="146">
        <v>-102778447.75394928</v>
      </c>
      <c r="S855" s="31">
        <v>52220.583651209556</v>
      </c>
      <c r="T855" s="31">
        <v>9089.8935673523883</v>
      </c>
      <c r="U855" s="142">
        <v>43130.690083857167</v>
      </c>
      <c r="AE855" s="137">
        <f t="shared" si="69"/>
        <v>5.3469906964097733</v>
      </c>
      <c r="AF855" s="131">
        <f t="shared" ca="1" si="65"/>
        <v>-97252821.167473271</v>
      </c>
      <c r="AG855" s="131">
        <f t="shared" ca="1" si="66"/>
        <v>-13982811.089741429</v>
      </c>
      <c r="AI855" s="131">
        <f t="shared" si="67"/>
        <v>-102778447.75394928</v>
      </c>
      <c r="AJ855" s="31">
        <f t="shared" si="68"/>
        <v>43130.690083857167</v>
      </c>
    </row>
    <row r="856" spans="15:36">
      <c r="O856" s="15">
        <v>853</v>
      </c>
      <c r="P856" s="33">
        <v>3030866.3098389092</v>
      </c>
      <c r="Q856" s="33">
        <v>85289782.242032498</v>
      </c>
      <c r="R856" s="146">
        <v>-82258915.932193592</v>
      </c>
      <c r="S856" s="31">
        <v>39599.506290200181</v>
      </c>
      <c r="T856" s="31">
        <v>21495.723365690163</v>
      </c>
      <c r="U856" s="142">
        <v>18103.782924510018</v>
      </c>
      <c r="AE856" s="137">
        <f t="shared" si="69"/>
        <v>5.3532738817169525</v>
      </c>
      <c r="AF856" s="131">
        <f t="shared" ca="1" si="65"/>
        <v>-97373313.812335923</v>
      </c>
      <c r="AG856" s="131">
        <f t="shared" ca="1" si="66"/>
        <v>-14103695.075857086</v>
      </c>
      <c r="AI856" s="131">
        <f t="shared" si="67"/>
        <v>-82258915.932193592</v>
      </c>
      <c r="AJ856" s="31">
        <f t="shared" si="68"/>
        <v>18103.782924510018</v>
      </c>
    </row>
    <row r="857" spans="15:36">
      <c r="O857" s="15">
        <v>854</v>
      </c>
      <c r="P857" s="33">
        <v>3254105.3762348993</v>
      </c>
      <c r="Q857" s="33">
        <v>78847417.346480966</v>
      </c>
      <c r="R857" s="146">
        <v>-75593311.970246062</v>
      </c>
      <c r="S857" s="31">
        <v>61089.908519190591</v>
      </c>
      <c r="T857" s="31">
        <v>16684.231703752346</v>
      </c>
      <c r="U857" s="142">
        <v>44405.676815438244</v>
      </c>
      <c r="AE857" s="137">
        <f t="shared" si="69"/>
        <v>5.3595570670241317</v>
      </c>
      <c r="AF857" s="131">
        <f t="shared" ca="1" si="65"/>
        <v>-97493243.031801417</v>
      </c>
      <c r="AG857" s="131">
        <f t="shared" ca="1" si="66"/>
        <v>-14224018.946953397</v>
      </c>
      <c r="AI857" s="131">
        <f t="shared" si="67"/>
        <v>-75593311.970246062</v>
      </c>
      <c r="AJ857" s="31">
        <f t="shared" si="68"/>
        <v>44405.676815438244</v>
      </c>
    </row>
    <row r="858" spans="15:36">
      <c r="O858" s="15">
        <v>855</v>
      </c>
      <c r="P858" s="33">
        <v>3104739.7902336279</v>
      </c>
      <c r="Q858" s="33">
        <v>94839905.831526205</v>
      </c>
      <c r="R858" s="146">
        <v>-91735166.041292578</v>
      </c>
      <c r="S858" s="31">
        <v>165384.86968384267</v>
      </c>
      <c r="T858" s="31">
        <v>9322.6961487297522</v>
      </c>
      <c r="U858" s="142">
        <v>156062.17353511293</v>
      </c>
      <c r="AE858" s="137">
        <f t="shared" si="69"/>
        <v>5.3658402523313109</v>
      </c>
      <c r="AF858" s="131">
        <f t="shared" ca="1" si="65"/>
        <v>-97612604.091269508</v>
      </c>
      <c r="AG858" s="131">
        <f t="shared" ca="1" si="66"/>
        <v>-14343777.95284996</v>
      </c>
      <c r="AI858" s="131">
        <f t="shared" si="67"/>
        <v>-91735166.041292578</v>
      </c>
      <c r="AJ858" s="31">
        <f t="shared" si="68"/>
        <v>156062.17353511293</v>
      </c>
    </row>
    <row r="859" spans="15:36">
      <c r="O859" s="15">
        <v>856</v>
      </c>
      <c r="P859" s="33">
        <v>3034940.2490580976</v>
      </c>
      <c r="Q859" s="33">
        <v>89076452.08743085</v>
      </c>
      <c r="R859" s="146">
        <v>-86041511.838372752</v>
      </c>
      <c r="S859" s="31">
        <v>77215.351746232918</v>
      </c>
      <c r="T859" s="31">
        <v>6188.0139952859754</v>
      </c>
      <c r="U859" s="142">
        <v>71027.337750946943</v>
      </c>
      <c r="AE859" s="137">
        <f t="shared" si="69"/>
        <v>5.3721234376384901</v>
      </c>
      <c r="AF859" s="131">
        <f t="shared" ca="1" si="65"/>
        <v>-97731392.278569952</v>
      </c>
      <c r="AG859" s="131">
        <f t="shared" ca="1" si="66"/>
        <v>-14462967.365666281</v>
      </c>
      <c r="AI859" s="131">
        <f t="shared" si="67"/>
        <v>-86041511.838372752</v>
      </c>
      <c r="AJ859" s="31">
        <f t="shared" si="68"/>
        <v>71027.337750946943</v>
      </c>
    </row>
    <row r="860" spans="15:36">
      <c r="O860" s="15">
        <v>857</v>
      </c>
      <c r="P860" s="33">
        <v>3743899.0967595172</v>
      </c>
      <c r="Q860" s="33">
        <v>89895565.051166698</v>
      </c>
      <c r="R860" s="146">
        <v>-86151665.954407185</v>
      </c>
      <c r="S860" s="31">
        <v>70087.574593882149</v>
      </c>
      <c r="T860" s="31">
        <v>10129.166926417649</v>
      </c>
      <c r="U860" s="142">
        <v>59958.407667464504</v>
      </c>
      <c r="AE860" s="137">
        <f t="shared" si="69"/>
        <v>5.3784066229456693</v>
      </c>
      <c r="AF860" s="131">
        <f t="shared" ca="1" si="65"/>
        <v>-97849602.904148504</v>
      </c>
      <c r="AG860" s="131">
        <f t="shared" ca="1" si="66"/>
        <v>-14581582.480008429</v>
      </c>
      <c r="AI860" s="131">
        <f t="shared" si="67"/>
        <v>-86151665.954407185</v>
      </c>
      <c r="AJ860" s="31">
        <f t="shared" si="68"/>
        <v>59958.407667464504</v>
      </c>
    </row>
    <row r="861" spans="15:36">
      <c r="O861" s="15">
        <v>858</v>
      </c>
      <c r="P861" s="33">
        <v>3353689.3186627016</v>
      </c>
      <c r="Q861" s="33">
        <v>66139815.694958828</v>
      </c>
      <c r="R861" s="146">
        <v>-62786126.376296125</v>
      </c>
      <c r="S861" s="31">
        <v>170179.76402752561</v>
      </c>
      <c r="T861" s="31">
        <v>7937.956501367652</v>
      </c>
      <c r="U861" s="142">
        <v>162241.80752615797</v>
      </c>
      <c r="AE861" s="137">
        <f t="shared" si="69"/>
        <v>5.3846898082528485</v>
      </c>
      <c r="AF861" s="131">
        <f t="shared" ca="1" si="65"/>
        <v>-97967231.301252097</v>
      </c>
      <c r="AG861" s="131">
        <f t="shared" ca="1" si="66"/>
        <v>-14699618.613154789</v>
      </c>
      <c r="AI861" s="131">
        <f t="shared" si="67"/>
        <v>-62786126.376296125</v>
      </c>
      <c r="AJ861" s="31">
        <f t="shared" si="68"/>
        <v>162241.80752615797</v>
      </c>
    </row>
    <row r="862" spans="15:36">
      <c r="O862" s="15">
        <v>859</v>
      </c>
      <c r="P862" s="33">
        <v>3629728.2890245086</v>
      </c>
      <c r="Q862" s="33">
        <v>83228658.17884773</v>
      </c>
      <c r="R862" s="146">
        <v>-79598929.889823228</v>
      </c>
      <c r="S862" s="31">
        <v>239158.56886380428</v>
      </c>
      <c r="T862" s="31">
        <v>9983.2004161894092</v>
      </c>
      <c r="U862" s="142">
        <v>229175.36844761486</v>
      </c>
      <c r="AE862" s="137">
        <f t="shared" si="69"/>
        <v>5.3909729935600277</v>
      </c>
      <c r="AF862" s="131">
        <f t="shared" ca="1" si="65"/>
        <v>-98084272.826112986</v>
      </c>
      <c r="AG862" s="131">
        <f t="shared" ca="1" si="66"/>
        <v>-14817071.105240935</v>
      </c>
      <c r="AI862" s="131">
        <f t="shared" si="67"/>
        <v>-79598929.889823228</v>
      </c>
      <c r="AJ862" s="31">
        <f t="shared" si="68"/>
        <v>229175.36844761486</v>
      </c>
    </row>
    <row r="863" spans="15:36">
      <c r="O863" s="15">
        <v>860</v>
      </c>
      <c r="P863" s="33">
        <v>2804650.4065697659</v>
      </c>
      <c r="Q863" s="33">
        <v>93209302.475044206</v>
      </c>
      <c r="R863" s="146">
        <v>-90404652.068474442</v>
      </c>
      <c r="S863" s="31">
        <v>60864.866302000053</v>
      </c>
      <c r="T863" s="31">
        <v>8593.7093622304674</v>
      </c>
      <c r="U863" s="142">
        <v>52271.156939769586</v>
      </c>
      <c r="AE863" s="137">
        <f t="shared" si="69"/>
        <v>5.3972561788672069</v>
      </c>
      <c r="AF863" s="131">
        <f t="shared" ca="1" si="65"/>
        <v>-98200722.858132213</v>
      </c>
      <c r="AG863" s="131">
        <f t="shared" ca="1" si="66"/>
        <v>-14933935.319443591</v>
      </c>
      <c r="AI863" s="131">
        <f t="shared" si="67"/>
        <v>-90404652.068474442</v>
      </c>
      <c r="AJ863" s="31">
        <f t="shared" si="68"/>
        <v>52271.156939769586</v>
      </c>
    </row>
    <row r="864" spans="15:36">
      <c r="O864" s="15">
        <v>861</v>
      </c>
      <c r="P864" s="33">
        <v>3397981.8866865365</v>
      </c>
      <c r="Q864" s="33">
        <v>84429568.208100557</v>
      </c>
      <c r="R864" s="146">
        <v>-81031586.321414024</v>
      </c>
      <c r="S864" s="31">
        <v>112937.42004881523</v>
      </c>
      <c r="T864" s="31">
        <v>15287.277112601078</v>
      </c>
      <c r="U864" s="142">
        <v>97650.14293621415</v>
      </c>
      <c r="AE864" s="137">
        <f t="shared" si="69"/>
        <v>5.4035393641743861</v>
      </c>
      <c r="AF864" s="131">
        <f t="shared" ca="1" si="65"/>
        <v>-98316576.800061911</v>
      </c>
      <c r="AG864" s="131">
        <f t="shared" ca="1" si="66"/>
        <v>-15050206.642163686</v>
      </c>
      <c r="AI864" s="131">
        <f t="shared" si="67"/>
        <v>-81031586.321414024</v>
      </c>
      <c r="AJ864" s="31">
        <f t="shared" si="68"/>
        <v>97650.14293621415</v>
      </c>
    </row>
    <row r="865" spans="15:36">
      <c r="O865" s="15">
        <v>862</v>
      </c>
      <c r="P865" s="33">
        <v>3247157.4058114388</v>
      </c>
      <c r="Q865" s="33">
        <v>77483537.156705737</v>
      </c>
      <c r="R865" s="146">
        <v>-74236379.750894293</v>
      </c>
      <c r="S865" s="31">
        <v>138159.13208371241</v>
      </c>
      <c r="T865" s="31">
        <v>7633.2974210485154</v>
      </c>
      <c r="U865" s="142">
        <v>130525.8346626639</v>
      </c>
      <c r="AE865" s="137">
        <f t="shared" si="69"/>
        <v>5.4098225494815653</v>
      </c>
      <c r="AF865" s="131">
        <f t="shared" ca="1" si="65"/>
        <v>-98431830.078186795</v>
      </c>
      <c r="AG865" s="131">
        <f t="shared" ca="1" si="66"/>
        <v>-15165880.483208481</v>
      </c>
      <c r="AI865" s="131">
        <f t="shared" si="67"/>
        <v>-74236379.750894293</v>
      </c>
      <c r="AJ865" s="31">
        <f t="shared" si="68"/>
        <v>130525.8346626639</v>
      </c>
    </row>
    <row r="866" spans="15:36">
      <c r="O866" s="15">
        <v>863</v>
      </c>
      <c r="P866" s="33">
        <v>3277942.8923777305</v>
      </c>
      <c r="Q866" s="33">
        <v>94191491.136528686</v>
      </c>
      <c r="R866" s="146">
        <v>-90913548.244150952</v>
      </c>
      <c r="S866" s="31">
        <v>105656.94347500251</v>
      </c>
      <c r="T866" s="31">
        <v>9060.0652357305225</v>
      </c>
      <c r="U866" s="142">
        <v>96596.878239271988</v>
      </c>
      <c r="AE866" s="137">
        <f t="shared" si="69"/>
        <v>5.4161057347887445</v>
      </c>
      <c r="AF866" s="131">
        <f t="shared" ca="1" si="65"/>
        <v>-98546478.142504811</v>
      </c>
      <c r="AG866" s="131">
        <f t="shared" ca="1" si="66"/>
        <v>-15280952.275972806</v>
      </c>
      <c r="AI866" s="131">
        <f t="shared" si="67"/>
        <v>-90913548.244150952</v>
      </c>
      <c r="AJ866" s="31">
        <f t="shared" si="68"/>
        <v>96596.878239271988</v>
      </c>
    </row>
    <row r="867" spans="15:36">
      <c r="O867" s="15">
        <v>864</v>
      </c>
      <c r="P867" s="33">
        <v>3162238.5497072535</v>
      </c>
      <c r="Q867" s="33">
        <v>83479558.427050322</v>
      </c>
      <c r="R867" s="146">
        <v>-80317319.877343073</v>
      </c>
      <c r="S867" s="31">
        <v>85951.63426265138</v>
      </c>
      <c r="T867" s="31">
        <v>7669.4008868592337</v>
      </c>
      <c r="U867" s="142">
        <v>78282.233375792144</v>
      </c>
      <c r="AE867" s="137">
        <f t="shared" si="69"/>
        <v>5.4223889200959237</v>
      </c>
      <c r="AF867" s="131">
        <f t="shared" ca="1" si="65"/>
        <v>-98660516.466906682</v>
      </c>
      <c r="AG867" s="131">
        <f t="shared" ca="1" si="66"/>
        <v>-15395417.477619309</v>
      </c>
      <c r="AI867" s="131">
        <f t="shared" si="67"/>
        <v>-80317319.877343073</v>
      </c>
      <c r="AJ867" s="31">
        <f t="shared" si="68"/>
        <v>78282.233375792144</v>
      </c>
    </row>
    <row r="868" spans="15:36">
      <c r="O868" s="15">
        <v>865</v>
      </c>
      <c r="P868" s="33">
        <v>3337478.3253498892</v>
      </c>
      <c r="Q868" s="33">
        <v>75376781.347771719</v>
      </c>
      <c r="R868" s="146">
        <v>-72039303.022421837</v>
      </c>
      <c r="S868" s="31">
        <v>31796.177116382019</v>
      </c>
      <c r="T868" s="31">
        <v>5132.846857853503</v>
      </c>
      <c r="U868" s="142">
        <v>26663.330258528516</v>
      </c>
      <c r="AE868" s="137">
        <f t="shared" si="69"/>
        <v>5.4286721054031029</v>
      </c>
      <c r="AF868" s="131">
        <f t="shared" ca="1" si="65"/>
        <v>-98773940.549354628</v>
      </c>
      <c r="AG868" s="131">
        <f t="shared" ca="1" si="66"/>
        <v>-15509271.569257829</v>
      </c>
      <c r="AI868" s="131">
        <f t="shared" si="67"/>
        <v>-72039303.022421837</v>
      </c>
      <c r="AJ868" s="31">
        <f t="shared" si="68"/>
        <v>26663.330258528516</v>
      </c>
    </row>
    <row r="869" spans="15:36">
      <c r="O869" s="15">
        <v>866</v>
      </c>
      <c r="P869" s="33">
        <v>3107103.1750758244</v>
      </c>
      <c r="Q869" s="33">
        <v>91783017.057353854</v>
      </c>
      <c r="R869" s="146">
        <v>-88675913.882278025</v>
      </c>
      <c r="S869" s="31">
        <v>83238.484193450771</v>
      </c>
      <c r="T869" s="31">
        <v>5679.4988488670697</v>
      </c>
      <c r="U869" s="142">
        <v>77558.985344583707</v>
      </c>
      <c r="AE869" s="137">
        <f t="shared" si="69"/>
        <v>5.434955290710282</v>
      </c>
      <c r="AF869" s="131">
        <f t="shared" ca="1" si="65"/>
        <v>-98886745.912060082</v>
      </c>
      <c r="AG869" s="131">
        <f t="shared" ca="1" si="66"/>
        <v>-15622510.056123774</v>
      </c>
      <c r="AI869" s="131">
        <f t="shared" si="67"/>
        <v>-88675913.882278025</v>
      </c>
      <c r="AJ869" s="31">
        <f t="shared" si="68"/>
        <v>77558.985344583707</v>
      </c>
    </row>
    <row r="870" spans="15:36">
      <c r="O870" s="15">
        <v>867</v>
      </c>
      <c r="P870" s="33">
        <v>3288971.1029519965</v>
      </c>
      <c r="Q870" s="33">
        <v>85666113.500673011</v>
      </c>
      <c r="R870" s="146">
        <v>-82377142.397721007</v>
      </c>
      <c r="S870" s="31">
        <v>125942.61223680883</v>
      </c>
      <c r="T870" s="31">
        <v>13886.241697136258</v>
      </c>
      <c r="U870" s="142">
        <v>112056.37053967257</v>
      </c>
      <c r="AE870" s="137">
        <f t="shared" si="69"/>
        <v>5.4412384760174612</v>
      </c>
      <c r="AF870" s="131">
        <f t="shared" ca="1" si="65"/>
        <v>-98998928.101660505</v>
      </c>
      <c r="AG870" s="131">
        <f t="shared" ca="1" si="66"/>
        <v>-15735128.467755586</v>
      </c>
      <c r="AI870" s="131">
        <f t="shared" si="67"/>
        <v>-82377142.397721007</v>
      </c>
      <c r="AJ870" s="31">
        <f t="shared" si="68"/>
        <v>112056.37053967257</v>
      </c>
    </row>
    <row r="871" spans="15:36">
      <c r="O871" s="15">
        <v>868</v>
      </c>
      <c r="P871" s="33">
        <v>3335004.930596659</v>
      </c>
      <c r="Q871" s="33">
        <v>81072092.045218349</v>
      </c>
      <c r="R871" s="146">
        <v>-77737087.114621684</v>
      </c>
      <c r="S871" s="31">
        <v>105919.19781227637</v>
      </c>
      <c r="T871" s="31">
        <v>17933.649703740914</v>
      </c>
      <c r="U871" s="142">
        <v>87985.548108535455</v>
      </c>
      <c r="AE871" s="137">
        <f t="shared" si="69"/>
        <v>5.4475216613246404</v>
      </c>
      <c r="AF871" s="131">
        <f t="shared" ca="1" si="65"/>
        <v>-99110482.6893951</v>
      </c>
      <c r="AG871" s="131">
        <f t="shared" ca="1" si="66"/>
        <v>-15847122.358171199</v>
      </c>
      <c r="AI871" s="131">
        <f t="shared" si="67"/>
        <v>-77737087.114621684</v>
      </c>
      <c r="AJ871" s="31">
        <f t="shared" si="68"/>
        <v>87985.548108535455</v>
      </c>
    </row>
    <row r="872" spans="15:36">
      <c r="O872" s="15">
        <v>869</v>
      </c>
      <c r="P872" s="33">
        <v>3815396.4879216249</v>
      </c>
      <c r="Q872" s="33">
        <v>75663365.937998593</v>
      </c>
      <c r="R872" s="146">
        <v>-71847969.450076967</v>
      </c>
      <c r="S872" s="31">
        <v>85926.980364144692</v>
      </c>
      <c r="T872" s="31">
        <v>8225.5701736331284</v>
      </c>
      <c r="U872" s="142">
        <v>77701.410190511568</v>
      </c>
      <c r="AE872" s="137">
        <f t="shared" si="69"/>
        <v>5.4538048466318196</v>
      </c>
      <c r="AF872" s="131">
        <f t="shared" ca="1" si="65"/>
        <v>-99221405.271279767</v>
      </c>
      <c r="AG872" s="131">
        <f t="shared" ca="1" si="66"/>
        <v>-15958487.306043584</v>
      </c>
      <c r="AI872" s="131">
        <f t="shared" si="67"/>
        <v>-71847969.450076967</v>
      </c>
      <c r="AJ872" s="31">
        <f t="shared" si="68"/>
        <v>77701.410190511568</v>
      </c>
    </row>
    <row r="873" spans="15:36">
      <c r="O873" s="15">
        <v>870</v>
      </c>
      <c r="P873" s="33">
        <v>3019269.2576460871</v>
      </c>
      <c r="Q873" s="33">
        <v>88948434.365719855</v>
      </c>
      <c r="R873" s="146">
        <v>-85929165.108073771</v>
      </c>
      <c r="S873" s="31">
        <v>106227.46665109928</v>
      </c>
      <c r="T873" s="31">
        <v>6549.1259947945582</v>
      </c>
      <c r="U873" s="142">
        <v>99678.340656304732</v>
      </c>
      <c r="AE873" s="137">
        <f t="shared" si="69"/>
        <v>5.4600880319389988</v>
      </c>
      <c r="AF873" s="131">
        <f t="shared" ca="1" si="65"/>
        <v>-99331691.468280911</v>
      </c>
      <c r="AG873" s="131">
        <f t="shared" ca="1" si="66"/>
        <v>-16069218.914875291</v>
      </c>
      <c r="AI873" s="131">
        <f t="shared" si="67"/>
        <v>-85929165.108073771</v>
      </c>
      <c r="AJ873" s="31">
        <f t="shared" si="68"/>
        <v>99678.340656304732</v>
      </c>
    </row>
    <row r="874" spans="15:36">
      <c r="O874" s="15">
        <v>871</v>
      </c>
      <c r="P874" s="33">
        <v>3539814.9229236585</v>
      </c>
      <c r="Q874" s="33">
        <v>90814446.5422405</v>
      </c>
      <c r="R874" s="146">
        <v>-87274631.619316846</v>
      </c>
      <c r="S874" s="31">
        <v>118852.10137246843</v>
      </c>
      <c r="T874" s="31">
        <v>5861.0049132608583</v>
      </c>
      <c r="U874" s="142">
        <v>112991.09645920758</v>
      </c>
      <c r="AE874" s="137">
        <f t="shared" si="69"/>
        <v>5.466371217246178</v>
      </c>
      <c r="AF874" s="131">
        <f t="shared" ca="1" si="65"/>
        <v>-99441336.92648831</v>
      </c>
      <c r="AG874" s="131">
        <f t="shared" ca="1" si="66"/>
        <v>-16179312.813172003</v>
      </c>
      <c r="AI874" s="131">
        <f t="shared" si="67"/>
        <v>-87274631.619316846</v>
      </c>
      <c r="AJ874" s="31">
        <f t="shared" si="68"/>
        <v>112991.09645920758</v>
      </c>
    </row>
    <row r="875" spans="15:36">
      <c r="O875" s="15">
        <v>872</v>
      </c>
      <c r="P875" s="33">
        <v>3212169.4888825039</v>
      </c>
      <c r="Q875" s="33">
        <v>83188773.659822449</v>
      </c>
      <c r="R875" s="146">
        <v>-79976604.170939952</v>
      </c>
      <c r="S875" s="31">
        <v>52965.535775146054</v>
      </c>
      <c r="T875" s="31">
        <v>11091.248185890094</v>
      </c>
      <c r="U875" s="142">
        <v>41874.28758925596</v>
      </c>
      <c r="AE875" s="137">
        <f t="shared" si="69"/>
        <v>5.4726544025533572</v>
      </c>
      <c r="AF875" s="131">
        <f t="shared" ca="1" si="65"/>
        <v>-99550337.317287028</v>
      </c>
      <c r="AG875" s="131">
        <f t="shared" ca="1" si="66"/>
        <v>-16288764.654615127</v>
      </c>
      <c r="AI875" s="131">
        <f t="shared" si="67"/>
        <v>-79976604.170939952</v>
      </c>
      <c r="AJ875" s="31">
        <f t="shared" si="68"/>
        <v>41874.28758925596</v>
      </c>
    </row>
    <row r="876" spans="15:36">
      <c r="O876" s="15">
        <v>873</v>
      </c>
      <c r="P876" s="33">
        <v>3310355.9439864922</v>
      </c>
      <c r="Q876" s="33">
        <v>83869283.213057861</v>
      </c>
      <c r="R876" s="146">
        <v>-80558927.26907137</v>
      </c>
      <c r="S876" s="31">
        <v>90449.12699984714</v>
      </c>
      <c r="T876" s="31">
        <v>18204.22962685677</v>
      </c>
      <c r="U876" s="142">
        <v>72244.897372990366</v>
      </c>
      <c r="AE876" s="137">
        <f t="shared" si="69"/>
        <v>5.4789375878605364</v>
      </c>
      <c r="AF876" s="131">
        <f t="shared" ca="1" si="65"/>
        <v>-99658688.337528259</v>
      </c>
      <c r="AG876" s="131">
        <f t="shared" ca="1" si="66"/>
        <v>-16397570.118233377</v>
      </c>
      <c r="AI876" s="131">
        <f t="shared" si="67"/>
        <v>-80558927.26907137</v>
      </c>
      <c r="AJ876" s="31">
        <f t="shared" si="68"/>
        <v>72244.897372990366</v>
      </c>
    </row>
    <row r="877" spans="15:36">
      <c r="O877" s="15">
        <v>874</v>
      </c>
      <c r="P877" s="33">
        <v>3108254.4942885619</v>
      </c>
      <c r="Q877" s="33">
        <v>68919132.531103119</v>
      </c>
      <c r="R877" s="146">
        <v>-65810878.036814556</v>
      </c>
      <c r="S877" s="31">
        <v>69434.777986254165</v>
      </c>
      <c r="T877" s="31">
        <v>9533.467197838434</v>
      </c>
      <c r="U877" s="142">
        <v>59901.310788415729</v>
      </c>
      <c r="AE877" s="137">
        <f t="shared" si="69"/>
        <v>5.4852207731677156</v>
      </c>
      <c r="AF877" s="131">
        <f t="shared" ca="1" si="65"/>
        <v>-99766385.709699258</v>
      </c>
      <c r="AG877" s="131">
        <f t="shared" ca="1" si="66"/>
        <v>-16505724.90857335</v>
      </c>
      <c r="AI877" s="131">
        <f t="shared" si="67"/>
        <v>-65810878.036814556</v>
      </c>
      <c r="AJ877" s="31">
        <f t="shared" si="68"/>
        <v>59901.310788415729</v>
      </c>
    </row>
    <row r="878" spans="15:36">
      <c r="O878" s="15">
        <v>875</v>
      </c>
      <c r="P878" s="33">
        <v>3670332.0908175469</v>
      </c>
      <c r="Q878" s="33">
        <v>74594433.345063746</v>
      </c>
      <c r="R878" s="146">
        <v>-70924101.254246205</v>
      </c>
      <c r="S878" s="31">
        <v>62983.000547511198</v>
      </c>
      <c r="T878" s="31">
        <v>10970.769931100805</v>
      </c>
      <c r="U878" s="142">
        <v>52012.230616410394</v>
      </c>
      <c r="AE878" s="137">
        <f t="shared" si="69"/>
        <v>5.4915039584748948</v>
      </c>
      <c r="AF878" s="131">
        <f t="shared" ca="1" si="65"/>
        <v>-99873425.182092175</v>
      </c>
      <c r="AG878" s="131">
        <f t="shared" ca="1" si="66"/>
        <v>-16613224.755869115</v>
      </c>
      <c r="AI878" s="131">
        <f t="shared" si="67"/>
        <v>-70924101.254246205</v>
      </c>
      <c r="AJ878" s="31">
        <f t="shared" si="68"/>
        <v>52012.230616410394</v>
      </c>
    </row>
    <row r="879" spans="15:36">
      <c r="O879" s="15">
        <v>876</v>
      </c>
      <c r="P879" s="33">
        <v>2997399.305022703</v>
      </c>
      <c r="Q879" s="33">
        <v>81129257.551316887</v>
      </c>
      <c r="R879" s="146">
        <v>-78131858.246294186</v>
      </c>
      <c r="S879" s="31">
        <v>58498.223908320564</v>
      </c>
      <c r="T879" s="31">
        <v>12553.788763055833</v>
      </c>
      <c r="U879" s="142">
        <v>45944.435145264732</v>
      </c>
      <c r="AE879" s="137">
        <f t="shared" si="69"/>
        <v>5.497787143782074</v>
      </c>
      <c r="AF879" s="131">
        <f t="shared" ca="1" si="65"/>
        <v>-99979802.52897191</v>
      </c>
      <c r="AG879" s="131">
        <f t="shared" ca="1" si="66"/>
        <v>-16720065.416210774</v>
      </c>
      <c r="AI879" s="131">
        <f t="shared" si="67"/>
        <v>-78131858.246294186</v>
      </c>
      <c r="AJ879" s="31">
        <f t="shared" si="68"/>
        <v>45944.435145264732</v>
      </c>
    </row>
    <row r="880" spans="15:36">
      <c r="O880" s="15">
        <v>877</v>
      </c>
      <c r="P880" s="33">
        <v>2963616.1020658137</v>
      </c>
      <c r="Q880" s="33">
        <v>92256276.862533227</v>
      </c>
      <c r="R880" s="146">
        <v>-89292660.76046741</v>
      </c>
      <c r="S880" s="31">
        <v>69594.742621448095</v>
      </c>
      <c r="T880" s="31">
        <v>6965.6558738004005</v>
      </c>
      <c r="U880" s="142">
        <v>62629.086747647692</v>
      </c>
      <c r="AE880" s="137">
        <f t="shared" si="69"/>
        <v>5.5040703290892532</v>
      </c>
      <c r="AF880" s="131">
        <f t="shared" ca="1" si="65"/>
        <v>-100085513.55074298</v>
      </c>
      <c r="AG880" s="131">
        <f t="shared" ca="1" si="66"/>
        <v>-16826242.671711992</v>
      </c>
      <c r="AI880" s="131">
        <f t="shared" si="67"/>
        <v>-89292660.76046741</v>
      </c>
      <c r="AJ880" s="31">
        <f t="shared" si="68"/>
        <v>62629.086747647692</v>
      </c>
    </row>
    <row r="881" spans="15:36">
      <c r="O881" s="15">
        <v>878</v>
      </c>
      <c r="P881" s="33">
        <v>3539685.8408938078</v>
      </c>
      <c r="Q881" s="33">
        <v>81194492.592532679</v>
      </c>
      <c r="R881" s="146">
        <v>-77654806.751638874</v>
      </c>
      <c r="S881" s="31">
        <v>159466.44956396736</v>
      </c>
      <c r="T881" s="31">
        <v>7995.0699264551986</v>
      </c>
      <c r="U881" s="142">
        <v>151471.37963751215</v>
      </c>
      <c r="AE881" s="137">
        <f t="shared" si="69"/>
        <v>5.5103535143964324</v>
      </c>
      <c r="AF881" s="131">
        <f t="shared" ca="1" si="65"/>
        <v>-100190554.07411526</v>
      </c>
      <c r="AG881" s="131">
        <f t="shared" ca="1" si="66"/>
        <v>-16931752.33067653</v>
      </c>
      <c r="AI881" s="131">
        <f t="shared" si="67"/>
        <v>-77654806.751638874</v>
      </c>
      <c r="AJ881" s="31">
        <f t="shared" si="68"/>
        <v>151471.37963751215</v>
      </c>
    </row>
    <row r="882" spans="15:36">
      <c r="O882" s="15">
        <v>879</v>
      </c>
      <c r="P882" s="33">
        <v>2968567.8536157268</v>
      </c>
      <c r="Q882" s="33">
        <v>88281310.510324165</v>
      </c>
      <c r="R882" s="146">
        <v>-85312742.656708434</v>
      </c>
      <c r="S882" s="31">
        <v>54103.170700814968</v>
      </c>
      <c r="T882" s="31">
        <v>9693.9826937495363</v>
      </c>
      <c r="U882" s="142">
        <v>44409.18800706543</v>
      </c>
      <c r="AE882" s="137">
        <f t="shared" si="69"/>
        <v>5.5166366997036116</v>
      </c>
      <c r="AF882" s="131">
        <f t="shared" ca="1" si="65"/>
        <v>-100294919.9522687</v>
      </c>
      <c r="AG882" s="131">
        <f t="shared" ca="1" si="66"/>
        <v>-17036590.227763705</v>
      </c>
      <c r="AI882" s="131">
        <f t="shared" si="67"/>
        <v>-85312742.656708434</v>
      </c>
      <c r="AJ882" s="31">
        <f t="shared" si="68"/>
        <v>44409.18800706543</v>
      </c>
    </row>
    <row r="883" spans="15:36">
      <c r="O883" s="15">
        <v>880</v>
      </c>
      <c r="P883" s="33">
        <v>3515911.2134928876</v>
      </c>
      <c r="Q883" s="33">
        <v>84112732.619573176</v>
      </c>
      <c r="R883" s="146">
        <v>-80596821.406080291</v>
      </c>
      <c r="S883" s="31">
        <v>83889.486471243174</v>
      </c>
      <c r="T883" s="31">
        <v>11242.938267179603</v>
      </c>
      <c r="U883" s="142">
        <v>72646.548204063569</v>
      </c>
      <c r="AE883" s="137">
        <f t="shared" si="69"/>
        <v>5.5229198850107908</v>
      </c>
      <c r="AF883" s="131">
        <f t="shared" ca="1" si="65"/>
        <v>-100398607.06501718</v>
      </c>
      <c r="AG883" s="131">
        <f t="shared" ca="1" si="66"/>
        <v>-17140752.224152867</v>
      </c>
      <c r="AI883" s="131">
        <f t="shared" si="67"/>
        <v>-80596821.406080291</v>
      </c>
      <c r="AJ883" s="31">
        <f t="shared" si="68"/>
        <v>72646.548204063569</v>
      </c>
    </row>
    <row r="884" spans="15:36">
      <c r="O884" s="15">
        <v>881</v>
      </c>
      <c r="P884" s="33">
        <v>3513456.0694612004</v>
      </c>
      <c r="Q884" s="33">
        <v>87113606.910568818</v>
      </c>
      <c r="R884" s="146">
        <v>-83600150.841107622</v>
      </c>
      <c r="S884" s="31">
        <v>108621.81779299788</v>
      </c>
      <c r="T884" s="31">
        <v>12159.750415231072</v>
      </c>
      <c r="U884" s="142">
        <v>96462.067377766813</v>
      </c>
      <c r="AE884" s="137">
        <f t="shared" si="69"/>
        <v>5.52920307031797</v>
      </c>
      <c r="AF884" s="131">
        <f t="shared" ca="1" si="65"/>
        <v>-100501611.31897099</v>
      </c>
      <c r="AG884" s="131">
        <f t="shared" ca="1" si="66"/>
        <v>-17244234.207706738</v>
      </c>
      <c r="AI884" s="131">
        <f t="shared" si="67"/>
        <v>-83600150.841107622</v>
      </c>
      <c r="AJ884" s="31">
        <f t="shared" si="68"/>
        <v>96462.067377766813</v>
      </c>
    </row>
    <row r="885" spans="15:36">
      <c r="O885" s="15">
        <v>882</v>
      </c>
      <c r="P885" s="33">
        <v>2744541.3828636003</v>
      </c>
      <c r="Q885" s="33">
        <v>62342580.882306673</v>
      </c>
      <c r="R885" s="146">
        <v>-59598039.499443069</v>
      </c>
      <c r="S885" s="31">
        <v>59233.271098979516</v>
      </c>
      <c r="T885" s="31">
        <v>9058.8717269113367</v>
      </c>
      <c r="U885" s="142">
        <v>50174.399372068176</v>
      </c>
      <c r="AE885" s="137">
        <f t="shared" si="69"/>
        <v>5.5354862556251492</v>
      </c>
      <c r="AF885" s="131">
        <f t="shared" ca="1" si="65"/>
        <v>-100603928.64769858</v>
      </c>
      <c r="AG885" s="131">
        <f t="shared" ca="1" si="66"/>
        <v>-17347032.093133803</v>
      </c>
      <c r="AI885" s="131">
        <f t="shared" si="67"/>
        <v>-59598039.499443069</v>
      </c>
      <c r="AJ885" s="31">
        <f t="shared" si="68"/>
        <v>50174.399372068176</v>
      </c>
    </row>
    <row r="886" spans="15:36">
      <c r="O886" s="15">
        <v>883</v>
      </c>
      <c r="P886" s="33">
        <v>2896618.1730824835</v>
      </c>
      <c r="Q886" s="33">
        <v>87127759.230544537</v>
      </c>
      <c r="R886" s="146">
        <v>-84231141.057462052</v>
      </c>
      <c r="S886" s="31">
        <v>73824.141614072956</v>
      </c>
      <c r="T886" s="31">
        <v>4664.4570288390114</v>
      </c>
      <c r="U886" s="142">
        <v>69159.684585233947</v>
      </c>
      <c r="AE886" s="137">
        <f t="shared" si="69"/>
        <v>5.5417694409323284</v>
      </c>
      <c r="AF886" s="131">
        <f t="shared" ca="1" si="65"/>
        <v>-100705555.01188701</v>
      </c>
      <c r="AG886" s="131">
        <f t="shared" ca="1" si="66"/>
        <v>-17449141.822149567</v>
      </c>
      <c r="AI886" s="131">
        <f t="shared" si="67"/>
        <v>-84231141.057462052</v>
      </c>
      <c r="AJ886" s="31">
        <f t="shared" si="68"/>
        <v>69159.684585233947</v>
      </c>
    </row>
    <row r="887" spans="15:36">
      <c r="O887" s="15">
        <v>884</v>
      </c>
      <c r="P887" s="33">
        <v>2839880.1295556775</v>
      </c>
      <c r="Q887" s="33">
        <v>99214554.79701674</v>
      </c>
      <c r="R887" s="146">
        <v>-96374674.667461067</v>
      </c>
      <c r="S887" s="31">
        <v>139280.43233538963</v>
      </c>
      <c r="T887" s="31">
        <v>18672.013391849287</v>
      </c>
      <c r="U887" s="142">
        <v>120608.41894354034</v>
      </c>
      <c r="AE887" s="137">
        <f t="shared" si="69"/>
        <v>5.5480526262395076</v>
      </c>
      <c r="AF887" s="131">
        <f t="shared" ca="1" si="65"/>
        <v>-100806486.39950143</v>
      </c>
      <c r="AG887" s="131">
        <f t="shared" ca="1" si="66"/>
        <v>-17550559.363636762</v>
      </c>
      <c r="AI887" s="131">
        <f t="shared" si="67"/>
        <v>-96374674.667461067</v>
      </c>
      <c r="AJ887" s="31">
        <f t="shared" si="68"/>
        <v>120608.41894354034</v>
      </c>
    </row>
    <row r="888" spans="15:36">
      <c r="O888" s="15">
        <v>885</v>
      </c>
      <c r="P888" s="33">
        <v>3482073.048907497</v>
      </c>
      <c r="Q888" s="33">
        <v>77180690.278010577</v>
      </c>
      <c r="R888" s="146">
        <v>-73698617.229103073</v>
      </c>
      <c r="S888" s="31">
        <v>82409.657151306586</v>
      </c>
      <c r="T888" s="31">
        <v>9515.0935517573744</v>
      </c>
      <c r="U888" s="142">
        <v>72894.563599549205</v>
      </c>
      <c r="AE888" s="137">
        <f t="shared" si="69"/>
        <v>5.5543358115466868</v>
      </c>
      <c r="AF888" s="131">
        <f t="shared" ca="1" si="65"/>
        <v>-100906718.82594346</v>
      </c>
      <c r="AG888" s="131">
        <f t="shared" ca="1" si="66"/>
        <v>-17651280.713804506</v>
      </c>
      <c r="AI888" s="131">
        <f t="shared" si="67"/>
        <v>-73698617.229103073</v>
      </c>
      <c r="AJ888" s="31">
        <f t="shared" si="68"/>
        <v>72894.563599549205</v>
      </c>
    </row>
    <row r="889" spans="15:36">
      <c r="O889" s="15">
        <v>886</v>
      </c>
      <c r="P889" s="33">
        <v>2955786.636108337</v>
      </c>
      <c r="Q889" s="33">
        <v>96124832.041692048</v>
      </c>
      <c r="R889" s="146">
        <v>-93169045.405583709</v>
      </c>
      <c r="S889" s="31">
        <v>78709.562239622974</v>
      </c>
      <c r="T889" s="31">
        <v>21521.823088616969</v>
      </c>
      <c r="U889" s="142">
        <v>57187.739151006004</v>
      </c>
      <c r="AE889" s="137">
        <f t="shared" si="69"/>
        <v>5.560618996853866</v>
      </c>
      <c r="AF889" s="131">
        <f t="shared" ca="1" si="65"/>
        <v>-101006248.33420855</v>
      </c>
      <c r="AG889" s="131">
        <f t="shared" ca="1" si="66"/>
        <v>-17751301.896346357</v>
      </c>
      <c r="AI889" s="131">
        <f t="shared" si="67"/>
        <v>-93169045.405583709</v>
      </c>
      <c r="AJ889" s="31">
        <f t="shared" si="68"/>
        <v>57187.739151006004</v>
      </c>
    </row>
    <row r="890" spans="15:36">
      <c r="O890" s="15">
        <v>887</v>
      </c>
      <c r="P890" s="33">
        <v>3605366.7722116699</v>
      </c>
      <c r="Q890" s="33">
        <v>63478312.399478614</v>
      </c>
      <c r="R890" s="146">
        <v>-59872945.627266943</v>
      </c>
      <c r="S890" s="31">
        <v>60246.478386291157</v>
      </c>
      <c r="T890" s="31">
        <v>9752.3440360113946</v>
      </c>
      <c r="U890" s="142">
        <v>50494.134350279761</v>
      </c>
      <c r="AE890" s="137">
        <f t="shared" si="69"/>
        <v>5.5669021821610452</v>
      </c>
      <c r="AF890" s="131">
        <f t="shared" ca="1" si="65"/>
        <v>-101105070.99504213</v>
      </c>
      <c r="AG890" s="131">
        <f t="shared" ca="1" si="66"/>
        <v>-17850618.962597299</v>
      </c>
      <c r="AI890" s="131">
        <f t="shared" si="67"/>
        <v>-59872945.627266943</v>
      </c>
      <c r="AJ890" s="31">
        <f t="shared" si="68"/>
        <v>50494.134350279761</v>
      </c>
    </row>
    <row r="891" spans="15:36">
      <c r="O891" s="15">
        <v>888</v>
      </c>
      <c r="P891" s="33">
        <v>3135850.6107107541</v>
      </c>
      <c r="Q891" s="33">
        <v>85070701.395208597</v>
      </c>
      <c r="R891" s="146">
        <v>-81934850.784497842</v>
      </c>
      <c r="S891" s="31">
        <v>111526.85713547858</v>
      </c>
      <c r="T891" s="31">
        <v>3538.576753591421</v>
      </c>
      <c r="U891" s="142">
        <v>107988.28038188716</v>
      </c>
      <c r="AE891" s="137">
        <f t="shared" si="69"/>
        <v>5.5731853674682243</v>
      </c>
      <c r="AF891" s="131">
        <f t="shared" ca="1" si="65"/>
        <v>-101203182.90709476</v>
      </c>
      <c r="AG891" s="131">
        <f t="shared" ca="1" si="66"/>
        <v>-17949227.9916896</v>
      </c>
      <c r="AI891" s="131">
        <f t="shared" si="67"/>
        <v>-81934850.784497842</v>
      </c>
      <c r="AJ891" s="31">
        <f t="shared" si="68"/>
        <v>107988.28038188716</v>
      </c>
    </row>
    <row r="892" spans="15:36">
      <c r="O892" s="15">
        <v>889</v>
      </c>
      <c r="P892" s="33">
        <v>3181687.0834490359</v>
      </c>
      <c r="Q892" s="33">
        <v>75883444.945282146</v>
      </c>
      <c r="R892" s="146">
        <v>-72701757.86183311</v>
      </c>
      <c r="S892" s="31">
        <v>143796.73246627575</v>
      </c>
      <c r="T892" s="31">
        <v>7674.7667152422164</v>
      </c>
      <c r="U892" s="142">
        <v>136121.96575103354</v>
      </c>
      <c r="AE892" s="137">
        <f t="shared" si="69"/>
        <v>5.5794685527754035</v>
      </c>
      <c r="AF892" s="131">
        <f t="shared" ca="1" si="65"/>
        <v>-101300580.19707614</v>
      </c>
      <c r="AG892" s="131">
        <f t="shared" ca="1" si="66"/>
        <v>-18047125.090707649</v>
      </c>
      <c r="AI892" s="131">
        <f t="shared" si="67"/>
        <v>-72701757.86183311</v>
      </c>
      <c r="AJ892" s="31">
        <f t="shared" si="68"/>
        <v>136121.96575103354</v>
      </c>
    </row>
    <row r="893" spans="15:36">
      <c r="O893" s="15">
        <v>890</v>
      </c>
      <c r="P893" s="33">
        <v>3198376.6062860764</v>
      </c>
      <c r="Q893" s="33">
        <v>87047244.353561074</v>
      </c>
      <c r="R893" s="146">
        <v>-83848867.747274995</v>
      </c>
      <c r="S893" s="31">
        <v>57975.334125966358</v>
      </c>
      <c r="T893" s="31">
        <v>10305.669664248268</v>
      </c>
      <c r="U893" s="142">
        <v>47669.664461718086</v>
      </c>
      <c r="AE893" s="137">
        <f t="shared" si="69"/>
        <v>5.5857517380825827</v>
      </c>
      <c r="AF893" s="131">
        <f t="shared" ca="1" si="65"/>
        <v>-101397259.01990807</v>
      </c>
      <c r="AG893" s="131">
        <f t="shared" ca="1" si="66"/>
        <v>-18144306.394841604</v>
      </c>
      <c r="AI893" s="131">
        <f t="shared" si="67"/>
        <v>-83848867.747274995</v>
      </c>
      <c r="AJ893" s="31">
        <f t="shared" si="68"/>
        <v>47669.664461718086</v>
      </c>
    </row>
    <row r="894" spans="15:36">
      <c r="O894" s="15">
        <v>891</v>
      </c>
      <c r="P894" s="33">
        <v>3498971.304111531</v>
      </c>
      <c r="Q894" s="33">
        <v>56442100.429791674</v>
      </c>
      <c r="R894" s="146">
        <v>-52943129.125680141</v>
      </c>
      <c r="S894" s="31">
        <v>77770.09502263453</v>
      </c>
      <c r="T894" s="31">
        <v>10025.023716560736</v>
      </c>
      <c r="U894" s="142">
        <v>67745.071306073791</v>
      </c>
      <c r="AE894" s="137">
        <f t="shared" si="69"/>
        <v>5.5920349233897619</v>
      </c>
      <c r="AF894" s="131">
        <f t="shared" ca="1" si="65"/>
        <v>-101493215.55887611</v>
      </c>
      <c r="AG894" s="131">
        <f t="shared" ca="1" si="66"/>
        <v>-18240768.067539971</v>
      </c>
      <c r="AI894" s="131">
        <f t="shared" si="67"/>
        <v>-52943129.125680141</v>
      </c>
      <c r="AJ894" s="31">
        <f t="shared" si="68"/>
        <v>67745.071306073791</v>
      </c>
    </row>
    <row r="895" spans="15:36">
      <c r="O895" s="15">
        <v>892</v>
      </c>
      <c r="P895" s="33">
        <v>3048076.4668787234</v>
      </c>
      <c r="Q895" s="33">
        <v>81289521.690814883</v>
      </c>
      <c r="R895" s="146">
        <v>-78241445.223936155</v>
      </c>
      <c r="S895" s="31">
        <v>47181.097905062059</v>
      </c>
      <c r="T895" s="31">
        <v>12366.536793483745</v>
      </c>
      <c r="U895" s="142">
        <v>34814.56111157831</v>
      </c>
      <c r="AE895" s="137">
        <f t="shared" si="69"/>
        <v>5.5983181086969411</v>
      </c>
      <c r="AF895" s="131">
        <f t="shared" ca="1" si="65"/>
        <v>-101588446.02578044</v>
      </c>
      <c r="AG895" s="131">
        <f t="shared" ca="1" si="66"/>
        <v>-18336506.300661087</v>
      </c>
      <c r="AI895" s="131">
        <f t="shared" si="67"/>
        <v>-78241445.223936155</v>
      </c>
      <c r="AJ895" s="31">
        <f t="shared" si="68"/>
        <v>34814.56111157831</v>
      </c>
    </row>
    <row r="896" spans="15:36">
      <c r="O896" s="15">
        <v>893</v>
      </c>
      <c r="P896" s="33">
        <v>3810707.7815219415</v>
      </c>
      <c r="Q896" s="33">
        <v>87806287.936452627</v>
      </c>
      <c r="R896" s="146">
        <v>-83995580.154930681</v>
      </c>
      <c r="S896" s="31">
        <v>56559.383899405162</v>
      </c>
      <c r="T896" s="31">
        <v>13872.64338045381</v>
      </c>
      <c r="U896" s="142">
        <v>42686.740518951352</v>
      </c>
      <c r="AE896" s="137">
        <f t="shared" si="69"/>
        <v>5.6046012940041203</v>
      </c>
      <c r="AF896" s="131">
        <f t="shared" ca="1" si="65"/>
        <v>-101682946.66108528</v>
      </c>
      <c r="AG896" s="131">
        <f t="shared" ca="1" si="66"/>
        <v>-18431517.31462343</v>
      </c>
      <c r="AI896" s="131">
        <f t="shared" si="67"/>
        <v>-83995580.154930681</v>
      </c>
      <c r="AJ896" s="31">
        <f t="shared" si="68"/>
        <v>42686.740518951352</v>
      </c>
    </row>
    <row r="897" spans="15:36">
      <c r="O897" s="15">
        <v>894</v>
      </c>
      <c r="P897" s="33">
        <v>2944311.7323639849</v>
      </c>
      <c r="Q897" s="33">
        <v>85830867.708534718</v>
      </c>
      <c r="R897" s="146">
        <v>-82886555.976170734</v>
      </c>
      <c r="S897" s="31">
        <v>144168.11070734612</v>
      </c>
      <c r="T897" s="31">
        <v>18556.408141583979</v>
      </c>
      <c r="U897" s="142">
        <v>125611.70256576214</v>
      </c>
      <c r="AE897" s="137">
        <f t="shared" si="69"/>
        <v>5.6108844793112995</v>
      </c>
      <c r="AF897" s="131">
        <f t="shared" ca="1" si="65"/>
        <v>-101776713.73406735</v>
      </c>
      <c r="AG897" s="131">
        <f t="shared" ca="1" si="66"/>
        <v>-18525797.358554866</v>
      </c>
      <c r="AI897" s="131">
        <f t="shared" si="67"/>
        <v>-82886555.976170734</v>
      </c>
      <c r="AJ897" s="31">
        <f t="shared" si="68"/>
        <v>125611.70256576214</v>
      </c>
    </row>
    <row r="898" spans="15:36">
      <c r="O898" s="15">
        <v>895</v>
      </c>
      <c r="P898" s="33">
        <v>3266010.6462652562</v>
      </c>
      <c r="Q898" s="33">
        <v>80885404.023038879</v>
      </c>
      <c r="R898" s="146">
        <v>-77619393.376773626</v>
      </c>
      <c r="S898" s="31">
        <v>78518.819950403078</v>
      </c>
      <c r="T898" s="31">
        <v>7999.2939758007215</v>
      </c>
      <c r="U898" s="142">
        <v>70519.525974602351</v>
      </c>
      <c r="AE898" s="137">
        <f t="shared" si="69"/>
        <v>5.6171676646184787</v>
      </c>
      <c r="AF898" s="131">
        <f t="shared" ca="1" si="65"/>
        <v>-101869743.54296318</v>
      </c>
      <c r="AG898" s="131">
        <f t="shared" ca="1" si="66"/>
        <v>-18619342.710440684</v>
      </c>
      <c r="AI898" s="131">
        <f t="shared" si="67"/>
        <v>-77619393.376773626</v>
      </c>
      <c r="AJ898" s="31">
        <f t="shared" si="68"/>
        <v>70519.525974602351</v>
      </c>
    </row>
    <row r="899" spans="15:36">
      <c r="O899" s="15">
        <v>896</v>
      </c>
      <c r="P899" s="33">
        <v>2730343.1288012466</v>
      </c>
      <c r="Q899" s="33">
        <v>93196526.986482501</v>
      </c>
      <c r="R899" s="146">
        <v>-90466183.85768126</v>
      </c>
      <c r="S899" s="31">
        <v>48131.284484536664</v>
      </c>
      <c r="T899" s="31">
        <v>12769.44938541907</v>
      </c>
      <c r="U899" s="142">
        <v>35361.835099117598</v>
      </c>
      <c r="AE899" s="137">
        <f t="shared" si="69"/>
        <v>5.6234508499256579</v>
      </c>
      <c r="AF899" s="131">
        <f t="shared" ca="1" si="65"/>
        <v>-101962032.41511519</v>
      </c>
      <c r="AG899" s="131">
        <f t="shared" ca="1" si="66"/>
        <v>-18712149.677270573</v>
      </c>
      <c r="AI899" s="131">
        <f t="shared" si="67"/>
        <v>-90466183.85768126</v>
      </c>
      <c r="AJ899" s="31">
        <f t="shared" si="68"/>
        <v>35361.835099117598</v>
      </c>
    </row>
    <row r="900" spans="15:36">
      <c r="O900" s="15">
        <v>897</v>
      </c>
      <c r="P900" s="33">
        <v>3806438.7586023845</v>
      </c>
      <c r="Q900" s="33">
        <v>85272823.06525138</v>
      </c>
      <c r="R900" s="146">
        <v>-81466384.306648999</v>
      </c>
      <c r="S900" s="31">
        <v>54884.486663692245</v>
      </c>
      <c r="T900" s="31">
        <v>16393.946607947644</v>
      </c>
      <c r="U900" s="142">
        <v>38490.540055744597</v>
      </c>
      <c r="AE900" s="137">
        <f t="shared" si="69"/>
        <v>5.6297340352328371</v>
      </c>
      <c r="AF900" s="131">
        <f t="shared" ca="1" si="65"/>
        <v>-102053576.70711675</v>
      </c>
      <c r="AG900" s="131">
        <f t="shared" ca="1" si="66"/>
        <v>-18804214.59518439</v>
      </c>
      <c r="AI900" s="131">
        <f t="shared" si="67"/>
        <v>-81466384.306648999</v>
      </c>
      <c r="AJ900" s="31">
        <f t="shared" si="68"/>
        <v>38490.540055744597</v>
      </c>
    </row>
    <row r="901" spans="15:36">
      <c r="O901" s="15">
        <v>898</v>
      </c>
      <c r="P901" s="33">
        <v>3445314.6131710852</v>
      </c>
      <c r="Q901" s="33">
        <v>88201740.854527593</v>
      </c>
      <c r="R901" s="146">
        <v>-84756426.241356507</v>
      </c>
      <c r="S901" s="31">
        <v>78133.851722842912</v>
      </c>
      <c r="T901" s="31">
        <v>20663.102354518534</v>
      </c>
      <c r="U901" s="142">
        <v>57470.749368324381</v>
      </c>
      <c r="AE901" s="137">
        <f t="shared" si="69"/>
        <v>5.6360172205400163</v>
      </c>
      <c r="AF901" s="131">
        <f t="shared" ref="AF901:AF964" ca="1" si="70">(AB$25*AC$19*COS(AE901)+AC$25*AC$20*SIN(AE901))+X$9</f>
        <v>-102144372.80495596</v>
      </c>
      <c r="AG901" s="131">
        <f t="shared" ref="AG901:AG964" ca="1" si="71">(AC$26*AC$19*COS(AE901)+AC$26*AC$20*SIN(AE901))+Y$9</f>
        <v>-18895533.829616815</v>
      </c>
      <c r="AI901" s="131">
        <f t="shared" ref="AI901:AI964" si="72">R901</f>
        <v>-84756426.241356507</v>
      </c>
      <c r="AJ901" s="31">
        <f t="shared" ref="AJ901:AJ964" si="73">U901</f>
        <v>57470.749368324381</v>
      </c>
    </row>
    <row r="902" spans="15:36">
      <c r="O902" s="15">
        <v>899</v>
      </c>
      <c r="P902" s="33">
        <v>3248741.6420700089</v>
      </c>
      <c r="Q902" s="33">
        <v>105373071.35719463</v>
      </c>
      <c r="R902" s="146">
        <v>-102124329.71512462</v>
      </c>
      <c r="S902" s="31">
        <v>115956.73573128936</v>
      </c>
      <c r="T902" s="31">
        <v>8318.2475478245451</v>
      </c>
      <c r="U902" s="142">
        <v>107638.48818346481</v>
      </c>
      <c r="AE902" s="137">
        <f t="shared" si="69"/>
        <v>5.6423004058471955</v>
      </c>
      <c r="AF902" s="131">
        <f t="shared" ca="1" si="70"/>
        <v>-102234417.12415831</v>
      </c>
      <c r="AG902" s="131">
        <f t="shared" ca="1" si="71"/>
        <v>-18986103.775440838</v>
      </c>
      <c r="AI902" s="131">
        <f t="shared" si="72"/>
        <v>-102124329.71512462</v>
      </c>
      <c r="AJ902" s="31">
        <f t="shared" si="73"/>
        <v>107638.48818346481</v>
      </c>
    </row>
    <row r="903" spans="15:36">
      <c r="O903" s="15">
        <v>900</v>
      </c>
      <c r="P903" s="33">
        <v>3694334.7533079772</v>
      </c>
      <c r="Q903" s="33">
        <v>89513747.449804425</v>
      </c>
      <c r="R903" s="146">
        <v>-85819412.696496442</v>
      </c>
      <c r="S903" s="31">
        <v>147382.00064378127</v>
      </c>
      <c r="T903" s="31">
        <v>22978.64042768161</v>
      </c>
      <c r="U903" s="142">
        <v>124403.36021609965</v>
      </c>
      <c r="AE903" s="137">
        <f t="shared" ref="AE903:AE966" si="74">AE902+AE$5</f>
        <v>5.6485835911543747</v>
      </c>
      <c r="AF903" s="131">
        <f t="shared" ca="1" si="70"/>
        <v>-102323706.10992831</v>
      </c>
      <c r="AG903" s="131">
        <f t="shared" ca="1" si="71"/>
        <v>-19075920.857110083</v>
      </c>
      <c r="AI903" s="131">
        <f t="shared" si="72"/>
        <v>-85819412.696496442</v>
      </c>
      <c r="AJ903" s="31">
        <f t="shared" si="73"/>
        <v>124403.36021609965</v>
      </c>
    </row>
    <row r="904" spans="15:36">
      <c r="O904" s="15">
        <v>901</v>
      </c>
      <c r="P904" s="33">
        <v>4033938.0234807828</v>
      </c>
      <c r="Q904" s="33">
        <v>83967164.877436891</v>
      </c>
      <c r="R904" s="146">
        <v>-79933226.853956103</v>
      </c>
      <c r="S904" s="31">
        <v>115959.86455428955</v>
      </c>
      <c r="T904" s="31">
        <v>7527.824611071318</v>
      </c>
      <c r="U904" s="142">
        <v>108432.03994321823</v>
      </c>
      <c r="AE904" s="137">
        <f t="shared" si="74"/>
        <v>5.6548667764615539</v>
      </c>
      <c r="AF904" s="131">
        <f t="shared" ca="1" si="70"/>
        <v>-102412236.23728964</v>
      </c>
      <c r="AG904" s="131">
        <f t="shared" ca="1" si="71"/>
        <v>-19164981.528799947</v>
      </c>
      <c r="AI904" s="131">
        <f t="shared" si="72"/>
        <v>-79933226.853956103</v>
      </c>
      <c r="AJ904" s="31">
        <f t="shared" si="73"/>
        <v>108432.03994321823</v>
      </c>
    </row>
    <row r="905" spans="15:36">
      <c r="O905" s="15">
        <v>902</v>
      </c>
      <c r="P905" s="33">
        <v>3448014.9213136742</v>
      </c>
      <c r="Q905" s="33">
        <v>69067932.519912824</v>
      </c>
      <c r="R905" s="146">
        <v>-65619917.598599151</v>
      </c>
      <c r="S905" s="31">
        <v>135546.36979307982</v>
      </c>
      <c r="T905" s="31">
        <v>5056.013515501656</v>
      </c>
      <c r="U905" s="142">
        <v>130490.35627757816</v>
      </c>
      <c r="AE905" s="137">
        <f t="shared" si="74"/>
        <v>5.6611499617687331</v>
      </c>
      <c r="AF905" s="131">
        <f t="shared" ca="1" si="70"/>
        <v>-102500004.01122451</v>
      </c>
      <c r="AG905" s="131">
        <f t="shared" ca="1" si="71"/>
        <v>-19253282.274547622</v>
      </c>
      <c r="AI905" s="131">
        <f t="shared" si="72"/>
        <v>-65619917.598599151</v>
      </c>
      <c r="AJ905" s="31">
        <f t="shared" si="73"/>
        <v>130490.35627757816</v>
      </c>
    </row>
    <row r="906" spans="15:36">
      <c r="O906" s="15">
        <v>903</v>
      </c>
      <c r="P906" s="33">
        <v>3056626.6820505871</v>
      </c>
      <c r="Q906" s="33">
        <v>79605671.836673632</v>
      </c>
      <c r="R906" s="146">
        <v>-76549045.154623047</v>
      </c>
      <c r="S906" s="31">
        <v>118571.46720368255</v>
      </c>
      <c r="T906" s="31">
        <v>16272.144434698102</v>
      </c>
      <c r="U906" s="142">
        <v>102299.32276898445</v>
      </c>
      <c r="AE906" s="137">
        <f t="shared" si="74"/>
        <v>5.6674331470759123</v>
      </c>
      <c r="AF906" s="131">
        <f t="shared" ca="1" si="70"/>
        <v>-102587005.96681143</v>
      </c>
      <c r="AG906" s="131">
        <f t="shared" ca="1" si="71"/>
        <v>-19340819.608390845</v>
      </c>
      <c r="AI906" s="131">
        <f t="shared" si="72"/>
        <v>-76549045.154623047</v>
      </c>
      <c r="AJ906" s="31">
        <f t="shared" si="73"/>
        <v>102299.32276898445</v>
      </c>
    </row>
    <row r="907" spans="15:36">
      <c r="O907" s="15">
        <v>904</v>
      </c>
      <c r="P907" s="33">
        <v>3181102.7719574212</v>
      </c>
      <c r="Q907" s="33">
        <v>74228396.7042647</v>
      </c>
      <c r="R907" s="146">
        <v>-71047293.932307273</v>
      </c>
      <c r="S907" s="31">
        <v>137343.1421703216</v>
      </c>
      <c r="T907" s="31">
        <v>15206.17164733248</v>
      </c>
      <c r="U907" s="142">
        <v>122136.97052298913</v>
      </c>
      <c r="AE907" s="137">
        <f t="shared" si="74"/>
        <v>5.6737163323830915</v>
      </c>
      <c r="AF907" s="131">
        <f t="shared" ca="1" si="70"/>
        <v>-102673238.66936222</v>
      </c>
      <c r="AG907" s="131">
        <f t="shared" ca="1" si="71"/>
        <v>-19427590.074505579</v>
      </c>
      <c r="AI907" s="131">
        <f t="shared" si="72"/>
        <v>-71047293.932307273</v>
      </c>
      <c r="AJ907" s="31">
        <f t="shared" si="73"/>
        <v>122136.97052298913</v>
      </c>
    </row>
    <row r="908" spans="15:36">
      <c r="O908" s="15">
        <v>905</v>
      </c>
      <c r="P908" s="33">
        <v>4111166.7198524587</v>
      </c>
      <c r="Q908" s="33">
        <v>82994468.013066873</v>
      </c>
      <c r="R908" s="146">
        <v>-78883301.293214411</v>
      </c>
      <c r="S908" s="31">
        <v>176046.22331677107</v>
      </c>
      <c r="T908" s="31">
        <v>15340.078512856388</v>
      </c>
      <c r="U908" s="142">
        <v>160706.14480391468</v>
      </c>
      <c r="AE908" s="137">
        <f t="shared" si="74"/>
        <v>5.6799995176902707</v>
      </c>
      <c r="AF908" s="131">
        <f t="shared" ca="1" si="70"/>
        <v>-102758698.71455739</v>
      </c>
      <c r="AG908" s="131">
        <f t="shared" ca="1" si="71"/>
        <v>-19513590.247342385</v>
      </c>
      <c r="AI908" s="131">
        <f t="shared" si="72"/>
        <v>-78883301.293214411</v>
      </c>
      <c r="AJ908" s="31">
        <f t="shared" si="73"/>
        <v>160706.14480391468</v>
      </c>
    </row>
    <row r="909" spans="15:36">
      <c r="O909" s="15">
        <v>906</v>
      </c>
      <c r="P909" s="33">
        <v>3720925.4119898942</v>
      </c>
      <c r="Q909" s="33">
        <v>86999928.281848565</v>
      </c>
      <c r="R909" s="146">
        <v>-83279002.869858667</v>
      </c>
      <c r="S909" s="31">
        <v>46634.253816295495</v>
      </c>
      <c r="T909" s="31">
        <v>20167.121301625208</v>
      </c>
      <c r="U909" s="142">
        <v>26467.132514670287</v>
      </c>
      <c r="AE909" s="137">
        <f t="shared" si="74"/>
        <v>5.6862827029974499</v>
      </c>
      <c r="AF909" s="131">
        <f t="shared" ca="1" si="70"/>
        <v>-102843382.72858074</v>
      </c>
      <c r="AG909" s="131">
        <f t="shared" ca="1" si="71"/>
        <v>-19598816.731761701</v>
      </c>
      <c r="AI909" s="131">
        <f t="shared" si="72"/>
        <v>-83279002.869858667</v>
      </c>
      <c r="AJ909" s="31">
        <f t="shared" si="73"/>
        <v>26467.132514670287</v>
      </c>
    </row>
    <row r="910" spans="15:36">
      <c r="O910" s="15">
        <v>907</v>
      </c>
      <c r="P910" s="33">
        <v>3610572.816161938</v>
      </c>
      <c r="Q910" s="33">
        <v>82968242.612903967</v>
      </c>
      <c r="R910" s="146">
        <v>-79357669.796742022</v>
      </c>
      <c r="S910" s="31">
        <v>78628.179222827428</v>
      </c>
      <c r="T910" s="31">
        <v>9008.0468236611359</v>
      </c>
      <c r="U910" s="142">
        <v>69620.132399166294</v>
      </c>
      <c r="AE910" s="137">
        <f t="shared" si="74"/>
        <v>5.6925658883046291</v>
      </c>
      <c r="AF910" s="131">
        <f t="shared" ca="1" si="70"/>
        <v>-102927287.36825234</v>
      </c>
      <c r="AG910" s="131">
        <f t="shared" ca="1" si="71"/>
        <v>-19683266.163167849</v>
      </c>
      <c r="AI910" s="131">
        <f t="shared" si="72"/>
        <v>-79357669.796742022</v>
      </c>
      <c r="AJ910" s="31">
        <f t="shared" si="73"/>
        <v>69620.132399166294</v>
      </c>
    </row>
    <row r="911" spans="15:36">
      <c r="O911" s="15">
        <v>908</v>
      </c>
      <c r="P911" s="33">
        <v>2901682.2810822693</v>
      </c>
      <c r="Q911" s="33">
        <v>78208632.429700807</v>
      </c>
      <c r="R911" s="146">
        <v>-75306950.148618534</v>
      </c>
      <c r="S911" s="31">
        <v>84622.538091320544</v>
      </c>
      <c r="T911" s="31">
        <v>15803.699162915813</v>
      </c>
      <c r="U911" s="142">
        <v>68818.83892840473</v>
      </c>
      <c r="AE911" s="137">
        <f t="shared" si="74"/>
        <v>5.6988490736118083</v>
      </c>
      <c r="AF911" s="131">
        <f t="shared" ca="1" si="70"/>
        <v>-103010409.32116073</v>
      </c>
      <c r="AG911" s="131">
        <f t="shared" ca="1" si="71"/>
        <v>-19766935.207641881</v>
      </c>
      <c r="AI911" s="131">
        <f t="shared" si="72"/>
        <v>-75306950.148618534</v>
      </c>
      <c r="AJ911" s="31">
        <f t="shared" si="73"/>
        <v>68818.83892840473</v>
      </c>
    </row>
    <row r="912" spans="15:36">
      <c r="O912" s="15">
        <v>909</v>
      </c>
      <c r="P912" s="33">
        <v>3842541.7747296775</v>
      </c>
      <c r="Q912" s="33">
        <v>84236547.216756567</v>
      </c>
      <c r="R912" s="146">
        <v>-80394005.442026883</v>
      </c>
      <c r="S912" s="31">
        <v>85461.073003399477</v>
      </c>
      <c r="T912" s="31">
        <v>7523.8765662228598</v>
      </c>
      <c r="U912" s="142">
        <v>77937.196437176623</v>
      </c>
      <c r="AE912" s="137">
        <f t="shared" si="74"/>
        <v>5.7051322589189875</v>
      </c>
      <c r="AF912" s="131">
        <f t="shared" ca="1" si="70"/>
        <v>-103092745.30579351</v>
      </c>
      <c r="AG912" s="131">
        <f t="shared" ca="1" si="71"/>
        <v>-19849820.56207319</v>
      </c>
      <c r="AI912" s="131">
        <f t="shared" si="72"/>
        <v>-80394005.442026883</v>
      </c>
      <c r="AJ912" s="31">
        <f t="shared" si="73"/>
        <v>77937.196437176623</v>
      </c>
    </row>
    <row r="913" spans="15:36">
      <c r="O913" s="15">
        <v>910</v>
      </c>
      <c r="P913" s="33">
        <v>3016127.3111952925</v>
      </c>
      <c r="Q913" s="33">
        <v>87285354.32288374</v>
      </c>
      <c r="R913" s="146">
        <v>-84269227.011688441</v>
      </c>
      <c r="S913" s="31">
        <v>109997.10496426473</v>
      </c>
      <c r="T913" s="31">
        <v>14263.473500781683</v>
      </c>
      <c r="U913" s="142">
        <v>95733.631463483049</v>
      </c>
      <c r="AE913" s="137">
        <f t="shared" si="74"/>
        <v>5.7114154442261666</v>
      </c>
      <c r="AF913" s="131">
        <f t="shared" ca="1" si="70"/>
        <v>-103174292.071667</v>
      </c>
      <c r="AG913" s="131">
        <f t="shared" ca="1" si="71"/>
        <v>-19931918.954289898</v>
      </c>
      <c r="AI913" s="131">
        <f t="shared" si="72"/>
        <v>-84269227.011688441</v>
      </c>
      <c r="AJ913" s="31">
        <f t="shared" si="73"/>
        <v>95733.631463483049</v>
      </c>
    </row>
    <row r="914" spans="15:36">
      <c r="O914" s="15">
        <v>911</v>
      </c>
      <c r="P914" s="33">
        <v>3516690.3223083876</v>
      </c>
      <c r="Q914" s="33">
        <v>100927573.1481359</v>
      </c>
      <c r="R914" s="146">
        <v>-97410882.825827509</v>
      </c>
      <c r="S914" s="31">
        <v>146210.9014392434</v>
      </c>
      <c r="T914" s="31">
        <v>10983.19613486796</v>
      </c>
      <c r="U914" s="142">
        <v>135227.70530437544</v>
      </c>
      <c r="AE914" s="137">
        <f t="shared" si="74"/>
        <v>5.7176986295333458</v>
      </c>
      <c r="AF914" s="131">
        <f t="shared" ca="1" si="70"/>
        <v>-103255046.3994545</v>
      </c>
      <c r="AG914" s="131">
        <f t="shared" ca="1" si="71"/>
        <v>-20013227.143188056</v>
      </c>
      <c r="AI914" s="131">
        <f t="shared" si="72"/>
        <v>-97410882.825827509</v>
      </c>
      <c r="AJ914" s="31">
        <f t="shared" si="73"/>
        <v>135227.70530437544</v>
      </c>
    </row>
    <row r="915" spans="15:36">
      <c r="O915" s="15">
        <v>912</v>
      </c>
      <c r="P915" s="33">
        <v>3336989.0562417731</v>
      </c>
      <c r="Q915" s="33">
        <v>100488173.81222574</v>
      </c>
      <c r="R915" s="146">
        <v>-97151184.755983979</v>
      </c>
      <c r="S915" s="31">
        <v>61369.235925891902</v>
      </c>
      <c r="T915" s="31">
        <v>7836.8941825425991</v>
      </c>
      <c r="U915" s="142">
        <v>53532.341743349301</v>
      </c>
      <c r="AE915" s="137">
        <f t="shared" si="74"/>
        <v>5.723981814840525</v>
      </c>
      <c r="AF915" s="131">
        <f t="shared" ca="1" si="70"/>
        <v>-103335005.10111344</v>
      </c>
      <c r="AG915" s="131">
        <f t="shared" ca="1" si="71"/>
        <v>-20093741.918859586</v>
      </c>
      <c r="AI915" s="131">
        <f t="shared" si="72"/>
        <v>-97151184.755983979</v>
      </c>
      <c r="AJ915" s="31">
        <f t="shared" si="73"/>
        <v>53532.341743349301</v>
      </c>
    </row>
    <row r="916" spans="15:36">
      <c r="O916" s="15">
        <v>913</v>
      </c>
      <c r="P916" s="33">
        <v>3567575.8184037586</v>
      </c>
      <c r="Q916" s="33">
        <v>101109246.72570209</v>
      </c>
      <c r="R916" s="146">
        <v>-97541670.907298326</v>
      </c>
      <c r="S916" s="31">
        <v>98994.716906006899</v>
      </c>
      <c r="T916" s="31">
        <v>8060.1499646359734</v>
      </c>
      <c r="U916" s="142">
        <v>90934.566941370926</v>
      </c>
      <c r="AE916" s="137">
        <f t="shared" si="74"/>
        <v>5.7302650001477042</v>
      </c>
      <c r="AF916" s="131">
        <f t="shared" ca="1" si="70"/>
        <v>-103414165.02001119</v>
      </c>
      <c r="AG916" s="131">
        <f t="shared" ca="1" si="71"/>
        <v>-20173460.102719016</v>
      </c>
      <c r="AI916" s="131">
        <f t="shared" si="72"/>
        <v>-97541670.907298326</v>
      </c>
      <c r="AJ916" s="31">
        <f t="shared" si="73"/>
        <v>90934.566941370926</v>
      </c>
    </row>
    <row r="917" spans="15:36">
      <c r="O917" s="15">
        <v>914</v>
      </c>
      <c r="P917" s="33">
        <v>3494917.7136142789</v>
      </c>
      <c r="Q917" s="33">
        <v>90537913.028883994</v>
      </c>
      <c r="R917" s="146">
        <v>-87042995.315269709</v>
      </c>
      <c r="S917" s="31">
        <v>115367.20901420971</v>
      </c>
      <c r="T917" s="31">
        <v>8325.0580092450982</v>
      </c>
      <c r="U917" s="142">
        <v>107042.15100496462</v>
      </c>
      <c r="AE917" s="137">
        <f t="shared" si="74"/>
        <v>5.7365481854548834</v>
      </c>
      <c r="AF917" s="131">
        <f t="shared" ca="1" si="70"/>
        <v>-103492523.03104968</v>
      </c>
      <c r="AG917" s="131">
        <f t="shared" ca="1" si="71"/>
        <v>-20252378.547628947</v>
      </c>
      <c r="AI917" s="131">
        <f t="shared" si="72"/>
        <v>-87042995.315269709</v>
      </c>
      <c r="AJ917" s="31">
        <f t="shared" si="73"/>
        <v>107042.15100496462</v>
      </c>
    </row>
    <row r="918" spans="15:36">
      <c r="O918" s="15">
        <v>915</v>
      </c>
      <c r="P918" s="33">
        <v>3105122.313950615</v>
      </c>
      <c r="Q918" s="33">
        <v>86220257.234947994</v>
      </c>
      <c r="R918" s="146">
        <v>-83115134.920997381</v>
      </c>
      <c r="S918" s="31">
        <v>148408.24601757849</v>
      </c>
      <c r="T918" s="31">
        <v>18598.676753174059</v>
      </c>
      <c r="U918" s="142">
        <v>129809.56926440443</v>
      </c>
      <c r="AE918" s="137">
        <f t="shared" si="74"/>
        <v>5.7428313707620626</v>
      </c>
      <c r="AF918" s="131">
        <f t="shared" ca="1" si="70"/>
        <v>-103570076.04078883</v>
      </c>
      <c r="AG918" s="131">
        <f t="shared" ca="1" si="71"/>
        <v>-20330494.138024297</v>
      </c>
      <c r="AI918" s="131">
        <f t="shared" si="72"/>
        <v>-83115134.920997381</v>
      </c>
      <c r="AJ918" s="31">
        <f t="shared" si="73"/>
        <v>129809.56926440443</v>
      </c>
    </row>
    <row r="919" spans="15:36">
      <c r="O919" s="15">
        <v>916</v>
      </c>
      <c r="P919" s="33">
        <v>3085584.0831631329</v>
      </c>
      <c r="Q919" s="33">
        <v>73408457.132798478</v>
      </c>
      <c r="R919" s="146">
        <v>-70322873.049635351</v>
      </c>
      <c r="S919" s="31">
        <v>113823.82627059962</v>
      </c>
      <c r="T919" s="31">
        <v>9443.3707003815271</v>
      </c>
      <c r="U919" s="142">
        <v>104380.4555702181</v>
      </c>
      <c r="AE919" s="137">
        <f t="shared" si="74"/>
        <v>5.7491145560692418</v>
      </c>
      <c r="AF919" s="131">
        <f t="shared" ca="1" si="70"/>
        <v>-103646820.98756857</v>
      </c>
      <c r="AG919" s="131">
        <f t="shared" ca="1" si="71"/>
        <v>-20407803.790035311</v>
      </c>
      <c r="AI919" s="131">
        <f t="shared" si="72"/>
        <v>-70322873.049635351</v>
      </c>
      <c r="AJ919" s="31">
        <f t="shared" si="73"/>
        <v>104380.4555702181</v>
      </c>
    </row>
    <row r="920" spans="15:36">
      <c r="O920" s="15">
        <v>917</v>
      </c>
      <c r="P920" s="33">
        <v>2954935.3504640437</v>
      </c>
      <c r="Q920" s="33">
        <v>95032754.255666077</v>
      </c>
      <c r="R920" s="146">
        <v>-92077818.905202031</v>
      </c>
      <c r="S920" s="31">
        <v>186211.92414735188</v>
      </c>
      <c r="T920" s="31">
        <v>15405.069052122504</v>
      </c>
      <c r="U920" s="142">
        <v>170806.85509522937</v>
      </c>
      <c r="AE920" s="137">
        <f t="shared" si="74"/>
        <v>5.755397741376421</v>
      </c>
      <c r="AF920" s="131">
        <f t="shared" ca="1" si="70"/>
        <v>-103722754.84162983</v>
      </c>
      <c r="AG920" s="131">
        <f t="shared" ca="1" si="71"/>
        <v>-20484304.45160931</v>
      </c>
      <c r="AI920" s="131">
        <f t="shared" si="72"/>
        <v>-92077818.905202031</v>
      </c>
      <c r="AJ920" s="31">
        <f t="shared" si="73"/>
        <v>170806.85509522937</v>
      </c>
    </row>
    <row r="921" spans="15:36">
      <c r="O921" s="15">
        <v>918</v>
      </c>
      <c r="P921" s="33">
        <v>3223472.0921339234</v>
      </c>
      <c r="Q921" s="33">
        <v>74336682.74472107</v>
      </c>
      <c r="R921" s="146">
        <v>-71113210.652587146</v>
      </c>
      <c r="S921" s="31">
        <v>46860.146155349357</v>
      </c>
      <c r="T921" s="31">
        <v>15363.025949941746</v>
      </c>
      <c r="U921" s="142">
        <v>31497.120205407613</v>
      </c>
      <c r="AE921" s="137">
        <f t="shared" si="74"/>
        <v>5.7616809266836002</v>
      </c>
      <c r="AF921" s="131">
        <f t="shared" ca="1" si="70"/>
        <v>-103797874.60523409</v>
      </c>
      <c r="AG921" s="131">
        <f t="shared" ca="1" si="71"/>
        <v>-20559993.102631163</v>
      </c>
      <c r="AI921" s="131">
        <f t="shared" si="72"/>
        <v>-71113210.652587146</v>
      </c>
      <c r="AJ921" s="31">
        <f t="shared" si="73"/>
        <v>31497.120205407613</v>
      </c>
    </row>
    <row r="922" spans="15:36">
      <c r="O922" s="15">
        <v>919</v>
      </c>
      <c r="P922" s="33">
        <v>2957505.2340144278</v>
      </c>
      <c r="Q922" s="33">
        <v>85036063.172625765</v>
      </c>
      <c r="R922" s="146">
        <v>-82078557.938611344</v>
      </c>
      <c r="S922" s="31">
        <v>121320.01246916674</v>
      </c>
      <c r="T922" s="31">
        <v>19220.207098546016</v>
      </c>
      <c r="U922" s="142">
        <v>102099.80537062073</v>
      </c>
      <c r="AE922" s="137">
        <f t="shared" si="74"/>
        <v>5.7679641119907794</v>
      </c>
      <c r="AF922" s="131">
        <f t="shared" ca="1" si="70"/>
        <v>-103872177.31278166</v>
      </c>
      <c r="AG922" s="131">
        <f t="shared" ca="1" si="71"/>
        <v>-20634866.755042523</v>
      </c>
      <c r="AI922" s="131">
        <f t="shared" si="72"/>
        <v>-82078557.938611344</v>
      </c>
      <c r="AJ922" s="31">
        <f t="shared" si="73"/>
        <v>102099.80537062073</v>
      </c>
    </row>
    <row r="923" spans="15:36">
      <c r="O923" s="15">
        <v>920</v>
      </c>
      <c r="P923" s="33">
        <v>2979370.9421370309</v>
      </c>
      <c r="Q923" s="33">
        <v>75206933.351895466</v>
      </c>
      <c r="R923" s="146">
        <v>-72227562.409758434</v>
      </c>
      <c r="S923" s="31">
        <v>150405.08849407185</v>
      </c>
      <c r="T923" s="31">
        <v>11204.853021301053</v>
      </c>
      <c r="U923" s="142">
        <v>139200.23547277082</v>
      </c>
      <c r="AE923" s="137">
        <f t="shared" si="74"/>
        <v>5.7742472972979586</v>
      </c>
      <c r="AF923" s="131">
        <f t="shared" ca="1" si="70"/>
        <v>-103945660.03092894</v>
      </c>
      <c r="AG923" s="131">
        <f t="shared" ca="1" si="71"/>
        <v>-20708922.452959806</v>
      </c>
      <c r="AI923" s="131">
        <f t="shared" si="72"/>
        <v>-72227562.409758434</v>
      </c>
      <c r="AJ923" s="31">
        <f t="shared" si="73"/>
        <v>139200.23547277082</v>
      </c>
    </row>
    <row r="924" spans="15:36">
      <c r="O924" s="15">
        <v>921</v>
      </c>
      <c r="P924" s="33">
        <v>3680638.8405160457</v>
      </c>
      <c r="Q924" s="33">
        <v>75281726.367142871</v>
      </c>
      <c r="R924" s="146">
        <v>-71601087.526626825</v>
      </c>
      <c r="S924" s="31">
        <v>106312.46679769713</v>
      </c>
      <c r="T924" s="31">
        <v>21300.086158002308</v>
      </c>
      <c r="U924" s="142">
        <v>85012.38063969482</v>
      </c>
      <c r="AE924" s="137">
        <f t="shared" si="74"/>
        <v>5.7805304826051378</v>
      </c>
      <c r="AF924" s="131">
        <f t="shared" ca="1" si="70"/>
        <v>-104018319.85870397</v>
      </c>
      <c r="AG924" s="131">
        <f t="shared" ca="1" si="71"/>
        <v>-20782157.272790849</v>
      </c>
      <c r="AI924" s="131">
        <f t="shared" si="72"/>
        <v>-71601087.526626825</v>
      </c>
      <c r="AJ924" s="31">
        <f t="shared" si="73"/>
        <v>85012.38063969482</v>
      </c>
    </row>
    <row r="925" spans="15:36">
      <c r="O925" s="15">
        <v>922</v>
      </c>
      <c r="P925" s="33">
        <v>2913911.9282162003</v>
      </c>
      <c r="Q925" s="33">
        <v>81230841.125041947</v>
      </c>
      <c r="R925" s="146">
        <v>-78316929.196825743</v>
      </c>
      <c r="S925" s="31">
        <v>122576.03570856886</v>
      </c>
      <c r="T925" s="31">
        <v>19892.562926633225</v>
      </c>
      <c r="U925" s="142">
        <v>102683.47278193563</v>
      </c>
      <c r="AE925" s="137">
        <f t="shared" si="74"/>
        <v>5.786813667912317</v>
      </c>
      <c r="AF925" s="131">
        <f t="shared" ca="1" si="70"/>
        <v>-104090153.92762122</v>
      </c>
      <c r="AG925" s="131">
        <f t="shared" ca="1" si="71"/>
        <v>-20854568.323350377</v>
      </c>
      <c r="AI925" s="131">
        <f t="shared" si="72"/>
        <v>-78316929.196825743</v>
      </c>
      <c r="AJ925" s="31">
        <f t="shared" si="73"/>
        <v>102683.47278193563</v>
      </c>
    </row>
    <row r="926" spans="15:36">
      <c r="O926" s="15">
        <v>923</v>
      </c>
      <c r="P926" s="33">
        <v>3235434.2194772423</v>
      </c>
      <c r="Q926" s="33">
        <v>66633555.804012872</v>
      </c>
      <c r="R926" s="146">
        <v>-63398121.584535629</v>
      </c>
      <c r="S926" s="31">
        <v>184923.68012109876</v>
      </c>
      <c r="T926" s="31">
        <v>13061.807773908309</v>
      </c>
      <c r="U926" s="142">
        <v>171861.87234719045</v>
      </c>
      <c r="AE926" s="137">
        <f t="shared" si="74"/>
        <v>5.7930968532194962</v>
      </c>
      <c r="AF926" s="131">
        <f t="shared" ca="1" si="70"/>
        <v>-104161159.4017946</v>
      </c>
      <c r="AG926" s="131">
        <f t="shared" ca="1" si="71"/>
        <v>-20926152.74597409</v>
      </c>
      <c r="AI926" s="131">
        <f t="shared" si="72"/>
        <v>-63398121.584535629</v>
      </c>
      <c r="AJ926" s="31">
        <f t="shared" si="73"/>
        <v>171861.87234719045</v>
      </c>
    </row>
    <row r="927" spans="15:36">
      <c r="O927" s="15">
        <v>924</v>
      </c>
      <c r="P927" s="33">
        <v>3204680.444313094</v>
      </c>
      <c r="Q927" s="33">
        <v>96370987.590258107</v>
      </c>
      <c r="R927" s="146">
        <v>-93166307.145945013</v>
      </c>
      <c r="S927" s="31">
        <v>146925.44136645889</v>
      </c>
      <c r="T927" s="31">
        <v>12408.140975352244</v>
      </c>
      <c r="U927" s="142">
        <v>134517.30039110666</v>
      </c>
      <c r="AE927" s="137">
        <f t="shared" si="74"/>
        <v>5.7993800385266754</v>
      </c>
      <c r="AF927" s="131">
        <f t="shared" ca="1" si="70"/>
        <v>-104231333.47804961</v>
      </c>
      <c r="AG927" s="131">
        <f t="shared" ca="1" si="71"/>
        <v>-20996907.714631561</v>
      </c>
      <c r="AI927" s="131">
        <f t="shared" si="72"/>
        <v>-93166307.145945013</v>
      </c>
      <c r="AJ927" s="31">
        <f t="shared" si="73"/>
        <v>134517.30039110666</v>
      </c>
    </row>
    <row r="928" spans="15:36">
      <c r="O928" s="15">
        <v>925</v>
      </c>
      <c r="P928" s="33">
        <v>3472332.9026731481</v>
      </c>
      <c r="Q928" s="33">
        <v>89296373.559742436</v>
      </c>
      <c r="R928" s="146">
        <v>-85824040.657069281</v>
      </c>
      <c r="S928" s="31">
        <v>187546.65438529357</v>
      </c>
      <c r="T928" s="31">
        <v>3433.6920106757566</v>
      </c>
      <c r="U928" s="142">
        <v>184112.96237461781</v>
      </c>
      <c r="AE928" s="137">
        <f t="shared" si="74"/>
        <v>5.8056632238338546</v>
      </c>
      <c r="AF928" s="131">
        <f t="shared" ca="1" si="70"/>
        <v>-104300673.38603386</v>
      </c>
      <c r="AG928" s="131">
        <f t="shared" ca="1" si="71"/>
        <v>-21066830.436037786</v>
      </c>
      <c r="AI928" s="131">
        <f t="shared" si="72"/>
        <v>-85824040.657069281</v>
      </c>
      <c r="AJ928" s="31">
        <f t="shared" si="73"/>
        <v>184112.96237461781</v>
      </c>
    </row>
    <row r="929" spans="15:36">
      <c r="O929" s="15">
        <v>926</v>
      </c>
      <c r="P929" s="33">
        <v>3356656.2764181173</v>
      </c>
      <c r="Q929" s="33">
        <v>81641357.518462136</v>
      </c>
      <c r="R929" s="146">
        <v>-78284701.242044017</v>
      </c>
      <c r="S929" s="31">
        <v>79907.459268969236</v>
      </c>
      <c r="T929" s="31">
        <v>17038.075068029721</v>
      </c>
      <c r="U929" s="142">
        <v>62869.384200939516</v>
      </c>
      <c r="AE929" s="137">
        <f t="shared" si="74"/>
        <v>5.8119464091410338</v>
      </c>
      <c r="AF929" s="131">
        <f t="shared" ca="1" si="70"/>
        <v>-104369176.3883265</v>
      </c>
      <c r="AG929" s="131">
        <f t="shared" ca="1" si="71"/>
        <v>-21135918.149763431</v>
      </c>
      <c r="AI929" s="131">
        <f t="shared" si="72"/>
        <v>-78284701.242044017</v>
      </c>
      <c r="AJ929" s="31">
        <f t="shared" si="73"/>
        <v>62869.384200939516</v>
      </c>
    </row>
    <row r="930" spans="15:36">
      <c r="O930" s="15">
        <v>927</v>
      </c>
      <c r="P930" s="33">
        <v>3327796.5379506587</v>
      </c>
      <c r="Q930" s="33">
        <v>85059215.609949648</v>
      </c>
      <c r="R930" s="146">
        <v>-81731419.071998984</v>
      </c>
      <c r="S930" s="31">
        <v>64766.930499355352</v>
      </c>
      <c r="T930" s="31">
        <v>10852.955716449658</v>
      </c>
      <c r="U930" s="142">
        <v>53913.974782905694</v>
      </c>
      <c r="AE930" s="137">
        <f t="shared" si="74"/>
        <v>5.818229594448213</v>
      </c>
      <c r="AF930" s="131">
        <f t="shared" ca="1" si="70"/>
        <v>-104436839.78054632</v>
      </c>
      <c r="AG930" s="131">
        <f t="shared" ca="1" si="71"/>
        <v>-21204168.128343876</v>
      </c>
      <c r="AI930" s="131">
        <f t="shared" si="72"/>
        <v>-81731419.071998984</v>
      </c>
      <c r="AJ930" s="31">
        <f t="shared" si="73"/>
        <v>53913.974782905694</v>
      </c>
    </row>
    <row r="931" spans="15:36">
      <c r="O931" s="15">
        <v>928</v>
      </c>
      <c r="P931" s="33">
        <v>3516070.158900111</v>
      </c>
      <c r="Q931" s="33">
        <v>109100236.88443369</v>
      </c>
      <c r="R931" s="146">
        <v>-105584166.72553357</v>
      </c>
      <c r="S931" s="31">
        <v>135973.54507909587</v>
      </c>
      <c r="T931" s="31">
        <v>8682.3967673306779</v>
      </c>
      <c r="U931" s="142">
        <v>127291.1483117652</v>
      </c>
      <c r="AE931" s="137">
        <f t="shared" si="74"/>
        <v>5.8245127797553922</v>
      </c>
      <c r="AF931" s="131">
        <f t="shared" ca="1" si="70"/>
        <v>-104503660.89145845</v>
      </c>
      <c r="AG931" s="131">
        <f t="shared" ca="1" si="71"/>
        <v>-21271577.67738682</v>
      </c>
      <c r="AI931" s="131">
        <f t="shared" si="72"/>
        <v>-105584166.72553357</v>
      </c>
      <c r="AJ931" s="31">
        <f t="shared" si="73"/>
        <v>127291.1483117652</v>
      </c>
    </row>
    <row r="932" spans="15:36">
      <c r="O932" s="15">
        <v>929</v>
      </c>
      <c r="P932" s="33">
        <v>3359576.0275606341</v>
      </c>
      <c r="Q932" s="33">
        <v>85149513.351215765</v>
      </c>
      <c r="R932" s="146">
        <v>-81789937.323655128</v>
      </c>
      <c r="S932" s="31">
        <v>115738.08144249672</v>
      </c>
      <c r="T932" s="31">
        <v>10839.992990646129</v>
      </c>
      <c r="U932" s="142">
        <v>104898.08845185059</v>
      </c>
      <c r="AE932" s="137">
        <f t="shared" si="74"/>
        <v>5.8307959650625714</v>
      </c>
      <c r="AF932" s="131">
        <f t="shared" ca="1" si="70"/>
        <v>-104569637.08307983</v>
      </c>
      <c r="AG932" s="131">
        <f t="shared" ca="1" si="71"/>
        <v>-21338144.135678686</v>
      </c>
      <c r="AI932" s="131">
        <f t="shared" si="72"/>
        <v>-81789937.323655128</v>
      </c>
      <c r="AJ932" s="31">
        <f t="shared" si="73"/>
        <v>104898.08845185059</v>
      </c>
    </row>
    <row r="933" spans="15:36">
      <c r="O933" s="15">
        <v>930</v>
      </c>
      <c r="P933" s="33">
        <v>3255310.3373292382</v>
      </c>
      <c r="Q933" s="33">
        <v>70603620.552532256</v>
      </c>
      <c r="R933" s="146">
        <v>-67348310.215203017</v>
      </c>
      <c r="S933" s="31">
        <v>57418.227416165835</v>
      </c>
      <c r="T933" s="31">
        <v>23250.136595904314</v>
      </c>
      <c r="U933" s="142">
        <v>34168.090820261525</v>
      </c>
      <c r="AE933" s="137">
        <f t="shared" si="74"/>
        <v>5.8370791503697506</v>
      </c>
      <c r="AF933" s="131">
        <f t="shared" ca="1" si="70"/>
        <v>-104634765.75078338</v>
      </c>
      <c r="AG933" s="131">
        <f t="shared" ca="1" si="71"/>
        <v>-21403864.87528969</v>
      </c>
      <c r="AI933" s="131">
        <f t="shared" si="72"/>
        <v>-67348310.215203017</v>
      </c>
      <c r="AJ933" s="31">
        <f t="shared" si="73"/>
        <v>34168.090820261525</v>
      </c>
    </row>
    <row r="934" spans="15:36">
      <c r="O934" s="15">
        <v>931</v>
      </c>
      <c r="P934" s="33">
        <v>3696635.7632876746</v>
      </c>
      <c r="Q934" s="33">
        <v>92385821.790385291</v>
      </c>
      <c r="R934" s="146">
        <v>-88689186.027097613</v>
      </c>
      <c r="S934" s="31">
        <v>102842.65179596865</v>
      </c>
      <c r="T934" s="31">
        <v>11342.100890143394</v>
      </c>
      <c r="U934" s="142">
        <v>91500.55090582525</v>
      </c>
      <c r="AE934" s="137">
        <f t="shared" si="74"/>
        <v>5.8433623356769298</v>
      </c>
      <c r="AF934" s="131">
        <f t="shared" ca="1" si="70"/>
        <v>-104699044.32340086</v>
      </c>
      <c r="AG934" s="131">
        <f t="shared" ca="1" si="71"/>
        <v>-21468737.301677562</v>
      </c>
      <c r="AI934" s="131">
        <f t="shared" si="72"/>
        <v>-88689186.027097613</v>
      </c>
      <c r="AJ934" s="31">
        <f t="shared" si="73"/>
        <v>91500.55090582525</v>
      </c>
    </row>
    <row r="935" spans="15:36">
      <c r="O935" s="15">
        <v>932</v>
      </c>
      <c r="P935" s="33">
        <v>3484515.6502024555</v>
      </c>
      <c r="Q935" s="33">
        <v>82989596.188482746</v>
      </c>
      <c r="R935" s="146">
        <v>-79505080.538280293</v>
      </c>
      <c r="S935" s="31">
        <v>87451.973628929438</v>
      </c>
      <c r="T935" s="31">
        <v>8411.4090364787025</v>
      </c>
      <c r="U935" s="142">
        <v>79040.564592450741</v>
      </c>
      <c r="AE935" s="137">
        <f t="shared" si="74"/>
        <v>5.8496455209841089</v>
      </c>
      <c r="AF935" s="131">
        <f t="shared" ca="1" si="70"/>
        <v>-104762470.26332423</v>
      </c>
      <c r="AG935" s="131">
        <f t="shared" ca="1" si="71"/>
        <v>-21532758.853789981</v>
      </c>
      <c r="AI935" s="131">
        <f t="shared" si="72"/>
        <v>-79505080.538280293</v>
      </c>
      <c r="AJ935" s="31">
        <f t="shared" si="73"/>
        <v>79040.564592450741</v>
      </c>
    </row>
    <row r="936" spans="15:36">
      <c r="O936" s="15">
        <v>933</v>
      </c>
      <c r="P936" s="33">
        <v>2274610.7252167282</v>
      </c>
      <c r="Q936" s="33">
        <v>84093223.983986586</v>
      </c>
      <c r="R936" s="146">
        <v>-81818613.258769855</v>
      </c>
      <c r="S936" s="31">
        <v>83308.435608692642</v>
      </c>
      <c r="T936" s="31">
        <v>18634.818815929906</v>
      </c>
      <c r="U936" s="142">
        <v>64673.616792762739</v>
      </c>
      <c r="AE936" s="137">
        <f t="shared" si="74"/>
        <v>5.8559287062912881</v>
      </c>
      <c r="AF936" s="131">
        <f t="shared" ca="1" si="70"/>
        <v>-104825041.06660603</v>
      </c>
      <c r="AG936" s="131">
        <f t="shared" ca="1" si="71"/>
        <v>-21595927.004165702</v>
      </c>
      <c r="AI936" s="131">
        <f t="shared" si="72"/>
        <v>-81818613.258769855</v>
      </c>
      <c r="AJ936" s="31">
        <f t="shared" si="73"/>
        <v>64673.616792762739</v>
      </c>
    </row>
    <row r="937" spans="15:36">
      <c r="O937" s="15">
        <v>934</v>
      </c>
      <c r="P937" s="33">
        <v>3325881.84970723</v>
      </c>
      <c r="Q937" s="33">
        <v>111882544.64260609</v>
      </c>
      <c r="R937" s="146">
        <v>-108556662.79289886</v>
      </c>
      <c r="S937" s="31">
        <v>31131.571468339978</v>
      </c>
      <c r="T937" s="31">
        <v>8832.9786035566103</v>
      </c>
      <c r="U937" s="142">
        <v>22298.592864783368</v>
      </c>
      <c r="AE937" s="137">
        <f t="shared" si="74"/>
        <v>5.8622118915984673</v>
      </c>
      <c r="AF937" s="131">
        <f t="shared" ca="1" si="70"/>
        <v>-104886754.26305805</v>
      </c>
      <c r="AG937" s="131">
        <f t="shared" ca="1" si="71"/>
        <v>-21658239.259034295</v>
      </c>
      <c r="AI937" s="131">
        <f t="shared" si="72"/>
        <v>-108556662.79289886</v>
      </c>
      <c r="AJ937" s="31">
        <f t="shared" si="73"/>
        <v>22298.592864783368</v>
      </c>
    </row>
    <row r="938" spans="15:36">
      <c r="O938" s="15">
        <v>935</v>
      </c>
      <c r="P938" s="33">
        <v>3046304.9469844503</v>
      </c>
      <c r="Q938" s="33">
        <v>86949243.118991122</v>
      </c>
      <c r="R938" s="146">
        <v>-83902938.172006667</v>
      </c>
      <c r="S938" s="31">
        <v>22934.272222154596</v>
      </c>
      <c r="T938" s="31">
        <v>5126.0658497861577</v>
      </c>
      <c r="U938" s="142">
        <v>17808.206372368437</v>
      </c>
      <c r="AE938" s="137">
        <f t="shared" si="74"/>
        <v>5.8684950769056465</v>
      </c>
      <c r="AF938" s="131">
        <f t="shared" ca="1" si="70"/>
        <v>-104947607.41634899</v>
      </c>
      <c r="AG938" s="131">
        <f t="shared" ca="1" si="71"/>
        <v>-21719693.158414647</v>
      </c>
      <c r="AI938" s="131">
        <f t="shared" si="72"/>
        <v>-83902938.172006667</v>
      </c>
      <c r="AJ938" s="31">
        <f t="shared" si="73"/>
        <v>17808.206372368437</v>
      </c>
    </row>
    <row r="939" spans="15:36">
      <c r="O939" s="15">
        <v>936</v>
      </c>
      <c r="P939" s="33">
        <v>3645560.0179401459</v>
      </c>
      <c r="Q939" s="33">
        <v>85457442.35102208</v>
      </c>
      <c r="R939" s="146">
        <v>-81811882.333081931</v>
      </c>
      <c r="S939" s="31">
        <v>117436.23182018963</v>
      </c>
      <c r="T939" s="31">
        <v>13265.927112151396</v>
      </c>
      <c r="U939" s="142">
        <v>104170.30470803822</v>
      </c>
      <c r="AE939" s="137">
        <f t="shared" si="74"/>
        <v>5.8747782622128257</v>
      </c>
      <c r="AF939" s="131">
        <f t="shared" ca="1" si="70"/>
        <v>-105007598.12410054</v>
      </c>
      <c r="AG939" s="131">
        <f t="shared" ca="1" si="71"/>
        <v>-21780286.276212033</v>
      </c>
      <c r="AI939" s="131">
        <f t="shared" si="72"/>
        <v>-81811882.333081931</v>
      </c>
      <c r="AJ939" s="31">
        <f t="shared" si="73"/>
        <v>104170.30470803822</v>
      </c>
    </row>
    <row r="940" spans="15:36">
      <c r="O940" s="15">
        <v>937</v>
      </c>
      <c r="P940" s="33">
        <v>3435118.3622816782</v>
      </c>
      <c r="Q940" s="33">
        <v>99194214.869795248</v>
      </c>
      <c r="R940" s="146">
        <v>-95759096.507513568</v>
      </c>
      <c r="S940" s="31">
        <v>90457.32449713377</v>
      </c>
      <c r="T940" s="31">
        <v>10439.84146677123</v>
      </c>
      <c r="U940" s="142">
        <v>80017.483030362535</v>
      </c>
      <c r="AE940" s="137">
        <f t="shared" si="74"/>
        <v>5.8810614475200049</v>
      </c>
      <c r="AF940" s="131">
        <f t="shared" ca="1" si="70"/>
        <v>-105066724.01798229</v>
      </c>
      <c r="AG940" s="131">
        <f t="shared" ca="1" si="71"/>
        <v>-21840016.220313907</v>
      </c>
      <c r="AI940" s="131">
        <f t="shared" si="72"/>
        <v>-95759096.507513568</v>
      </c>
      <c r="AJ940" s="31">
        <f t="shared" si="73"/>
        <v>80017.483030362535</v>
      </c>
    </row>
    <row r="941" spans="15:36">
      <c r="O941" s="15">
        <v>938</v>
      </c>
      <c r="P941" s="33">
        <v>3495882.5990594658</v>
      </c>
      <c r="Q941" s="33">
        <v>97776542.575872064</v>
      </c>
      <c r="R941" s="146">
        <v>-94280659.976812601</v>
      </c>
      <c r="S941" s="31">
        <v>47556.314773016355</v>
      </c>
      <c r="T941" s="31">
        <v>11923.451804367827</v>
      </c>
      <c r="U941" s="142">
        <v>35632.862968648529</v>
      </c>
      <c r="AE941" s="137">
        <f t="shared" si="74"/>
        <v>5.8873446328271841</v>
      </c>
      <c r="AF941" s="131">
        <f t="shared" ca="1" si="70"/>
        <v>-105124982.76380518</v>
      </c>
      <c r="AG941" s="131">
        <f t="shared" ca="1" si="71"/>
        <v>-21898880.632684365</v>
      </c>
      <c r="AI941" s="131">
        <f t="shared" si="72"/>
        <v>-94280659.976812601</v>
      </c>
      <c r="AJ941" s="31">
        <f t="shared" si="73"/>
        <v>35632.862968648529</v>
      </c>
    </row>
    <row r="942" spans="15:36">
      <c r="O942" s="15">
        <v>939</v>
      </c>
      <c r="P942" s="33">
        <v>2609938.094161571</v>
      </c>
      <c r="Q942" s="33">
        <v>93094667.096128881</v>
      </c>
      <c r="R942" s="146">
        <v>-90484729.001967311</v>
      </c>
      <c r="S942" s="31">
        <v>56209.548742477535</v>
      </c>
      <c r="T942" s="31">
        <v>18307.176469695874</v>
      </c>
      <c r="U942" s="142">
        <v>37902.372272781664</v>
      </c>
      <c r="AE942" s="137">
        <f t="shared" si="74"/>
        <v>5.8936278181343633</v>
      </c>
      <c r="AF942" s="131">
        <f t="shared" ca="1" si="70"/>
        <v>-105182372.06161368</v>
      </c>
      <c r="AG942" s="131">
        <f t="shared" ca="1" si="71"/>
        <v>-21956877.189457182</v>
      </c>
      <c r="AI942" s="131">
        <f t="shared" si="72"/>
        <v>-90484729.001967311</v>
      </c>
      <c r="AJ942" s="31">
        <f t="shared" si="73"/>
        <v>37902.372272781664</v>
      </c>
    </row>
    <row r="943" spans="15:36">
      <c r="O943" s="15">
        <v>940</v>
      </c>
      <c r="P943" s="33">
        <v>4111159.0865512835</v>
      </c>
      <c r="Q943" s="33">
        <v>79040354.432778925</v>
      </c>
      <c r="R943" s="146">
        <v>-74929195.346227646</v>
      </c>
      <c r="S943" s="31">
        <v>108226.63912966054</v>
      </c>
      <c r="T943" s="31">
        <v>14707.204729925919</v>
      </c>
      <c r="U943" s="142">
        <v>93519.43439973463</v>
      </c>
      <c r="AE943" s="137">
        <f t="shared" si="74"/>
        <v>5.8999110034415425</v>
      </c>
      <c r="AF943" s="131">
        <f t="shared" ca="1" si="70"/>
        <v>-105238889.64577657</v>
      </c>
      <c r="AG943" s="131">
        <f t="shared" ca="1" si="71"/>
        <v>-22014003.601027615</v>
      </c>
      <c r="AI943" s="131">
        <f t="shared" si="72"/>
        <v>-74929195.346227646</v>
      </c>
      <c r="AJ943" s="31">
        <f t="shared" si="73"/>
        <v>93519.43439973463</v>
      </c>
    </row>
    <row r="944" spans="15:36">
      <c r="O944" s="15">
        <v>941</v>
      </c>
      <c r="P944" s="33">
        <v>3161969.6266757157</v>
      </c>
      <c r="Q944" s="33">
        <v>79016812.309777588</v>
      </c>
      <c r="R944" s="146">
        <v>-75854842.683101878</v>
      </c>
      <c r="S944" s="31">
        <v>74281.65720417806</v>
      </c>
      <c r="T944" s="31">
        <v>21763.696561230237</v>
      </c>
      <c r="U944" s="142">
        <v>52517.960642947823</v>
      </c>
      <c r="AE944" s="137">
        <f t="shared" si="74"/>
        <v>5.9061941887487217</v>
      </c>
      <c r="AF944" s="131">
        <f t="shared" ca="1" si="70"/>
        <v>-105294533.28507642</v>
      </c>
      <c r="AG944" s="131">
        <f t="shared" ca="1" si="71"/>
        <v>-22070257.612142742</v>
      </c>
      <c r="AI944" s="131">
        <f t="shared" si="72"/>
        <v>-75854842.683101878</v>
      </c>
      <c r="AJ944" s="31">
        <f t="shared" si="73"/>
        <v>52517.960642947823</v>
      </c>
    </row>
    <row r="945" spans="15:36">
      <c r="O945" s="15">
        <v>942</v>
      </c>
      <c r="P945" s="33">
        <v>3266567.9158485886</v>
      </c>
      <c r="Q945" s="33">
        <v>105944700.89951423</v>
      </c>
      <c r="R945" s="146">
        <v>-102678132.98366565</v>
      </c>
      <c r="S945" s="31">
        <v>115003.5243523852</v>
      </c>
      <c r="T945" s="31">
        <v>11372.022579232813</v>
      </c>
      <c r="U945" s="142">
        <v>103631.50177315238</v>
      </c>
      <c r="AE945" s="137">
        <f t="shared" si="74"/>
        <v>5.9124773740559009</v>
      </c>
      <c r="AF945" s="131">
        <f t="shared" ca="1" si="70"/>
        <v>-105349300.78279763</v>
      </c>
      <c r="AG945" s="131">
        <f t="shared" ca="1" si="71"/>
        <v>-22125637.001990538</v>
      </c>
      <c r="AI945" s="131">
        <f t="shared" si="72"/>
        <v>-102678132.98366565</v>
      </c>
      <c r="AJ945" s="31">
        <f t="shared" si="73"/>
        <v>103631.50177315238</v>
      </c>
    </row>
    <row r="946" spans="15:36">
      <c r="O946" s="15">
        <v>943</v>
      </c>
      <c r="P946" s="33">
        <v>3212840.2083995147</v>
      </c>
      <c r="Q946" s="33">
        <v>78062189.018914878</v>
      </c>
      <c r="R946" s="146">
        <v>-74849348.810515359</v>
      </c>
      <c r="S946" s="31">
        <v>94966.054544430794</v>
      </c>
      <c r="T946" s="31">
        <v>11932.938376035818</v>
      </c>
      <c r="U946" s="142">
        <v>83033.116168394976</v>
      </c>
      <c r="AE946" s="137">
        <f t="shared" si="74"/>
        <v>5.9187605593630801</v>
      </c>
      <c r="AF946" s="131">
        <f t="shared" ca="1" si="70"/>
        <v>-105403189.97681315</v>
      </c>
      <c r="AG946" s="131">
        <f t="shared" ca="1" si="71"/>
        <v>-22180139.584287502</v>
      </c>
      <c r="AI946" s="131">
        <f t="shared" si="72"/>
        <v>-74849348.810515359</v>
      </c>
      <c r="AJ946" s="31">
        <f t="shared" si="73"/>
        <v>83033.116168394976</v>
      </c>
    </row>
    <row r="947" spans="15:36">
      <c r="O947" s="15">
        <v>944</v>
      </c>
      <c r="P947" s="33">
        <v>4039392.9522827081</v>
      </c>
      <c r="Q947" s="33">
        <v>96197287.973377019</v>
      </c>
      <c r="R947" s="146">
        <v>-92157895.021094307</v>
      </c>
      <c r="S947" s="31">
        <v>49096.951808166283</v>
      </c>
      <c r="T947" s="31">
        <v>10690.015453062671</v>
      </c>
      <c r="U947" s="142">
        <v>38406.936355103608</v>
      </c>
      <c r="AE947" s="137">
        <f t="shared" si="74"/>
        <v>5.9250437446702593</v>
      </c>
      <c r="AF947" s="131">
        <f t="shared" ca="1" si="70"/>
        <v>-105456198.73966987</v>
      </c>
      <c r="AG947" s="131">
        <f t="shared" ca="1" si="71"/>
        <v>-22233763.207365021</v>
      </c>
      <c r="AI947" s="131">
        <f t="shared" si="72"/>
        <v>-92157895.021094307</v>
      </c>
      <c r="AJ947" s="31">
        <f t="shared" si="73"/>
        <v>38406.936355103608</v>
      </c>
    </row>
    <row r="948" spans="15:36">
      <c r="O948" s="15">
        <v>945</v>
      </c>
      <c r="P948" s="33">
        <v>3777422.9046606603</v>
      </c>
      <c r="Q948" s="33">
        <v>77552739.264410153</v>
      </c>
      <c r="R948" s="146">
        <v>-73775316.359749496</v>
      </c>
      <c r="S948" s="31">
        <v>138215.73758049204</v>
      </c>
      <c r="T948" s="31">
        <v>23199.408141263048</v>
      </c>
      <c r="U948" s="142">
        <v>115016.329439229</v>
      </c>
      <c r="AE948" s="137">
        <f t="shared" si="74"/>
        <v>5.9313269299774385</v>
      </c>
      <c r="AF948" s="131">
        <f t="shared" ca="1" si="70"/>
        <v>-105508324.97867262</v>
      </c>
      <c r="AG948" s="131">
        <f t="shared" ca="1" si="71"/>
        <v>-22286505.754254267</v>
      </c>
      <c r="AI948" s="131">
        <f t="shared" si="72"/>
        <v>-73775316.359749496</v>
      </c>
      <c r="AJ948" s="31">
        <f t="shared" si="73"/>
        <v>115016.329439229</v>
      </c>
    </row>
    <row r="949" spans="15:36">
      <c r="O949" s="15">
        <v>946</v>
      </c>
      <c r="P949" s="33">
        <v>3220274.7258516122</v>
      </c>
      <c r="Q949" s="33">
        <v>82020199.112861216</v>
      </c>
      <c r="R949" s="146">
        <v>-78799924.387009606</v>
      </c>
      <c r="S949" s="31">
        <v>154027.9115272187</v>
      </c>
      <c r="T949" s="31">
        <v>5536.6457449072095</v>
      </c>
      <c r="U949" s="142">
        <v>148491.2657823115</v>
      </c>
      <c r="AE949" s="137">
        <f t="shared" si="74"/>
        <v>5.9376101152846177</v>
      </c>
      <c r="AF949" s="131">
        <f t="shared" ca="1" si="70"/>
        <v>-105559566.63596673</v>
      </c>
      <c r="AG949" s="131">
        <f t="shared" ca="1" si="71"/>
        <v>-22338365.142769802</v>
      </c>
      <c r="AI949" s="131">
        <f t="shared" si="72"/>
        <v>-78799924.387009606</v>
      </c>
      <c r="AJ949" s="31">
        <f t="shared" si="73"/>
        <v>148491.2657823115</v>
      </c>
    </row>
    <row r="950" spans="15:36">
      <c r="O950" s="15">
        <v>947</v>
      </c>
      <c r="P950" s="33">
        <v>3871527.3570428314</v>
      </c>
      <c r="Q950" s="33">
        <v>94294844.022408396</v>
      </c>
      <c r="R950" s="146">
        <v>-90423316.665365562</v>
      </c>
      <c r="S950" s="31">
        <v>83865.918679890194</v>
      </c>
      <c r="T950" s="31">
        <v>13127.627744565505</v>
      </c>
      <c r="U950" s="142">
        <v>70738.290935324694</v>
      </c>
      <c r="AE950" s="137">
        <f t="shared" si="74"/>
        <v>5.9438933005917969</v>
      </c>
      <c r="AF950" s="131">
        <f t="shared" ca="1" si="70"/>
        <v>-105609921.6886193</v>
      </c>
      <c r="AG950" s="131">
        <f t="shared" ca="1" si="71"/>
        <v>-22389339.325591762</v>
      </c>
      <c r="AI950" s="131">
        <f t="shared" si="72"/>
        <v>-90423316.665365562</v>
      </c>
      <c r="AJ950" s="31">
        <f t="shared" si="73"/>
        <v>70738.290935324694</v>
      </c>
    </row>
    <row r="951" spans="15:36">
      <c r="O951" s="15">
        <v>948</v>
      </c>
      <c r="P951" s="33">
        <v>3102850.1210525674</v>
      </c>
      <c r="Q951" s="33">
        <v>85620339.821284935</v>
      </c>
      <c r="R951" s="146">
        <v>-82517489.700232372</v>
      </c>
      <c r="S951" s="31">
        <v>97010.268922463205</v>
      </c>
      <c r="T951" s="31">
        <v>14026.72524958473</v>
      </c>
      <c r="U951" s="142">
        <v>82983.54367287847</v>
      </c>
      <c r="AE951" s="137">
        <f t="shared" si="74"/>
        <v>5.9501764858989761</v>
      </c>
      <c r="AF951" s="131">
        <f t="shared" ca="1" si="70"/>
        <v>-105659388.14869907</v>
      </c>
      <c r="AG951" s="131">
        <f t="shared" ca="1" si="71"/>
        <v>-22439426.290346693</v>
      </c>
      <c r="AI951" s="131">
        <f t="shared" si="72"/>
        <v>-82517489.700232372</v>
      </c>
      <c r="AJ951" s="31">
        <f t="shared" si="73"/>
        <v>82983.54367287847</v>
      </c>
    </row>
    <row r="952" spans="15:36">
      <c r="O952" s="15">
        <v>949</v>
      </c>
      <c r="P952" s="33">
        <v>3693052.3442832818</v>
      </c>
      <c r="Q952" s="33">
        <v>82249867.095891535</v>
      </c>
      <c r="R952" s="146">
        <v>-78556814.751608253</v>
      </c>
      <c r="S952" s="31">
        <v>30597.735508431153</v>
      </c>
      <c r="T952" s="31">
        <v>6296.6472738690791</v>
      </c>
      <c r="U952" s="142">
        <v>24301.088234562074</v>
      </c>
      <c r="AE952" s="137">
        <f t="shared" si="74"/>
        <v>5.9564596712061553</v>
      </c>
      <c r="AF952" s="131">
        <f t="shared" ca="1" si="70"/>
        <v>-105707964.06335492</v>
      </c>
      <c r="AG952" s="131">
        <f t="shared" ca="1" si="71"/>
        <v>-22488624.059686989</v>
      </c>
      <c r="AI952" s="131">
        <f t="shared" si="72"/>
        <v>-78556814.751608253</v>
      </c>
      <c r="AJ952" s="31">
        <f t="shared" si="73"/>
        <v>24301.088234562074</v>
      </c>
    </row>
    <row r="953" spans="15:36">
      <c r="O953" s="15">
        <v>950</v>
      </c>
      <c r="P953" s="33">
        <v>2747189.6401462955</v>
      </c>
      <c r="Q953" s="33">
        <v>86924053.71080485</v>
      </c>
      <c r="R953" s="146">
        <v>-84176864.07065855</v>
      </c>
      <c r="S953" s="31">
        <v>155379.27651771152</v>
      </c>
      <c r="T953" s="31">
        <v>7833.3033481560542</v>
      </c>
      <c r="U953" s="142">
        <v>147545.97316955548</v>
      </c>
      <c r="AE953" s="137">
        <f t="shared" si="74"/>
        <v>5.9627428565133345</v>
      </c>
      <c r="AF953" s="131">
        <f t="shared" ca="1" si="70"/>
        <v>-105755647.51489291</v>
      </c>
      <c r="AG953" s="131">
        <f t="shared" ca="1" si="71"/>
        <v>-22536930.691368956</v>
      </c>
      <c r="AI953" s="131">
        <f t="shared" si="72"/>
        <v>-84176864.07065855</v>
      </c>
      <c r="AJ953" s="31">
        <f t="shared" si="73"/>
        <v>147545.97316955548</v>
      </c>
    </row>
    <row r="954" spans="15:36">
      <c r="O954" s="15">
        <v>951</v>
      </c>
      <c r="P954" s="33">
        <v>3243256.8352903635</v>
      </c>
      <c r="Q954" s="33">
        <v>84641049.742244422</v>
      </c>
      <c r="R954" s="146">
        <v>-81397792.906954065</v>
      </c>
      <c r="S954" s="31">
        <v>185808.08319009692</v>
      </c>
      <c r="T954" s="31">
        <v>8772.7936661339136</v>
      </c>
      <c r="U954" s="142">
        <v>177035.289523963</v>
      </c>
      <c r="AE954" s="137">
        <f t="shared" si="74"/>
        <v>5.9690260418205137</v>
      </c>
      <c r="AF954" s="131">
        <f t="shared" ca="1" si="70"/>
        <v>-105802436.62085198</v>
      </c>
      <c r="AG954" s="131">
        <f t="shared" ca="1" si="71"/>
        <v>-22584344.278329488</v>
      </c>
      <c r="AI954" s="131">
        <f t="shared" si="72"/>
        <v>-81397792.906954065</v>
      </c>
      <c r="AJ954" s="31">
        <f t="shared" si="73"/>
        <v>177035.289523963</v>
      </c>
    </row>
    <row r="955" spans="15:36">
      <c r="O955" s="15">
        <v>952</v>
      </c>
      <c r="P955" s="33">
        <v>3698183.2645070297</v>
      </c>
      <c r="Q955" s="33">
        <v>84704636.240760028</v>
      </c>
      <c r="R955" s="146">
        <v>-81006452.976253003</v>
      </c>
      <c r="S955" s="31">
        <v>122608.69646621616</v>
      </c>
      <c r="T955" s="31">
        <v>12187.370386170174</v>
      </c>
      <c r="U955" s="142">
        <v>110421.32608004598</v>
      </c>
      <c r="AE955" s="137">
        <f t="shared" si="74"/>
        <v>5.9753092271276929</v>
      </c>
      <c r="AF955" s="131">
        <f t="shared" ca="1" si="70"/>
        <v>-105848329.53407839</v>
      </c>
      <c r="AG955" s="131">
        <f t="shared" ca="1" si="71"/>
        <v>-22630862.948761359</v>
      </c>
      <c r="AI955" s="131">
        <f t="shared" si="72"/>
        <v>-81006452.976253003</v>
      </c>
      <c r="AJ955" s="31">
        <f t="shared" si="73"/>
        <v>110421.32608004598</v>
      </c>
    </row>
    <row r="956" spans="15:36">
      <c r="O956" s="15">
        <v>953</v>
      </c>
      <c r="P956" s="33">
        <v>3445430.4142071404</v>
      </c>
      <c r="Q956" s="33">
        <v>89996554.500374496</v>
      </c>
      <c r="R956" s="146">
        <v>-86551124.08616735</v>
      </c>
      <c r="S956" s="31">
        <v>157558.71536710119</v>
      </c>
      <c r="T956" s="31">
        <v>13162.598503534982</v>
      </c>
      <c r="U956" s="142">
        <v>144396.11686356622</v>
      </c>
      <c r="AE956" s="137">
        <f t="shared" si="74"/>
        <v>5.9815924124348721</v>
      </c>
      <c r="AF956" s="131">
        <f t="shared" ca="1" si="70"/>
        <v>-105893324.4427985</v>
      </c>
      <c r="AG956" s="131">
        <f t="shared" ca="1" si="71"/>
        <v>-22676484.866187114</v>
      </c>
      <c r="AI956" s="131">
        <f t="shared" si="72"/>
        <v>-86551124.08616735</v>
      </c>
      <c r="AJ956" s="31">
        <f t="shared" si="73"/>
        <v>144396.11686356622</v>
      </c>
    </row>
    <row r="957" spans="15:36">
      <c r="O957" s="15">
        <v>954</v>
      </c>
      <c r="P957" s="33">
        <v>3606016.316490476</v>
      </c>
      <c r="Q957" s="33">
        <v>94236606.473258644</v>
      </c>
      <c r="R957" s="146">
        <v>-90630590.156768173</v>
      </c>
      <c r="S957" s="31">
        <v>124590.68810915908</v>
      </c>
      <c r="T957" s="31">
        <v>7909.382272684581</v>
      </c>
      <c r="U957" s="142">
        <v>116681.30583647449</v>
      </c>
      <c r="AE957" s="137">
        <f t="shared" si="74"/>
        <v>5.9878755977420512</v>
      </c>
      <c r="AF957" s="131">
        <f t="shared" ca="1" si="70"/>
        <v>-105937419.57069032</v>
      </c>
      <c r="AG957" s="131">
        <f t="shared" ca="1" si="71"/>
        <v>-22721208.229531568</v>
      </c>
      <c r="AI957" s="131">
        <f t="shared" si="72"/>
        <v>-90630590.156768173</v>
      </c>
      <c r="AJ957" s="31">
        <f t="shared" si="73"/>
        <v>116681.30583647449</v>
      </c>
    </row>
    <row r="958" spans="15:36">
      <c r="O958" s="15">
        <v>955</v>
      </c>
      <c r="P958" s="33">
        <v>3076686.426460918</v>
      </c>
      <c r="Q958" s="33">
        <v>96571337.898857698</v>
      </c>
      <c r="R958" s="146">
        <v>-93494651.472396776</v>
      </c>
      <c r="S958" s="31">
        <v>99769.797472089907</v>
      </c>
      <c r="T958" s="31">
        <v>7240.718665190625</v>
      </c>
      <c r="U958" s="142">
        <v>92529.078806899284</v>
      </c>
      <c r="AE958" s="137">
        <f t="shared" si="74"/>
        <v>5.9941587830492304</v>
      </c>
      <c r="AF958" s="131">
        <f t="shared" ca="1" si="70"/>
        <v>-105980613.17695375</v>
      </c>
      <c r="AG958" s="131">
        <f t="shared" ca="1" si="71"/>
        <v>-22765031.273192912</v>
      </c>
      <c r="AI958" s="131">
        <f t="shared" si="72"/>
        <v>-93494651.472396776</v>
      </c>
      <c r="AJ958" s="31">
        <f t="shared" si="73"/>
        <v>92529.078806899284</v>
      </c>
    </row>
    <row r="959" spans="15:36">
      <c r="O959" s="15">
        <v>956</v>
      </c>
      <c r="P959" s="33">
        <v>2936611.8622166212</v>
      </c>
      <c r="Q959" s="33">
        <v>89525450.638164088</v>
      </c>
      <c r="R959" s="146">
        <v>-86588838.775947466</v>
      </c>
      <c r="S959" s="31">
        <v>49061.920948349602</v>
      </c>
      <c r="T959" s="31">
        <v>19577.028033079063</v>
      </c>
      <c r="U959" s="142">
        <v>29484.892915270539</v>
      </c>
      <c r="AE959" s="137">
        <f t="shared" si="74"/>
        <v>6.0004419683564096</v>
      </c>
      <c r="AF959" s="131">
        <f t="shared" ca="1" si="70"/>
        <v>-106022903.55637915</v>
      </c>
      <c r="AG959" s="131">
        <f t="shared" ca="1" si="71"/>
        <v>-22807952.267112426</v>
      </c>
      <c r="AI959" s="131">
        <f t="shared" si="72"/>
        <v>-86588838.775947466</v>
      </c>
      <c r="AJ959" s="31">
        <f t="shared" si="73"/>
        <v>29484.892915270539</v>
      </c>
    </row>
    <row r="960" spans="15:36">
      <c r="O960" s="15">
        <v>957</v>
      </c>
      <c r="P960" s="33">
        <v>3458141.4103670083</v>
      </c>
      <c r="Q960" s="33">
        <v>82469872.734348476</v>
      </c>
      <c r="R960" s="146">
        <v>-79011731.323981464</v>
      </c>
      <c r="S960" s="31">
        <v>91806.101271200052</v>
      </c>
      <c r="T960" s="31">
        <v>6083.4934957252754</v>
      </c>
      <c r="U960" s="142">
        <v>85722.607775474782</v>
      </c>
      <c r="AE960" s="137">
        <f t="shared" si="74"/>
        <v>6.0067251536635888</v>
      </c>
      <c r="AF960" s="131">
        <f t="shared" ca="1" si="70"/>
        <v>-106064289.03941476</v>
      </c>
      <c r="AG960" s="131">
        <f t="shared" ca="1" si="71"/>
        <v>-22849969.51684276</v>
      </c>
      <c r="AI960" s="131">
        <f t="shared" si="72"/>
        <v>-79011731.323981464</v>
      </c>
      <c r="AJ960" s="31">
        <f t="shared" si="73"/>
        <v>85722.607775474782</v>
      </c>
    </row>
    <row r="961" spans="15:36">
      <c r="O961" s="15">
        <v>958</v>
      </c>
      <c r="P961" s="33">
        <v>3470162.997248881</v>
      </c>
      <c r="Q961" s="33">
        <v>74628831.760025293</v>
      </c>
      <c r="R961" s="146">
        <v>-71158668.762776405</v>
      </c>
      <c r="S961" s="31">
        <v>68360.904349988516</v>
      </c>
      <c r="T961" s="31">
        <v>14375.455858958323</v>
      </c>
      <c r="U961" s="142">
        <v>53985.448491030191</v>
      </c>
      <c r="AE961" s="137">
        <f t="shared" si="74"/>
        <v>6.013008338970768</v>
      </c>
      <c r="AF961" s="131">
        <f t="shared" ca="1" si="70"/>
        <v>-106104767.99223258</v>
      </c>
      <c r="AG961" s="131">
        <f t="shared" ca="1" si="71"/>
        <v>-22891081.363614839</v>
      </c>
      <c r="AI961" s="131">
        <f t="shared" si="72"/>
        <v>-71158668.762776405</v>
      </c>
      <c r="AJ961" s="31">
        <f t="shared" si="73"/>
        <v>53985.448491030191</v>
      </c>
    </row>
    <row r="962" spans="15:36">
      <c r="O962" s="15">
        <v>959</v>
      </c>
      <c r="P962" s="33">
        <v>3027332.9428218417</v>
      </c>
      <c r="Q962" s="33">
        <v>89543406.22009854</v>
      </c>
      <c r="R962" s="146">
        <v>-86516073.277276695</v>
      </c>
      <c r="S962" s="31">
        <v>118009.14032430656</v>
      </c>
      <c r="T962" s="31">
        <v>11284.563579099797</v>
      </c>
      <c r="U962" s="142">
        <v>106724.57674520677</v>
      </c>
      <c r="AE962" s="137">
        <f t="shared" si="74"/>
        <v>6.0192915242779472</v>
      </c>
      <c r="AF962" s="131">
        <f t="shared" ca="1" si="70"/>
        <v>-106144338.81679285</v>
      </c>
      <c r="AG962" s="131">
        <f t="shared" ca="1" si="71"/>
        <v>-22931286.184403345</v>
      </c>
      <c r="AI962" s="131">
        <f t="shared" si="72"/>
        <v>-86516073.277276695</v>
      </c>
      <c r="AJ962" s="31">
        <f t="shared" si="73"/>
        <v>106724.57674520677</v>
      </c>
    </row>
    <row r="963" spans="15:36">
      <c r="O963" s="15">
        <v>960</v>
      </c>
      <c r="P963" s="33">
        <v>3137435.6504911305</v>
      </c>
      <c r="Q963" s="33">
        <v>83685247.620249063</v>
      </c>
      <c r="R963" s="146">
        <v>-80547811.969757929</v>
      </c>
      <c r="S963" s="31">
        <v>141225.25446343856</v>
      </c>
      <c r="T963" s="31">
        <v>9902.2049277741298</v>
      </c>
      <c r="U963" s="142">
        <v>131323.04953566444</v>
      </c>
      <c r="AE963" s="137">
        <f t="shared" si="74"/>
        <v>6.0255747095851264</v>
      </c>
      <c r="AF963" s="131">
        <f t="shared" ca="1" si="70"/>
        <v>-106182999.95090717</v>
      </c>
      <c r="AG963" s="131">
        <f t="shared" ca="1" si="71"/>
        <v>-22970582.391990799</v>
      </c>
      <c r="AI963" s="131">
        <f t="shared" si="72"/>
        <v>-80547811.969757929</v>
      </c>
      <c r="AJ963" s="31">
        <f t="shared" si="73"/>
        <v>131323.04953566444</v>
      </c>
    </row>
    <row r="964" spans="15:36">
      <c r="O964" s="15">
        <v>961</v>
      </c>
      <c r="P964" s="33">
        <v>2975469.3397983368</v>
      </c>
      <c r="Q964" s="33">
        <v>92893874.317593247</v>
      </c>
      <c r="R964" s="146">
        <v>-89918404.977794915</v>
      </c>
      <c r="S964" s="31">
        <v>64364.700148342075</v>
      </c>
      <c r="T964" s="31">
        <v>18355.19767036902</v>
      </c>
      <c r="U964" s="142">
        <v>46009.502477973059</v>
      </c>
      <c r="AE964" s="137">
        <f t="shared" si="74"/>
        <v>6.0318578948923056</v>
      </c>
      <c r="AF964" s="131">
        <f t="shared" ca="1" si="70"/>
        <v>-106220749.86830017</v>
      </c>
      <c r="AG964" s="131">
        <f t="shared" ca="1" si="71"/>
        <v>-23008968.435030211</v>
      </c>
      <c r="AI964" s="131">
        <f t="shared" si="72"/>
        <v>-89918404.977794915</v>
      </c>
      <c r="AJ964" s="31">
        <f t="shared" si="73"/>
        <v>46009.502477973059</v>
      </c>
    </row>
    <row r="965" spans="15:36">
      <c r="O965" s="15">
        <v>962</v>
      </c>
      <c r="P965" s="33">
        <v>3639518.9496470368</v>
      </c>
      <c r="Q965" s="33">
        <v>87462572.476585582</v>
      </c>
      <c r="R965" s="146">
        <v>-83823053.526938543</v>
      </c>
      <c r="S965" s="31">
        <v>54709.232507769193</v>
      </c>
      <c r="T965" s="31">
        <v>17931.128119843663</v>
      </c>
      <c r="U965" s="142">
        <v>36778.10438792553</v>
      </c>
      <c r="AE965" s="137">
        <f t="shared" si="74"/>
        <v>6.0381410801994848</v>
      </c>
      <c r="AF965" s="131">
        <f t="shared" ref="AF965:AF1004" ca="1" si="75">(AB$25*AC$19*COS(AE965)+AC$25*AC$20*SIN(AE965))+X$9</f>
        <v>-106257587.07866976</v>
      </c>
      <c r="AG965" s="131">
        <f t="shared" ref="AG965:AG1004" ca="1" si="76">(AC$26*AC$19*COS(AE965)+AC$26*AC$20*SIN(AE965))+Y$9</f>
        <v>-23046442.798106328</v>
      </c>
      <c r="AI965" s="131">
        <f t="shared" ref="AI965:AI1003" si="77">R965</f>
        <v>-83823053.526938543</v>
      </c>
      <c r="AJ965" s="31">
        <f t="shared" ref="AJ965:AJ1003" si="78">U965</f>
        <v>36778.10438792553</v>
      </c>
    </row>
    <row r="966" spans="15:36">
      <c r="O966" s="15">
        <v>963</v>
      </c>
      <c r="P966" s="33">
        <v>3651070.2564014732</v>
      </c>
      <c r="Q966" s="33">
        <v>97287773.553509623</v>
      </c>
      <c r="R966" s="146">
        <v>-93636703.297108144</v>
      </c>
      <c r="S966" s="31">
        <v>78147.162940918715</v>
      </c>
      <c r="T966" s="31">
        <v>15486.312037452533</v>
      </c>
      <c r="U966" s="142">
        <v>62660.850903466184</v>
      </c>
      <c r="AE966" s="137">
        <f t="shared" si="74"/>
        <v>6.044424265506664</v>
      </c>
      <c r="AF966" s="131">
        <f t="shared" ca="1" si="75"/>
        <v>-106293510.12774593</v>
      </c>
      <c r="AG966" s="131">
        <f t="shared" ca="1" si="76"/>
        <v>-23083004.001795452</v>
      </c>
      <c r="AI966" s="131">
        <f t="shared" si="77"/>
        <v>-93636703.297108144</v>
      </c>
      <c r="AJ966" s="31">
        <f t="shared" si="78"/>
        <v>62660.850903466184</v>
      </c>
    </row>
    <row r="967" spans="15:36">
      <c r="O967" s="15">
        <v>964</v>
      </c>
      <c r="P967" s="33">
        <v>3123391.5409296425</v>
      </c>
      <c r="Q967" s="33">
        <v>100147918.92660612</v>
      </c>
      <c r="R967" s="146">
        <v>-97024527.385676473</v>
      </c>
      <c r="S967" s="31">
        <v>40778.867058520875</v>
      </c>
      <c r="T967" s="31">
        <v>7442.6315952214209</v>
      </c>
      <c r="U967" s="142">
        <v>33336.235463299454</v>
      </c>
      <c r="AE967" s="137">
        <f t="shared" ref="AE967:AE1004" si="79">AE966+AE$5</f>
        <v>6.0507074508138432</v>
      </c>
      <c r="AF967" s="131">
        <f t="shared" ca="1" si="75"/>
        <v>-106328517.59734824</v>
      </c>
      <c r="AG967" s="131">
        <f t="shared" ca="1" si="76"/>
        <v>-23118650.602723885</v>
      </c>
      <c r="AI967" s="131">
        <f t="shared" si="77"/>
        <v>-97024527.385676473</v>
      </c>
      <c r="AJ967" s="31">
        <f t="shared" si="78"/>
        <v>33336.235463299454</v>
      </c>
    </row>
    <row r="968" spans="15:36">
      <c r="O968" s="15">
        <v>965</v>
      </c>
      <c r="P968" s="33">
        <v>3511288.6891274769</v>
      </c>
      <c r="Q968" s="33">
        <v>95011624.097782791</v>
      </c>
      <c r="R968" s="146">
        <v>-91500335.408655316</v>
      </c>
      <c r="S968" s="31">
        <v>56442.142124032333</v>
      </c>
      <c r="T968" s="31">
        <v>4732.3343178447585</v>
      </c>
      <c r="U968" s="142">
        <v>51709.807806187571</v>
      </c>
      <c r="AE968" s="137">
        <f t="shared" si="79"/>
        <v>6.0569906361210224</v>
      </c>
      <c r="AF968" s="131">
        <f t="shared" ca="1" si="75"/>
        <v>-106362608.1054417</v>
      </c>
      <c r="AG968" s="131">
        <f t="shared" ca="1" si="76"/>
        <v>-23153381.193624847</v>
      </c>
      <c r="AI968" s="131">
        <f t="shared" si="77"/>
        <v>-91500335.408655316</v>
      </c>
      <c r="AJ968" s="31">
        <f t="shared" si="78"/>
        <v>51709.807806187571</v>
      </c>
    </row>
    <row r="969" spans="15:36">
      <c r="O969" s="15">
        <v>966</v>
      </c>
      <c r="P969" s="33">
        <v>3708172.5602966701</v>
      </c>
      <c r="Q969" s="33">
        <v>73458439.18033725</v>
      </c>
      <c r="R969" s="146">
        <v>-69750266.620040581</v>
      </c>
      <c r="S969" s="31">
        <v>147515.96604473153</v>
      </c>
      <c r="T969" s="31">
        <v>12705.545911163215</v>
      </c>
      <c r="U969" s="142">
        <v>134810.42013356832</v>
      </c>
      <c r="AE969" s="137">
        <f t="shared" si="79"/>
        <v>6.0632738214282016</v>
      </c>
      <c r="AF969" s="131">
        <f t="shared" ca="1" si="75"/>
        <v>-106395780.30619144</v>
      </c>
      <c r="AG969" s="131">
        <f t="shared" ca="1" si="76"/>
        <v>-23187194.403394073</v>
      </c>
      <c r="AI969" s="131">
        <f t="shared" si="77"/>
        <v>-69750266.620040581</v>
      </c>
      <c r="AJ969" s="31">
        <f t="shared" si="78"/>
        <v>134810.42013356832</v>
      </c>
    </row>
    <row r="970" spans="15:36">
      <c r="O970" s="15">
        <v>967</v>
      </c>
      <c r="P970" s="33">
        <v>3256504.456051345</v>
      </c>
      <c r="Q970" s="33">
        <v>87247345.306347176</v>
      </c>
      <c r="R970" s="146">
        <v>-83990840.850295827</v>
      </c>
      <c r="S970" s="31">
        <v>184360.60254961622</v>
      </c>
      <c r="T970" s="31">
        <v>12638.595065981304</v>
      </c>
      <c r="U970" s="142">
        <v>171722.00748363492</v>
      </c>
      <c r="AE970" s="137">
        <f t="shared" si="79"/>
        <v>6.0695570067353808</v>
      </c>
      <c r="AF970" s="131">
        <f t="shared" ca="1" si="75"/>
        <v>-106428032.89001578</v>
      </c>
      <c r="AG970" s="131">
        <f t="shared" ca="1" si="76"/>
        <v>-23220088.897143949</v>
      </c>
      <c r="AI970" s="131">
        <f t="shared" si="77"/>
        <v>-83990840.850295827</v>
      </c>
      <c r="AJ970" s="31">
        <f t="shared" si="78"/>
        <v>171722.00748363492</v>
      </c>
    </row>
    <row r="971" spans="15:36">
      <c r="O971" s="15">
        <v>968</v>
      </c>
      <c r="P971" s="33">
        <v>3710907.1658999459</v>
      </c>
      <c r="Q971" s="33">
        <v>91781808.119133949</v>
      </c>
      <c r="R971" s="146">
        <v>-88070900.953234002</v>
      </c>
      <c r="S971" s="31">
        <v>36107.665407677094</v>
      </c>
      <c r="T971" s="31">
        <v>12967.999172300628</v>
      </c>
      <c r="U971" s="142">
        <v>23139.666235376466</v>
      </c>
      <c r="AE971" s="137">
        <f t="shared" si="79"/>
        <v>6.07584019204256</v>
      </c>
      <c r="AF971" s="131">
        <f t="shared" ca="1" si="75"/>
        <v>-106459364.58363794</v>
      </c>
      <c r="AG971" s="131">
        <f t="shared" ca="1" si="76"/>
        <v>-23252063.376256183</v>
      </c>
      <c r="AI971" s="131">
        <f t="shared" si="77"/>
        <v>-88070900.953234002</v>
      </c>
      <c r="AJ971" s="31">
        <f t="shared" si="78"/>
        <v>23139.666235376466</v>
      </c>
    </row>
    <row r="972" spans="15:36">
      <c r="O972" s="15">
        <v>969</v>
      </c>
      <c r="P972" s="33">
        <v>2528333.5705170603</v>
      </c>
      <c r="Q972" s="33">
        <v>93524947.523116827</v>
      </c>
      <c r="R972" s="146">
        <v>-90996613.952599764</v>
      </c>
      <c r="S972" s="31">
        <v>91641.990773975107</v>
      </c>
      <c r="T972" s="31">
        <v>22302.853229847577</v>
      </c>
      <c r="U972" s="142">
        <v>69339.13754412753</v>
      </c>
      <c r="AE972" s="137">
        <f t="shared" si="79"/>
        <v>6.0821233773497392</v>
      </c>
      <c r="AF972" s="131">
        <f t="shared" ca="1" si="75"/>
        <v>-106489774.15013628</v>
      </c>
      <c r="AG972" s="131">
        <f t="shared" ca="1" si="76"/>
        <v>-23283116.578433085</v>
      </c>
      <c r="AI972" s="131">
        <f t="shared" si="77"/>
        <v>-90996613.952599764</v>
      </c>
      <c r="AJ972" s="31">
        <f t="shared" si="78"/>
        <v>69339.13754412753</v>
      </c>
    </row>
    <row r="973" spans="15:36">
      <c r="O973" s="15">
        <v>970</v>
      </c>
      <c r="P973" s="33">
        <v>3437711.1010462339</v>
      </c>
      <c r="Q973" s="33">
        <v>68637914.261970609</v>
      </c>
      <c r="R973" s="146">
        <v>-65200203.160924375</v>
      </c>
      <c r="S973" s="31">
        <v>46663.667943349654</v>
      </c>
      <c r="T973" s="31">
        <v>25179.348198791406</v>
      </c>
      <c r="U973" s="142">
        <v>21484.319744558248</v>
      </c>
      <c r="AE973" s="137">
        <f t="shared" si="79"/>
        <v>6.0884065626569184</v>
      </c>
      <c r="AF973" s="131">
        <f t="shared" ca="1" si="75"/>
        <v>-106519260.38899319</v>
      </c>
      <c r="AG973" s="131">
        <f t="shared" ca="1" si="76"/>
        <v>-23313247.277747408</v>
      </c>
      <c r="AI973" s="131">
        <f t="shared" si="77"/>
        <v>-65200203.160924375</v>
      </c>
      <c r="AJ973" s="31">
        <f t="shared" si="78"/>
        <v>21484.319744558248</v>
      </c>
    </row>
    <row r="974" spans="15:36">
      <c r="O974" s="15">
        <v>971</v>
      </c>
      <c r="P974" s="33">
        <v>4234084.1539940918</v>
      </c>
      <c r="Q974" s="33">
        <v>90562098.331478745</v>
      </c>
      <c r="R974" s="146">
        <v>-86328014.177484646</v>
      </c>
      <c r="S974" s="31">
        <v>102357.71440363133</v>
      </c>
      <c r="T974" s="31">
        <v>14486.4917996862</v>
      </c>
      <c r="U974" s="142">
        <v>87871.22260394512</v>
      </c>
      <c r="AE974" s="137">
        <f t="shared" si="79"/>
        <v>6.0946897479640976</v>
      </c>
      <c r="AF974" s="131">
        <f t="shared" ca="1" si="75"/>
        <v>-106547822.13614246</v>
      </c>
      <c r="AG974" s="131">
        <f t="shared" ca="1" si="76"/>
        <v>-23342454.284690734</v>
      </c>
      <c r="AI974" s="131">
        <f t="shared" si="77"/>
        <v>-86328014.177484646</v>
      </c>
      <c r="AJ974" s="31">
        <f t="shared" si="78"/>
        <v>87871.22260394512</v>
      </c>
    </row>
    <row r="975" spans="15:36">
      <c r="O975" s="15">
        <v>972</v>
      </c>
      <c r="P975" s="33">
        <v>3709827.3414849453</v>
      </c>
      <c r="Q975" s="33">
        <v>80021453.800648138</v>
      </c>
      <c r="R975" s="146">
        <v>-76311626.459163189</v>
      </c>
      <c r="S975" s="31">
        <v>77017.312738667519</v>
      </c>
      <c r="T975" s="31">
        <v>5275.1003393023775</v>
      </c>
      <c r="U975" s="142">
        <v>71742.212399365148</v>
      </c>
      <c r="AE975" s="137">
        <f t="shared" si="79"/>
        <v>6.1009729332712768</v>
      </c>
      <c r="AF975" s="131">
        <f t="shared" ca="1" si="75"/>
        <v>-106575458.26401523</v>
      </c>
      <c r="AG975" s="131">
        <f t="shared" ca="1" si="76"/>
        <v>-23370736.446220439</v>
      </c>
      <c r="AI975" s="131">
        <f t="shared" si="77"/>
        <v>-76311626.459163189</v>
      </c>
      <c r="AJ975" s="31">
        <f t="shared" si="78"/>
        <v>71742.212399365148</v>
      </c>
    </row>
    <row r="976" spans="15:36">
      <c r="O976" s="15">
        <v>973</v>
      </c>
      <c r="P976" s="33">
        <v>3252665.9792029294</v>
      </c>
      <c r="Q976" s="33">
        <v>92230320.570175782</v>
      </c>
      <c r="R976" s="146">
        <v>-88977654.590972856</v>
      </c>
      <c r="S976" s="31">
        <v>82093.891285835416</v>
      </c>
      <c r="T976" s="31">
        <v>15439.280824713347</v>
      </c>
      <c r="U976" s="142">
        <v>66654.610461122065</v>
      </c>
      <c r="AE976" s="137">
        <f t="shared" si="79"/>
        <v>6.107256118578456</v>
      </c>
      <c r="AF976" s="131">
        <f t="shared" ca="1" si="75"/>
        <v>-106602167.68158445</v>
      </c>
      <c r="AG976" s="131">
        <f t="shared" ca="1" si="76"/>
        <v>-23398092.645805214</v>
      </c>
      <c r="AI976" s="131">
        <f t="shared" si="77"/>
        <v>-88977654.590972856</v>
      </c>
      <c r="AJ976" s="31">
        <f t="shared" si="78"/>
        <v>66654.610461122065</v>
      </c>
    </row>
    <row r="977" spans="15:36">
      <c r="O977" s="15">
        <v>974</v>
      </c>
      <c r="P977" s="33">
        <v>3251961.3004430705</v>
      </c>
      <c r="Q977" s="33">
        <v>96231279.470121875</v>
      </c>
      <c r="R977" s="146">
        <v>-92979318.169678807</v>
      </c>
      <c r="S977" s="31">
        <v>116508.94851360071</v>
      </c>
      <c r="T977" s="31">
        <v>7383.6648721356869</v>
      </c>
      <c r="U977" s="142">
        <v>109125.28364146502</v>
      </c>
      <c r="AE977" s="137">
        <f t="shared" si="79"/>
        <v>6.1135393038856352</v>
      </c>
      <c r="AF977" s="131">
        <f t="shared" ca="1" si="75"/>
        <v>-106627949.33440809</v>
      </c>
      <c r="AG977" s="131">
        <f t="shared" ca="1" si="76"/>
        <v>-23424521.803469136</v>
      </c>
      <c r="AI977" s="131">
        <f t="shared" si="77"/>
        <v>-92979318.169678807</v>
      </c>
      <c r="AJ977" s="31">
        <f t="shared" si="78"/>
        <v>109125.28364146502</v>
      </c>
    </row>
    <row r="978" spans="15:36">
      <c r="O978" s="15">
        <v>975</v>
      </c>
      <c r="P978" s="33">
        <v>3423971.1723244567</v>
      </c>
      <c r="Q978" s="33">
        <v>94668333.006610259</v>
      </c>
      <c r="R978" s="146">
        <v>-91244361.834285796</v>
      </c>
      <c r="S978" s="31">
        <v>75836.711171714371</v>
      </c>
      <c r="T978" s="31">
        <v>5486.170261260273</v>
      </c>
      <c r="U978" s="142">
        <v>70350.540910454103</v>
      </c>
      <c r="AE978" s="137">
        <f t="shared" si="79"/>
        <v>6.1198224891928144</v>
      </c>
      <c r="AF978" s="131">
        <f t="shared" ca="1" si="75"/>
        <v>-106652802.20467064</v>
      </c>
      <c r="AG978" s="131">
        <f t="shared" ca="1" si="76"/>
        <v>-23450022.875834327</v>
      </c>
      <c r="AI978" s="131">
        <f t="shared" si="77"/>
        <v>-91244361.834285796</v>
      </c>
      <c r="AJ978" s="31">
        <f t="shared" si="78"/>
        <v>70350.540910454103</v>
      </c>
    </row>
    <row r="979" spans="15:36">
      <c r="O979" s="15">
        <v>976</v>
      </c>
      <c r="P979" s="33">
        <v>3804810.8867049026</v>
      </c>
      <c r="Q979" s="33">
        <v>72249681.052429542</v>
      </c>
      <c r="R979" s="146">
        <v>-68444870.165724635</v>
      </c>
      <c r="S979" s="31">
        <v>19918.121965855491</v>
      </c>
      <c r="T979" s="31">
        <v>7110.2979705801254</v>
      </c>
      <c r="U979" s="142">
        <v>12807.823995275365</v>
      </c>
      <c r="AE979" s="137">
        <f t="shared" si="79"/>
        <v>6.1261056744999935</v>
      </c>
      <c r="AF979" s="131">
        <f t="shared" ca="1" si="75"/>
        <v>-106676725.3112233</v>
      </c>
      <c r="AG979" s="131">
        <f t="shared" ca="1" si="76"/>
        <v>-23474594.856162094</v>
      </c>
      <c r="AI979" s="131">
        <f t="shared" si="77"/>
        <v>-68444870.165724635</v>
      </c>
      <c r="AJ979" s="31">
        <f t="shared" si="78"/>
        <v>12807.823995275365</v>
      </c>
    </row>
    <row r="980" spans="15:36">
      <c r="O980" s="15">
        <v>977</v>
      </c>
      <c r="P980" s="33">
        <v>3469942.6181501932</v>
      </c>
      <c r="Q980" s="33">
        <v>90211603.2281335</v>
      </c>
      <c r="R980" s="146">
        <v>-86741660.60998331</v>
      </c>
      <c r="S980" s="31">
        <v>51452.730041530682</v>
      </c>
      <c r="T980" s="31">
        <v>9373.8014320663442</v>
      </c>
      <c r="U980" s="142">
        <v>42078.928609464339</v>
      </c>
      <c r="AE980" s="137">
        <f t="shared" si="79"/>
        <v>6.1323888598071727</v>
      </c>
      <c r="AF980" s="131">
        <f t="shared" ca="1" si="75"/>
        <v>-106699717.70962282</v>
      </c>
      <c r="AG980" s="131">
        <f t="shared" ca="1" si="76"/>
        <v>-23498236.77439275</v>
      </c>
      <c r="AI980" s="131">
        <f t="shared" si="77"/>
        <v>-86741660.60998331</v>
      </c>
      <c r="AJ980" s="31">
        <f t="shared" si="78"/>
        <v>42078.928609464339</v>
      </c>
    </row>
    <row r="981" spans="15:36">
      <c r="O981" s="15">
        <v>978</v>
      </c>
      <c r="P981" s="33">
        <v>2219255.2835520031</v>
      </c>
      <c r="Q981" s="33">
        <v>80908220.875975996</v>
      </c>
      <c r="R981" s="146">
        <v>-78688965.59242399</v>
      </c>
      <c r="S981" s="31">
        <v>90391.160490533628</v>
      </c>
      <c r="T981" s="31">
        <v>28292.224405743633</v>
      </c>
      <c r="U981" s="142">
        <v>62098.936084789995</v>
      </c>
      <c r="AE981" s="137">
        <f t="shared" si="79"/>
        <v>6.1386720451143519</v>
      </c>
      <c r="AF981" s="131">
        <f t="shared" ca="1" si="75"/>
        <v>-106721778.49216865</v>
      </c>
      <c r="AG981" s="131">
        <f t="shared" ca="1" si="76"/>
        <v>-23520947.697183825</v>
      </c>
      <c r="AI981" s="131">
        <f t="shared" si="77"/>
        <v>-78688965.59242399</v>
      </c>
      <c r="AJ981" s="31">
        <f t="shared" si="78"/>
        <v>62098.936084789995</v>
      </c>
    </row>
    <row r="982" spans="15:36">
      <c r="O982" s="15">
        <v>979</v>
      </c>
      <c r="P982" s="33">
        <v>3250332.4348635469</v>
      </c>
      <c r="Q982" s="33">
        <v>85879546.686677203</v>
      </c>
      <c r="R982" s="146">
        <v>-82629214.25181365</v>
      </c>
      <c r="S982" s="31">
        <v>132427.38751403303</v>
      </c>
      <c r="T982" s="31">
        <v>12560.418298740597</v>
      </c>
      <c r="U982" s="142">
        <v>119866.96921529244</v>
      </c>
      <c r="AE982" s="137">
        <f t="shared" si="79"/>
        <v>6.1449552304215311</v>
      </c>
      <c r="AF982" s="131">
        <f t="shared" ca="1" si="75"/>
        <v>-106742906.78793891</v>
      </c>
      <c r="AG982" s="131">
        <f t="shared" ca="1" si="76"/>
        <v>-23542726.727946993</v>
      </c>
      <c r="AI982" s="131">
        <f t="shared" si="77"/>
        <v>-82629214.25181365</v>
      </c>
      <c r="AJ982" s="31">
        <f t="shared" si="78"/>
        <v>119866.96921529244</v>
      </c>
    </row>
    <row r="983" spans="15:36">
      <c r="O983" s="15">
        <v>980</v>
      </c>
      <c r="P983" s="33">
        <v>2692554.8083823826</v>
      </c>
      <c r="Q983" s="33">
        <v>91308043.20788835</v>
      </c>
      <c r="R983" s="146">
        <v>-88615488.399505973</v>
      </c>
      <c r="S983" s="31">
        <v>71825.676204113683</v>
      </c>
      <c r="T983" s="31">
        <v>14772.523642586089</v>
      </c>
      <c r="U983" s="142">
        <v>57053.15256152759</v>
      </c>
      <c r="AE983" s="137">
        <f t="shared" si="79"/>
        <v>6.1512384157287103</v>
      </c>
      <c r="AF983" s="131">
        <f t="shared" ca="1" si="75"/>
        <v>-106763101.76282464</v>
      </c>
      <c r="AG983" s="131">
        <f t="shared" ca="1" si="76"/>
        <v>-23563573.006883398</v>
      </c>
      <c r="AI983" s="131">
        <f t="shared" si="77"/>
        <v>-88615488.399505973</v>
      </c>
      <c r="AJ983" s="31">
        <f t="shared" si="78"/>
        <v>57053.15256152759</v>
      </c>
    </row>
    <row r="984" spans="15:36">
      <c r="O984" s="15">
        <v>981</v>
      </c>
      <c r="P984" s="33">
        <v>3193544.6748693772</v>
      </c>
      <c r="Q984" s="33">
        <v>85591825.35742633</v>
      </c>
      <c r="R984" s="146">
        <v>-82398280.682556957</v>
      </c>
      <c r="S984" s="31">
        <v>61801.861536627308</v>
      </c>
      <c r="T984" s="31">
        <v>6888.8424641389956</v>
      </c>
      <c r="U984" s="142">
        <v>54913.019072488314</v>
      </c>
      <c r="AE984" s="137">
        <f t="shared" si="79"/>
        <v>6.1575216010358895</v>
      </c>
      <c r="AF984" s="131">
        <f t="shared" ca="1" si="75"/>
        <v>-106782362.6195628</v>
      </c>
      <c r="AG984" s="131">
        <f t="shared" ca="1" si="76"/>
        <v>-23583485.711017646</v>
      </c>
      <c r="AI984" s="131">
        <f t="shared" si="77"/>
        <v>-82398280.682556957</v>
      </c>
      <c r="AJ984" s="31">
        <f t="shared" si="78"/>
        <v>54913.019072488314</v>
      </c>
    </row>
    <row r="985" spans="15:36">
      <c r="O985" s="15">
        <v>982</v>
      </c>
      <c r="P985" s="33">
        <v>2780083.4697570316</v>
      </c>
      <c r="Q985" s="33">
        <v>90400722.026952296</v>
      </c>
      <c r="R985" s="146">
        <v>-87620638.557195261</v>
      </c>
      <c r="S985" s="31">
        <v>124956.39128574429</v>
      </c>
      <c r="T985" s="31">
        <v>13531.202110749175</v>
      </c>
      <c r="U985" s="142">
        <v>111425.18917499512</v>
      </c>
      <c r="AE985" s="137">
        <f t="shared" si="79"/>
        <v>6.1638047863430687</v>
      </c>
      <c r="AF985" s="131">
        <f t="shared" ca="1" si="75"/>
        <v>-106800688.59776776</v>
      </c>
      <c r="AG985" s="131">
        <f t="shared" ca="1" si="76"/>
        <v>-23602464.054230273</v>
      </c>
      <c r="AI985" s="131">
        <f t="shared" si="77"/>
        <v>-87620638.557195261</v>
      </c>
      <c r="AJ985" s="31">
        <f t="shared" si="78"/>
        <v>111425.18917499512</v>
      </c>
    </row>
    <row r="986" spans="15:36">
      <c r="O986" s="15">
        <v>983</v>
      </c>
      <c r="P986" s="33">
        <v>3295288.0570894405</v>
      </c>
      <c r="Q986" s="33">
        <v>83150074.029372901</v>
      </c>
      <c r="R986" s="146">
        <v>-79854785.972283453</v>
      </c>
      <c r="S986" s="31">
        <v>61860.616455432086</v>
      </c>
      <c r="T986" s="31">
        <v>7594.5577062096081</v>
      </c>
      <c r="U986" s="142">
        <v>54266.05874922248</v>
      </c>
      <c r="AE986" s="137">
        <f t="shared" si="79"/>
        <v>6.1700879716502479</v>
      </c>
      <c r="AF986" s="131">
        <f t="shared" ca="1" si="75"/>
        <v>-106818078.97396128</v>
      </c>
      <c r="AG986" s="131">
        <f t="shared" ca="1" si="76"/>
        <v>-23620507.287288789</v>
      </c>
      <c r="AI986" s="131">
        <f t="shared" si="77"/>
        <v>-79854785.972283453</v>
      </c>
      <c r="AJ986" s="31">
        <f t="shared" si="78"/>
        <v>54266.05874922248</v>
      </c>
    </row>
    <row r="987" spans="15:36">
      <c r="O987" s="15">
        <v>984</v>
      </c>
      <c r="P987" s="33">
        <v>3636308.6090676067</v>
      </c>
      <c r="Q987" s="33">
        <v>107909319.56648339</v>
      </c>
      <c r="R987" s="146">
        <v>-104273010.95741579</v>
      </c>
      <c r="S987" s="31">
        <v>79003.352021753279</v>
      </c>
      <c r="T987" s="31">
        <v>16962.314107546656</v>
      </c>
      <c r="U987" s="142">
        <v>62041.037914206623</v>
      </c>
      <c r="AE987" s="137">
        <f t="shared" si="79"/>
        <v>6.1763711569574271</v>
      </c>
      <c r="AF987" s="131">
        <f t="shared" ca="1" si="75"/>
        <v>-106834533.06160107</v>
      </c>
      <c r="AG987" s="131">
        <f t="shared" ca="1" si="76"/>
        <v>-23637614.697877243</v>
      </c>
      <c r="AI987" s="131">
        <f t="shared" si="77"/>
        <v>-104273010.95741579</v>
      </c>
      <c r="AJ987" s="31">
        <f t="shared" si="78"/>
        <v>62041.037914206623</v>
      </c>
    </row>
    <row r="988" spans="15:36">
      <c r="O988" s="15">
        <v>985</v>
      </c>
      <c r="P988" s="33">
        <v>3437727.7269571708</v>
      </c>
      <c r="Q988" s="33">
        <v>90739677.60686183</v>
      </c>
      <c r="R988" s="146">
        <v>-87301949.879904658</v>
      </c>
      <c r="S988" s="31">
        <v>129623.80401172502</v>
      </c>
      <c r="T988" s="31">
        <v>22419.467890224918</v>
      </c>
      <c r="U988" s="142">
        <v>107204.33612150011</v>
      </c>
      <c r="AE988" s="137">
        <f t="shared" si="79"/>
        <v>6.1826543422646063</v>
      </c>
      <c r="AF988" s="131">
        <f t="shared" ca="1" si="75"/>
        <v>-106850050.21110794</v>
      </c>
      <c r="AG988" s="131">
        <f t="shared" ca="1" si="76"/>
        <v>-23653785.610624358</v>
      </c>
      <c r="AI988" s="131">
        <f t="shared" si="77"/>
        <v>-87301949.879904658</v>
      </c>
      <c r="AJ988" s="31">
        <f t="shared" si="78"/>
        <v>107204.33612150011</v>
      </c>
    </row>
    <row r="989" spans="15:36">
      <c r="O989" s="15">
        <v>986</v>
      </c>
      <c r="P989" s="33">
        <v>2481731.9327786998</v>
      </c>
      <c r="Q989" s="33">
        <v>81020709.736924693</v>
      </c>
      <c r="R989" s="146">
        <v>-78538977.804145992</v>
      </c>
      <c r="S989" s="31">
        <v>111147.78251248616</v>
      </c>
      <c r="T989" s="31">
        <v>19813.666148893015</v>
      </c>
      <c r="U989" s="142">
        <v>91334.116363593144</v>
      </c>
      <c r="AE989" s="137">
        <f t="shared" si="79"/>
        <v>6.1889375275717855</v>
      </c>
      <c r="AF989" s="131">
        <f t="shared" ca="1" si="75"/>
        <v>-106864629.80989139</v>
      </c>
      <c r="AG989" s="131">
        <f t="shared" ca="1" si="76"/>
        <v>-23669019.38713019</v>
      </c>
      <c r="AI989" s="131">
        <f t="shared" si="77"/>
        <v>-78538977.804145992</v>
      </c>
      <c r="AJ989" s="31">
        <f t="shared" si="78"/>
        <v>91334.116363593144</v>
      </c>
    </row>
    <row r="990" spans="15:36">
      <c r="O990" s="15">
        <v>987</v>
      </c>
      <c r="P990" s="33">
        <v>3118748.3047417486</v>
      </c>
      <c r="Q990" s="33">
        <v>90185972.659892678</v>
      </c>
      <c r="R990" s="146">
        <v>-87067224.355150923</v>
      </c>
      <c r="S990" s="31">
        <v>137784.40318885684</v>
      </c>
      <c r="T990" s="31">
        <v>11584.895729535325</v>
      </c>
      <c r="U990" s="142">
        <v>126199.50745932152</v>
      </c>
      <c r="AE990" s="137">
        <f t="shared" si="79"/>
        <v>6.1952207128789647</v>
      </c>
      <c r="AF990" s="131">
        <f t="shared" ca="1" si="75"/>
        <v>-106878271.28237383</v>
      </c>
      <c r="AG990" s="131">
        <f t="shared" ca="1" si="76"/>
        <v>-23683315.42599133</v>
      </c>
      <c r="AI990" s="131">
        <f t="shared" si="77"/>
        <v>-87067224.355150923</v>
      </c>
      <c r="AJ990" s="31">
        <f t="shared" si="78"/>
        <v>126199.50745932152</v>
      </c>
    </row>
    <row r="991" spans="15:36">
      <c r="O991" s="15">
        <v>988</v>
      </c>
      <c r="P991" s="33">
        <v>3360919.0797788929</v>
      </c>
      <c r="Q991" s="33">
        <v>93871016.86624454</v>
      </c>
      <c r="R991" s="146">
        <v>-90510097.786465645</v>
      </c>
      <c r="S991" s="31">
        <v>132861.26018546821</v>
      </c>
      <c r="T991" s="31">
        <v>11073.784359429641</v>
      </c>
      <c r="U991" s="142">
        <v>121787.47582603857</v>
      </c>
      <c r="AE991" s="137">
        <f t="shared" si="79"/>
        <v>6.2015038981861439</v>
      </c>
      <c r="AF991" s="131">
        <f t="shared" ca="1" si="75"/>
        <v>-106890974.09001328</v>
      </c>
      <c r="AG991" s="131">
        <f t="shared" ca="1" si="76"/>
        <v>-23696673.162824634</v>
      </c>
      <c r="AI991" s="131">
        <f t="shared" si="77"/>
        <v>-90510097.786465645</v>
      </c>
      <c r="AJ991" s="31">
        <f t="shared" si="78"/>
        <v>121787.47582603857</v>
      </c>
    </row>
    <row r="992" spans="15:36">
      <c r="O992" s="15">
        <v>989</v>
      </c>
      <c r="P992" s="33">
        <v>3383702.4316556663</v>
      </c>
      <c r="Q992" s="33">
        <v>79884467.48511529</v>
      </c>
      <c r="R992" s="146">
        <v>-76500765.053459629</v>
      </c>
      <c r="S992" s="31">
        <v>63758.26051569089</v>
      </c>
      <c r="T992" s="31">
        <v>22428.467011674715</v>
      </c>
      <c r="U992" s="142">
        <v>41329.793504016176</v>
      </c>
      <c r="AE992" s="137">
        <f t="shared" si="79"/>
        <v>6.2077870834933231</v>
      </c>
      <c r="AF992" s="131">
        <f t="shared" ca="1" si="75"/>
        <v>-106902737.73132464</v>
      </c>
      <c r="AG992" s="131">
        <f t="shared" ca="1" si="76"/>
        <v>-23709092.07028953</v>
      </c>
      <c r="AI992" s="131">
        <f t="shared" si="77"/>
        <v>-76500765.053459629</v>
      </c>
      <c r="AJ992" s="31">
        <f t="shared" si="78"/>
        <v>41329.793504016176</v>
      </c>
    </row>
    <row r="993" spans="15:36">
      <c r="O993" s="15">
        <v>990</v>
      </c>
      <c r="P993" s="33">
        <v>2404402.621197057</v>
      </c>
      <c r="Q993" s="33">
        <v>81478284.847830206</v>
      </c>
      <c r="R993" s="146">
        <v>-79073882.226633146</v>
      </c>
      <c r="S993" s="31">
        <v>87509.85980172272</v>
      </c>
      <c r="T993" s="31">
        <v>6543.9011784986651</v>
      </c>
      <c r="U993" s="142">
        <v>80965.958623224054</v>
      </c>
      <c r="AE993" s="137">
        <f t="shared" si="79"/>
        <v>6.2140702688005023</v>
      </c>
      <c r="AF993" s="131">
        <f t="shared" ca="1" si="75"/>
        <v>-106913561.74189951</v>
      </c>
      <c r="AG993" s="131">
        <f t="shared" ca="1" si="76"/>
        <v>-23720571.658108816</v>
      </c>
      <c r="AI993" s="131">
        <f t="shared" si="77"/>
        <v>-79073882.226633146</v>
      </c>
      <c r="AJ993" s="31">
        <f t="shared" si="78"/>
        <v>80965.958623224054</v>
      </c>
    </row>
    <row r="994" spans="15:36">
      <c r="O994" s="15">
        <v>991</v>
      </c>
      <c r="P994" s="33">
        <v>3555589.588464566</v>
      </c>
      <c r="Q994" s="33">
        <v>79972529.764602289</v>
      </c>
      <c r="R994" s="146">
        <v>-76416940.176137716</v>
      </c>
      <c r="S994" s="31">
        <v>66180.208188649325</v>
      </c>
      <c r="T994" s="31">
        <v>14707.679041100055</v>
      </c>
      <c r="U994" s="142">
        <v>51472.52914754927</v>
      </c>
      <c r="AE994" s="137">
        <f t="shared" si="79"/>
        <v>6.2203534541076815</v>
      </c>
      <c r="AF994" s="131">
        <f t="shared" ca="1" si="75"/>
        <v>-106923445.69442447</v>
      </c>
      <c r="AG994" s="131">
        <f t="shared" ca="1" si="76"/>
        <v>-23731111.473088015</v>
      </c>
      <c r="AI994" s="131">
        <f t="shared" si="77"/>
        <v>-76416940.176137716</v>
      </c>
      <c r="AJ994" s="31">
        <f t="shared" si="78"/>
        <v>51472.52914754927</v>
      </c>
    </row>
    <row r="995" spans="15:36">
      <c r="O995" s="15">
        <v>992</v>
      </c>
      <c r="P995" s="33">
        <v>3754866.8744042721</v>
      </c>
      <c r="Q995" s="33">
        <v>94184070.639655173</v>
      </c>
      <c r="R995" s="146">
        <v>-90429203.765250906</v>
      </c>
      <c r="S995" s="31">
        <v>93125.538174226254</v>
      </c>
      <c r="T995" s="31">
        <v>16305.767091330041</v>
      </c>
      <c r="U995" s="142">
        <v>76819.771082896215</v>
      </c>
      <c r="AE995" s="137">
        <f t="shared" si="79"/>
        <v>6.2266366394148607</v>
      </c>
      <c r="AF995" s="131">
        <f t="shared" ca="1" si="75"/>
        <v>-106932389.19869798</v>
      </c>
      <c r="AG995" s="131">
        <f t="shared" ca="1" si="76"/>
        <v>-23740711.099133287</v>
      </c>
      <c r="AI995" s="131">
        <f t="shared" si="77"/>
        <v>-90429203.765250906</v>
      </c>
      <c r="AJ995" s="31">
        <f t="shared" si="78"/>
        <v>76819.771082896215</v>
      </c>
    </row>
    <row r="996" spans="15:36">
      <c r="O996" s="15">
        <v>993</v>
      </c>
      <c r="P996" s="33">
        <v>3157062.3263906105</v>
      </c>
      <c r="Q996" s="33">
        <v>88717313.898082644</v>
      </c>
      <c r="R996" s="146">
        <v>-85560251.571692035</v>
      </c>
      <c r="S996" s="31">
        <v>103424.67104235337</v>
      </c>
      <c r="T996" s="31">
        <v>21398.900616031991</v>
      </c>
      <c r="U996" s="142">
        <v>82025.770426321367</v>
      </c>
      <c r="AE996" s="137">
        <f t="shared" si="79"/>
        <v>6.2329198247220399</v>
      </c>
      <c r="AF996" s="131">
        <f t="shared" ca="1" si="75"/>
        <v>-106940391.90164587</v>
      </c>
      <c r="AG996" s="131">
        <f t="shared" ca="1" si="76"/>
        <v>-23749370.157267831</v>
      </c>
      <c r="AI996" s="131">
        <f t="shared" si="77"/>
        <v>-85560251.571692035</v>
      </c>
      <c r="AJ996" s="31">
        <f t="shared" si="78"/>
        <v>82025.770426321367</v>
      </c>
    </row>
    <row r="997" spans="15:36">
      <c r="O997" s="15">
        <v>994</v>
      </c>
      <c r="P997" s="33">
        <v>3597192.0926506547</v>
      </c>
      <c r="Q997" s="33">
        <v>83344746.918633312</v>
      </c>
      <c r="R997" s="146">
        <v>-79747554.82598266</v>
      </c>
      <c r="S997" s="31">
        <v>63229.751008058025</v>
      </c>
      <c r="T997" s="31">
        <v>12864.090850311995</v>
      </c>
      <c r="U997" s="142">
        <v>50365.660157746031</v>
      </c>
      <c r="AE997" s="137">
        <f t="shared" si="79"/>
        <v>6.2392030100292191</v>
      </c>
      <c r="AF997" s="131">
        <f t="shared" ca="1" si="75"/>
        <v>-106947453.48733506</v>
      </c>
      <c r="AG997" s="131">
        <f t="shared" ca="1" si="76"/>
        <v>-23757088.305646852</v>
      </c>
      <c r="AI997" s="131">
        <f t="shared" si="77"/>
        <v>-79747554.82598266</v>
      </c>
      <c r="AJ997" s="31">
        <f t="shared" si="78"/>
        <v>50365.660157746031</v>
      </c>
    </row>
    <row r="998" spans="15:36">
      <c r="O998" s="15">
        <v>995</v>
      </c>
      <c r="P998" s="33">
        <v>3584977.7215665407</v>
      </c>
      <c r="Q998" s="33">
        <v>86173935.138210908</v>
      </c>
      <c r="R998" s="146">
        <v>-82588957.416644365</v>
      </c>
      <c r="S998" s="31">
        <v>89933.551023260457</v>
      </c>
      <c r="T998" s="31">
        <v>10433.707759971468</v>
      </c>
      <c r="U998" s="142">
        <v>79499.843263288989</v>
      </c>
      <c r="AE998" s="137">
        <f t="shared" si="79"/>
        <v>6.2454861953363983</v>
      </c>
      <c r="AF998" s="131">
        <f t="shared" ca="1" si="75"/>
        <v>-106953573.67698628</v>
      </c>
      <c r="AG998" s="131">
        <f t="shared" ca="1" si="76"/>
        <v>-23763865.239571076</v>
      </c>
      <c r="AI998" s="131">
        <f t="shared" si="77"/>
        <v>-82588957.416644365</v>
      </c>
      <c r="AJ998" s="31">
        <f t="shared" si="78"/>
        <v>79499.843263288989</v>
      </c>
    </row>
    <row r="999" spans="15:36">
      <c r="O999" s="15">
        <v>996</v>
      </c>
      <c r="P999" s="33">
        <v>2700397.6517166598</v>
      </c>
      <c r="Q999" s="33">
        <v>88172932.101403549</v>
      </c>
      <c r="R999" s="146">
        <v>-85472534.449686885</v>
      </c>
      <c r="S999" s="31">
        <v>26904.152792655088</v>
      </c>
      <c r="T999" s="31">
        <v>6385.2418251419713</v>
      </c>
      <c r="U999" s="142">
        <v>20518.910967513119</v>
      </c>
      <c r="AE999" s="137">
        <f t="shared" si="79"/>
        <v>6.2517693806435775</v>
      </c>
      <c r="AF999" s="131">
        <f t="shared" ca="1" si="75"/>
        <v>-106958752.22898489</v>
      </c>
      <c r="AG999" s="131">
        <f t="shared" ca="1" si="76"/>
        <v>-23769700.691498749</v>
      </c>
      <c r="AI999" s="131">
        <f t="shared" si="77"/>
        <v>-85472534.449686885</v>
      </c>
      <c r="AJ999" s="31">
        <f t="shared" si="78"/>
        <v>20518.910967513119</v>
      </c>
    </row>
    <row r="1000" spans="15:36">
      <c r="O1000" s="15">
        <v>997</v>
      </c>
      <c r="P1000" s="33">
        <v>3552357.0900924886</v>
      </c>
      <c r="Q1000" s="33">
        <v>88317788.168254539</v>
      </c>
      <c r="R1000" s="146">
        <v>-84765431.078162044</v>
      </c>
      <c r="S1000" s="31">
        <v>126492.01573160704</v>
      </c>
      <c r="T1000" s="31">
        <v>7143.2305530187368</v>
      </c>
      <c r="U1000" s="142">
        <v>119348.7851785883</v>
      </c>
      <c r="AE1000" s="137">
        <f t="shared" si="79"/>
        <v>6.2580525659507567</v>
      </c>
      <c r="AF1000" s="131">
        <f t="shared" ca="1" si="75"/>
        <v>-106962988.93889056</v>
      </c>
      <c r="AG1000" s="131">
        <f t="shared" ca="1" si="76"/>
        <v>-23774594.431056224</v>
      </c>
      <c r="AI1000" s="131">
        <f t="shared" si="77"/>
        <v>-84765431.078162044</v>
      </c>
      <c r="AJ1000" s="31">
        <f t="shared" si="78"/>
        <v>119348.7851785883</v>
      </c>
    </row>
    <row r="1001" spans="15:36">
      <c r="O1001" s="15">
        <v>998</v>
      </c>
      <c r="P1001" s="33">
        <v>3333241.7783341464</v>
      </c>
      <c r="Q1001" s="33">
        <v>81103951.039739609</v>
      </c>
      <c r="R1001" s="146">
        <v>-77770709.261405468</v>
      </c>
      <c r="S1001" s="31">
        <v>56772.424614915974</v>
      </c>
      <c r="T1001" s="31">
        <v>7409.3396800683713</v>
      </c>
      <c r="U1001" s="142">
        <v>49363.084934847604</v>
      </c>
      <c r="AE1001" s="137">
        <f t="shared" si="79"/>
        <v>6.2643357512579358</v>
      </c>
      <c r="AF1001" s="131">
        <f t="shared" ca="1" si="75"/>
        <v>-106966283.63944522</v>
      </c>
      <c r="AG1001" s="131">
        <f t="shared" ca="1" si="76"/>
        <v>-23778546.265047044</v>
      </c>
      <c r="AI1001" s="131">
        <f t="shared" si="77"/>
        <v>-77770709.261405468</v>
      </c>
      <c r="AJ1001" s="31">
        <f t="shared" si="78"/>
        <v>49363.084934847604</v>
      </c>
    </row>
    <row r="1002" spans="15:36">
      <c r="O1002" s="15">
        <v>999</v>
      </c>
      <c r="P1002" s="33">
        <v>3068461.6018367186</v>
      </c>
      <c r="Q1002" s="33">
        <v>70551838.601090804</v>
      </c>
      <c r="R1002" s="146">
        <v>-67483376.999254078</v>
      </c>
      <c r="S1002" s="31">
        <v>68840.221345740763</v>
      </c>
      <c r="T1002" s="31">
        <v>7650.914185142502</v>
      </c>
      <c r="U1002" s="142">
        <v>61189.307160598262</v>
      </c>
      <c r="AE1002" s="137">
        <f t="shared" si="79"/>
        <v>6.270618936565115</v>
      </c>
      <c r="AF1002" s="131">
        <f t="shared" ca="1" si="75"/>
        <v>-106968636.20057973</v>
      </c>
      <c r="AG1002" s="131">
        <f t="shared" ca="1" si="76"/>
        <v>-23781556.037459563</v>
      </c>
      <c r="AI1002" s="131">
        <f t="shared" si="77"/>
        <v>-67483376.999254078</v>
      </c>
      <c r="AJ1002" s="31">
        <f t="shared" si="78"/>
        <v>61189.307160598262</v>
      </c>
    </row>
    <row r="1003" spans="15:36">
      <c r="O1003" s="16">
        <v>1000</v>
      </c>
      <c r="P1003" s="147">
        <v>2730944.3934496082</v>
      </c>
      <c r="Q1003" s="147">
        <v>76648912.630201876</v>
      </c>
      <c r="R1003" s="148">
        <v>-73917968.236752272</v>
      </c>
      <c r="S1003" s="143">
        <v>83167.440701724132</v>
      </c>
      <c r="T1003" s="143">
        <v>14042.551896197348</v>
      </c>
      <c r="U1003" s="144">
        <v>69124.888805526789</v>
      </c>
      <c r="AE1003" s="137">
        <f t="shared" si="79"/>
        <v>6.2769021218722942</v>
      </c>
      <c r="AF1003" s="131">
        <f t="shared" ca="1" si="75"/>
        <v>-106970046.52941902</v>
      </c>
      <c r="AG1003" s="131">
        <f t="shared" ca="1" si="76"/>
        <v>-23783623.629473135</v>
      </c>
      <c r="AI1003" s="131">
        <f t="shared" si="77"/>
        <v>-73917968.236752272</v>
      </c>
      <c r="AJ1003" s="31">
        <f t="shared" si="78"/>
        <v>69124.888805526789</v>
      </c>
    </row>
    <row r="1004" spans="15:36">
      <c r="AE1004" s="137">
        <f t="shared" si="79"/>
        <v>6.2831853071794734</v>
      </c>
      <c r="AF1004" s="131">
        <f t="shared" ca="1" si="75"/>
        <v>-106970514.57028571</v>
      </c>
      <c r="AG1004" s="131">
        <f t="shared" ca="1" si="76"/>
        <v>-23784748.959462751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F323C-954F-4A2F-979E-C508024D7146}">
  <sheetPr codeName="Sheet20">
    <tabColor theme="4"/>
  </sheetPr>
  <dimension ref="A1:I58"/>
  <sheetViews>
    <sheetView workbookViewId="0">
      <pane ySplit="6" topLeftCell="A21" activePane="bottomLeft" state="frozen"/>
      <selection pane="bottomLeft" activeCell="N54" sqref="N54"/>
    </sheetView>
  </sheetViews>
  <sheetFormatPr baseColWidth="10" defaultColWidth="9.1640625" defaultRowHeight="14"/>
  <cols>
    <col min="1" max="1" width="10.5" style="22" bestFit="1" customWidth="1"/>
    <col min="2" max="2" width="15.1640625" style="22" customWidth="1"/>
    <col min="3" max="3" width="11.33203125" style="22" customWidth="1"/>
    <col min="4" max="16384" width="9.1640625" style="22"/>
  </cols>
  <sheetData>
    <row r="1" spans="1:5" ht="18">
      <c r="A1" s="47" t="s">
        <v>83</v>
      </c>
    </row>
    <row r="5" spans="1:5">
      <c r="A5" s="48" t="s">
        <v>84</v>
      </c>
      <c r="B5" s="48"/>
      <c r="C5" s="48"/>
      <c r="D5" s="48"/>
      <c r="E5" s="48"/>
    </row>
    <row r="6" spans="1:5">
      <c r="A6" s="48" t="s">
        <v>85</v>
      </c>
      <c r="B6" s="48" t="s">
        <v>86</v>
      </c>
      <c r="C6" s="48" t="s">
        <v>87</v>
      </c>
      <c r="D6" s="48" t="s">
        <v>88</v>
      </c>
      <c r="E6" s="48" t="s">
        <v>89</v>
      </c>
    </row>
    <row r="7" spans="1:5">
      <c r="A7" s="49">
        <v>0</v>
      </c>
      <c r="B7" s="49">
        <f ca="1">(A7*'Additional Calculations'!$B$11*(-1))-'Additional Calculations'!$C$11*(-1)</f>
        <v>79757875.138957337</v>
      </c>
      <c r="C7" s="49">
        <f>SQRT((A7*'Additional Calculations'!$B$12)^2+'Additional Calculations'!$C$12^2-(2*'Additional Calculations'!$B$22*'Additional Calculations'!$B$12*'Additional Calculations'!$C$12))</f>
        <v>124.26120142747756</v>
      </c>
      <c r="D7" s="24">
        <f ca="1">IF(B7=0,0,B7/C7)</f>
        <v>641856.62316733948</v>
      </c>
      <c r="E7" s="24">
        <f ca="1">_xlfn.NORM.DIST(D7,0,1,1)</f>
        <v>1</v>
      </c>
    </row>
    <row r="8" spans="1:5">
      <c r="A8" s="49">
        <v>100</v>
      </c>
      <c r="B8" s="49">
        <f ca="1">(A8*'Additional Calculations'!$B$11*(-1))-'Additional Calculations'!$C$11*(-1)</f>
        <v>91911212.310779229</v>
      </c>
      <c r="C8" s="49">
        <f>SQRT((A8*'Additional Calculations'!$B$12)^2+'Additional Calculations'!$C$12^2-(2*'Additional Calculations'!$B$22*'Additional Calculations'!$B$12*'Additional Calculations'!$C$12))</f>
        <v>133.51346816033262</v>
      </c>
      <c r="D8" s="24">
        <f t="shared" ref="D8:D58" ca="1" si="0">IF(B8=0,0,B8/C8)</f>
        <v>688404.0507464431</v>
      </c>
      <c r="E8" s="24">
        <f t="shared" ref="E8:E58" ca="1" si="1">_xlfn.NORM.DIST(D8,0,1,1)</f>
        <v>1</v>
      </c>
    </row>
    <row r="9" spans="1:5">
      <c r="A9" s="49">
        <v>200</v>
      </c>
      <c r="B9" s="49">
        <f ca="1">(A9*'Additional Calculations'!$B$11*(-1))-'Additional Calculations'!$C$11*(-1)</f>
        <v>104064549.48260112</v>
      </c>
      <c r="C9" s="49">
        <f>SQRT((A9*'Additional Calculations'!$B$12)^2+'Additional Calculations'!$C$12^2-(2*'Additional Calculations'!$B$22*'Additional Calculations'!$B$12*'Additional Calculations'!$C$12))</f>
        <v>158.05330170610213</v>
      </c>
      <c r="D9" s="24">
        <f t="shared" ca="1" si="0"/>
        <v>658414.27138363535</v>
      </c>
      <c r="E9" s="24">
        <f t="shared" ca="1" si="1"/>
        <v>1</v>
      </c>
    </row>
    <row r="10" spans="1:5">
      <c r="A10" s="49">
        <v>300</v>
      </c>
      <c r="B10" s="49">
        <f ca="1">(A10*'Additional Calculations'!$B$11*(-1))-'Additional Calculations'!$C$11*(-1)</f>
        <v>116217886.65442303</v>
      </c>
      <c r="C10" s="49">
        <f>SQRT((A10*'Additional Calculations'!$B$12)^2+'Additional Calculations'!$C$12^2-(2*'Additional Calculations'!$B$22*'Additional Calculations'!$B$12*'Additional Calculations'!$C$12))</f>
        <v>192.1089435195565</v>
      </c>
      <c r="D10" s="24">
        <f t="shared" ca="1" si="0"/>
        <v>604958.23112260341</v>
      </c>
      <c r="E10" s="24">
        <f t="shared" ca="1" si="1"/>
        <v>1</v>
      </c>
    </row>
    <row r="11" spans="1:5">
      <c r="A11" s="49">
        <v>400</v>
      </c>
      <c r="B11" s="49">
        <f ca="1">(A11*'Additional Calculations'!$B$11*(-1))-'Additional Calculations'!$C$11*(-1)</f>
        <v>128371223.82624492</v>
      </c>
      <c r="C11" s="49">
        <f>SQRT((A11*'Additional Calculations'!$B$12)^2+'Additional Calculations'!$C$12^2-(2*'Additional Calculations'!$B$22*'Additional Calculations'!$B$12*'Additional Calculations'!$C$12))</f>
        <v>231.51856551948518</v>
      </c>
      <c r="D11" s="24">
        <f t="shared" ca="1" si="0"/>
        <v>554474.85836914822</v>
      </c>
      <c r="E11" s="24">
        <f t="shared" ca="1" si="1"/>
        <v>1</v>
      </c>
    </row>
    <row r="12" spans="1:5">
      <c r="A12" s="49">
        <v>500</v>
      </c>
      <c r="B12" s="49">
        <f ca="1">(A12*'Additional Calculations'!$B$11*(-1))-'Additional Calculations'!$C$11*(-1)</f>
        <v>140524560.99806681</v>
      </c>
      <c r="C12" s="49">
        <f>SQRT((A12*'Additional Calculations'!$B$12)^2+'Additional Calculations'!$C$12^2-(2*'Additional Calculations'!$B$22*'Additional Calculations'!$B$12*'Additional Calculations'!$C$12))</f>
        <v>273.98147050521527</v>
      </c>
      <c r="D12" s="24">
        <f t="shared" ca="1" si="0"/>
        <v>512898.04649541772</v>
      </c>
      <c r="E12" s="24">
        <f t="shared" ca="1" si="1"/>
        <v>1</v>
      </c>
    </row>
    <row r="13" spans="1:5">
      <c r="A13" s="49">
        <v>600</v>
      </c>
      <c r="B13" s="49">
        <f ca="1">(A13*'Additional Calculations'!$B$11*(-1))-'Additional Calculations'!$C$11*(-1)</f>
        <v>152677898.16988871</v>
      </c>
      <c r="C13" s="49">
        <f>SQRT((A13*'Additional Calculations'!$B$12)^2+'Additional Calculations'!$C$12^2-(2*'Additional Calculations'!$B$22*'Additional Calculations'!$B$12*'Additional Calculations'!$C$12))</f>
        <v>318.27793856973523</v>
      </c>
      <c r="D13" s="24">
        <f t="shared" ca="1" si="0"/>
        <v>479699.90900401887</v>
      </c>
      <c r="E13" s="24">
        <f t="shared" ca="1" si="1"/>
        <v>1</v>
      </c>
    </row>
    <row r="14" spans="1:5">
      <c r="A14" s="49">
        <v>700</v>
      </c>
      <c r="B14" s="49">
        <f ca="1">(A14*'Additional Calculations'!$B$11*(-1))-'Additional Calculations'!$C$11*(-1)</f>
        <v>164831235.3417106</v>
      </c>
      <c r="C14" s="49">
        <f>SQRT((A14*'Additional Calculations'!$B$12)^2+'Additional Calculations'!$C$12^2-(2*'Additional Calculations'!$B$22*'Additional Calculations'!$B$12*'Additional Calculations'!$C$12))</f>
        <v>363.73870591428698</v>
      </c>
      <c r="D14" s="24">
        <f t="shared" ca="1" si="0"/>
        <v>453158.35972801904</v>
      </c>
      <c r="E14" s="24">
        <f t="shared" ca="1" si="1"/>
        <v>1</v>
      </c>
    </row>
    <row r="15" spans="1:5">
      <c r="A15" s="49">
        <v>800</v>
      </c>
      <c r="B15" s="49">
        <f ca="1">(A15*'Additional Calculations'!$B$11*(-1))-'Additional Calculations'!$C$11*(-1)</f>
        <v>176984572.51353249</v>
      </c>
      <c r="C15" s="49">
        <f>SQRT((A15*'Additional Calculations'!$B$12)^2+'Additional Calculations'!$C$12^2-(2*'Additional Calculations'!$B$22*'Additional Calculations'!$B$12*'Additional Calculations'!$C$12))</f>
        <v>409.97664101775376</v>
      </c>
      <c r="D15" s="24">
        <f t="shared" ca="1" si="0"/>
        <v>431694.28403085115</v>
      </c>
      <c r="E15" s="24">
        <f t="shared" ca="1" si="1"/>
        <v>1</v>
      </c>
    </row>
    <row r="16" spans="1:5">
      <c r="A16" s="49">
        <v>900</v>
      </c>
      <c r="B16" s="49">
        <f ca="1">(A16*'Additional Calculations'!$B$11*(-1))-'Additional Calculations'!$C$11*(-1)</f>
        <v>189137909.68535438</v>
      </c>
      <c r="C16" s="49">
        <f>SQRT((A16*'Additional Calculations'!$B$12)^2+'Additional Calculations'!$C$12^2-(2*'Additional Calculations'!$B$22*'Additional Calculations'!$B$12*'Additional Calculations'!$C$12))</f>
        <v>456.75578395921832</v>
      </c>
      <c r="D16" s="24">
        <f t="shared" ca="1" si="0"/>
        <v>414089.79662147345</v>
      </c>
      <c r="E16" s="24">
        <f t="shared" ca="1" si="1"/>
        <v>1</v>
      </c>
    </row>
    <row r="17" spans="1:5">
      <c r="A17" s="49">
        <v>1000</v>
      </c>
      <c r="B17" s="49">
        <f ca="1">(A17*'Additional Calculations'!$B$11*(-1))-'Additional Calculations'!$C$11*(-1)</f>
        <v>201291246.85717627</v>
      </c>
      <c r="C17" s="49">
        <f>SQRT((A17*'Additional Calculations'!$B$12)^2+'Additional Calculations'!$C$12^2-(2*'Additional Calculations'!$B$22*'Additional Calculations'!$B$12*'Additional Calculations'!$C$12))</f>
        <v>503.92543712358889</v>
      </c>
      <c r="D17" s="24">
        <f t="shared" ca="1" si="0"/>
        <v>399446.48955636891</v>
      </c>
      <c r="E17" s="24">
        <f t="shared" ca="1" si="1"/>
        <v>1</v>
      </c>
    </row>
    <row r="18" spans="1:5">
      <c r="A18" s="49">
        <v>1100</v>
      </c>
      <c r="B18" s="49">
        <f ca="1">(A18*'Additional Calculations'!$B$11*(-1))-'Additional Calculations'!$C$11*(-1)</f>
        <v>213444584.0289982</v>
      </c>
      <c r="C18" s="49">
        <f>SQRT((A18*'Additional Calculations'!$B$12)^2+'Additional Calculations'!$C$12^2-(2*'Additional Calculations'!$B$22*'Additional Calculations'!$B$12*'Additional Calculations'!$C$12))</f>
        <v>551.38538807280702</v>
      </c>
      <c r="D18" s="24">
        <f t="shared" ca="1" si="0"/>
        <v>387105.98547964089</v>
      </c>
      <c r="E18" s="24">
        <f t="shared" ca="1" si="1"/>
        <v>1</v>
      </c>
    </row>
    <row r="19" spans="1:5">
      <c r="A19" s="49">
        <v>1200</v>
      </c>
      <c r="B19" s="49">
        <f ca="1">(A19*'Additional Calculations'!$B$11*(-1))-'Additional Calculations'!$C$11*(-1)</f>
        <v>225597921.20082009</v>
      </c>
      <c r="C19" s="49">
        <f>SQRT((A19*'Additional Calculations'!$B$12)^2+'Additional Calculations'!$C$12^2-(2*'Additional Calculations'!$B$22*'Additional Calculations'!$B$12*'Additional Calculations'!$C$12))</f>
        <v>599.06664585853889</v>
      </c>
      <c r="D19" s="24">
        <f t="shared" ca="1" si="0"/>
        <v>376582.34315066814</v>
      </c>
      <c r="E19" s="24">
        <f t="shared" ca="1" si="1"/>
        <v>1</v>
      </c>
    </row>
    <row r="20" spans="1:5">
      <c r="A20" s="49">
        <v>1300</v>
      </c>
      <c r="B20" s="49">
        <f ca="1">(A20*'Additional Calculations'!$B$11*(-1))-'Additional Calculations'!$C$11*(-1)</f>
        <v>237751258.37264198</v>
      </c>
      <c r="C20" s="49">
        <f>SQRT((A20*'Additional Calculations'!$B$12)^2+'Additional Calculations'!$C$12^2-(2*'Additional Calculations'!$B$22*'Additional Calculations'!$B$12*'Additional Calculations'!$C$12))</f>
        <v>646.92027807157206</v>
      </c>
      <c r="D20" s="24">
        <f t="shared" ca="1" si="0"/>
        <v>367512.45312848018</v>
      </c>
      <c r="E20" s="24">
        <f t="shared" ca="1" si="1"/>
        <v>1</v>
      </c>
    </row>
    <row r="21" spans="1:5">
      <c r="A21" s="49">
        <v>1400</v>
      </c>
      <c r="B21" s="49">
        <f ca="1">(A21*'Additional Calculations'!$B$11*(-1))-'Additional Calculations'!$C$11*(-1)</f>
        <v>249904595.54446387</v>
      </c>
      <c r="C21" s="49">
        <f>SQRT((A21*'Additional Calculations'!$B$12)^2+'Additional Calculations'!$C$12^2-(2*'Additional Calculations'!$B$22*'Additional Calculations'!$B$12*'Additional Calculations'!$C$12))</f>
        <v>694.91067496491962</v>
      </c>
      <c r="D21" s="24">
        <f t="shared" ca="1" si="0"/>
        <v>359621.17801266978</v>
      </c>
      <c r="E21" s="24">
        <f t="shared" ca="1" si="1"/>
        <v>1</v>
      </c>
    </row>
    <row r="22" spans="1:5">
      <c r="A22" s="49">
        <v>1500</v>
      </c>
      <c r="B22" s="49">
        <f ca="1">(A22*'Additional Calculations'!$B$11*(-1))-'Additional Calculations'!$C$11*(-1)</f>
        <v>262057932.71628577</v>
      </c>
      <c r="C22" s="49">
        <f>SQRT((A22*'Additional Calculations'!$B$12)^2+'Additional Calculations'!$C$12^2-(2*'Additional Calculations'!$B$22*'Additional Calculations'!$B$12*'Additional Calculations'!$C$12))</f>
        <v>743.01133650853546</v>
      </c>
      <c r="D22" s="24">
        <f t="shared" ca="1" si="0"/>
        <v>352697.08527963399</v>
      </c>
      <c r="E22" s="24">
        <f t="shared" ca="1" si="1"/>
        <v>1</v>
      </c>
    </row>
    <row r="23" spans="1:5">
      <c r="A23" s="49">
        <v>1600</v>
      </c>
      <c r="B23" s="49">
        <f ca="1">(A23*'Additional Calculations'!$B$11*(-1))-'Additional Calculations'!$C$11*(-1)</f>
        <v>274211269.88810766</v>
      </c>
      <c r="C23" s="49">
        <f>SQRT((A23*'Additional Calculations'!$B$12)^2+'Additional Calculations'!$C$12^2-(2*'Additional Calculations'!$B$22*'Additional Calculations'!$B$12*'Additional Calculations'!$C$12))</f>
        <v>791.20215253764331</v>
      </c>
      <c r="D23" s="24">
        <f t="shared" ca="1" si="0"/>
        <v>346575.48517609906</v>
      </c>
      <c r="E23" s="24">
        <f t="shared" ca="1" si="1"/>
        <v>1</v>
      </c>
    </row>
    <row r="24" spans="1:5">
      <c r="A24" s="49">
        <v>1700</v>
      </c>
      <c r="B24" s="49">
        <f ca="1">(A24*'Additional Calculations'!$B$11*(-1))-'Additional Calculations'!$C$11*(-1)</f>
        <v>286364607.05992955</v>
      </c>
      <c r="C24" s="49">
        <f>SQRT((A24*'Additional Calculations'!$B$12)^2+'Additional Calculations'!$C$12^2-(2*'Additional Calculations'!$B$22*'Additional Calculations'!$B$12*'Additional Calculations'!$C$12))</f>
        <v>839.46759686136795</v>
      </c>
      <c r="D24" s="24">
        <f t="shared" ca="1" si="0"/>
        <v>341126.45697177592</v>
      </c>
      <c r="E24" s="24">
        <f t="shared" ca="1" si="1"/>
        <v>1</v>
      </c>
    </row>
    <row r="25" spans="1:5">
      <c r="A25" s="49">
        <v>1800</v>
      </c>
      <c r="B25" s="49">
        <f ca="1">(A25*'Additional Calculations'!$B$11*(-1))-'Additional Calculations'!$C$11*(-1)</f>
        <v>298517944.23175144</v>
      </c>
      <c r="C25" s="49">
        <f>SQRT((A25*'Additional Calculations'!$B$12)^2+'Additional Calculations'!$C$12^2-(2*'Additional Calculations'!$B$22*'Additional Calculations'!$B$12*'Additional Calculations'!$C$12))</f>
        <v>887.79549794995035</v>
      </c>
      <c r="D25" s="24">
        <f t="shared" ca="1" si="0"/>
        <v>336246.29199074901</v>
      </c>
      <c r="E25" s="24">
        <f t="shared" ca="1" si="1"/>
        <v>1</v>
      </c>
    </row>
    <row r="26" spans="1:5">
      <c r="A26" s="49">
        <v>1900</v>
      </c>
      <c r="B26" s="49">
        <f ca="1">(A26*'Additional Calculations'!$B$11*(-1))-'Additional Calculations'!$C$11*(-1)</f>
        <v>310671281.40357333</v>
      </c>
      <c r="C26" s="49">
        <f>SQRT((A26*'Additional Calculations'!$B$12)^2+'Additional Calculations'!$C$12^2-(2*'Additional Calculations'!$B$22*'Additional Calculations'!$B$12*'Additional Calculations'!$C$12))</f>
        <v>936.17618330109212</v>
      </c>
      <c r="D26" s="24">
        <f t="shared" ca="1" si="0"/>
        <v>331851.29780604079</v>
      </c>
      <c r="E26" s="24">
        <f t="shared" ca="1" si="1"/>
        <v>1</v>
      </c>
    </row>
    <row r="27" spans="1:5">
      <c r="A27" s="49">
        <v>2000</v>
      </c>
      <c r="B27" s="49">
        <f ca="1">(A27*'Additional Calculations'!$B$11*(-1))-'Additional Calculations'!$C$11*(-1)</f>
        <v>322824618.57539523</v>
      </c>
      <c r="C27" s="49">
        <f>SQRT((A27*'Additional Calculations'!$B$12)^2+'Additional Calculations'!$C$12^2-(2*'Additional Calculations'!$B$22*'Additional Calculations'!$B$12*'Additional Calculations'!$C$12))</f>
        <v>984.60187191585226</v>
      </c>
      <c r="D27" s="24">
        <f t="shared" ca="1" si="0"/>
        <v>327873.2529192114</v>
      </c>
      <c r="E27" s="24">
        <f t="shared" ca="1" si="1"/>
        <v>1</v>
      </c>
    </row>
    <row r="28" spans="1:5">
      <c r="A28" s="49">
        <v>2100</v>
      </c>
      <c r="B28" s="49">
        <f ca="1">(A28*'Additional Calculations'!$B$11*(-1))-'Additional Calculations'!$C$11*(-1)</f>
        <v>334977955.74721712</v>
      </c>
      <c r="C28" s="49">
        <f>SQRT((A28*'Additional Calculations'!$B$12)^2+'Additional Calculations'!$C$12^2-(2*'Additional Calculations'!$B$22*'Additional Calculations'!$B$12*'Additional Calculations'!$C$12))</f>
        <v>1033.0662351370313</v>
      </c>
      <c r="D28" s="24">
        <f t="shared" ca="1" si="0"/>
        <v>324256.02962697152</v>
      </c>
      <c r="E28" s="24">
        <f t="shared" ca="1" si="1"/>
        <v>1</v>
      </c>
    </row>
    <row r="29" spans="1:5">
      <c r="A29" s="49">
        <v>2200</v>
      </c>
      <c r="B29" s="49">
        <f ca="1">(A29*'Additional Calculations'!$B$11*(-1))-'Additional Calculations'!$C$11*(-1)</f>
        <v>347131292.91903901</v>
      </c>
      <c r="C29" s="49">
        <f>SQRT((A29*'Additional Calculations'!$B$12)^2+'Additional Calculations'!$C$12^2-(2*'Additional Calculations'!$B$22*'Additional Calculations'!$B$12*'Additional Calculations'!$C$12))</f>
        <v>1081.5640740058816</v>
      </c>
      <c r="D29" s="24">
        <f t="shared" ca="1" si="0"/>
        <v>320953.05424979498</v>
      </c>
      <c r="E29" s="24">
        <f t="shared" ca="1" si="1"/>
        <v>1</v>
      </c>
    </row>
    <row r="30" spans="1:5">
      <c r="A30" s="49">
        <v>2300</v>
      </c>
      <c r="B30" s="49">
        <f ca="1">(A30*'Additional Calculations'!$B$11*(-1))-'Additional Calculations'!$C$11*(-1)</f>
        <v>359284630.0908609</v>
      </c>
      <c r="C30" s="49">
        <f>SQRT((A30*'Additional Calculations'!$B$12)^2+'Additional Calculations'!$C$12^2-(2*'Additional Calculations'!$B$22*'Additional Calculations'!$B$12*'Additional Calculations'!$C$12))</f>
        <v>1130.0910787101188</v>
      </c>
      <c r="D30" s="24">
        <f t="shared" ca="1" si="0"/>
        <v>317925.37509538332</v>
      </c>
      <c r="E30" s="24">
        <f t="shared" ca="1" si="1"/>
        <v>1</v>
      </c>
    </row>
    <row r="31" spans="1:5">
      <c r="A31" s="49">
        <v>2400</v>
      </c>
      <c r="B31" s="49">
        <f ca="1">(A31*'Additional Calculations'!$B$11*(-1))-'Additional Calculations'!$C$11*(-1)</f>
        <v>371437967.2626828</v>
      </c>
      <c r="C31" s="49">
        <f>SQRT((A31*'Additional Calculations'!$B$12)^2+'Additional Calculations'!$C$12^2-(2*'Additional Calculations'!$B$22*'Additional Calculations'!$B$12*'Additional Calculations'!$C$12))</f>
        <v>1178.6436468162037</v>
      </c>
      <c r="D31" s="24">
        <f t="shared" ca="1" si="0"/>
        <v>315140.17681767081</v>
      </c>
      <c r="E31" s="24">
        <f t="shared" ca="1" si="1"/>
        <v>1</v>
      </c>
    </row>
    <row r="32" spans="1:5">
      <c r="A32" s="49">
        <v>2500</v>
      </c>
      <c r="B32" s="49">
        <f ca="1">(A32*'Additional Calculations'!$B$11*(-1))-'Additional Calculations'!$C$11*(-1)</f>
        <v>383591304.43450469</v>
      </c>
      <c r="C32" s="49">
        <f>SQRT((A32*'Additional Calculations'!$B$12)^2+'Additional Calculations'!$C$12^2-(2*'Additional Calculations'!$B$22*'Additional Calculations'!$B$12*'Additional Calculations'!$C$12))</f>
        <v>1227.218744226228</v>
      </c>
      <c r="D32" s="24">
        <f t="shared" ca="1" si="0"/>
        <v>312569.62643311184</v>
      </c>
      <c r="E32" s="24">
        <f t="shared" ca="1" si="1"/>
        <v>1</v>
      </c>
    </row>
    <row r="33" spans="1:9">
      <c r="A33" s="49">
        <v>2600</v>
      </c>
      <c r="B33" s="49">
        <f ca="1">(A33*'Additional Calculations'!$B$11*(-1))-'Additional Calculations'!$C$11*(-1)</f>
        <v>395744641.60632658</v>
      </c>
      <c r="C33" s="49">
        <f>SQRT((A33*'Additional Calculations'!$B$12)^2+'Additional Calculations'!$C$12^2-(2*'Additional Calculations'!$B$22*'Additional Calculations'!$B$12*'Additional Calculations'!$C$12))</f>
        <v>1275.8137976131941</v>
      </c>
      <c r="D33" s="24">
        <f t="shared" ca="1" si="0"/>
        <v>310189.96843167068</v>
      </c>
      <c r="E33" s="24">
        <f t="shared" ca="1" si="1"/>
        <v>1</v>
      </c>
    </row>
    <row r="34" spans="1:9">
      <c r="A34" s="49">
        <v>2700</v>
      </c>
      <c r="B34" s="49">
        <f ca="1">(A34*'Additional Calculations'!$B$11*(-1))-'Additional Calculations'!$C$11*(-1)</f>
        <v>407897978.77814847</v>
      </c>
      <c r="C34" s="49">
        <f>SQRT((A34*'Additional Calculations'!$B$12)^2+'Additional Calculations'!$C$12^2-(2*'Additional Calculations'!$B$22*'Additional Calculations'!$B$12*'Additional Calculations'!$C$12))</f>
        <v>1324.4266103413204</v>
      </c>
      <c r="D34" s="24">
        <f t="shared" ca="1" si="0"/>
        <v>307980.8088973902</v>
      </c>
      <c r="E34" s="24">
        <f t="shared" ca="1" si="1"/>
        <v>1</v>
      </c>
    </row>
    <row r="35" spans="1:9">
      <c r="A35" s="49">
        <v>2800</v>
      </c>
      <c r="B35" s="49">
        <f ca="1">(A35*'Additional Calculations'!$B$11*(-1))-'Additional Calculations'!$C$11*(-1)</f>
        <v>420051315.94997036</v>
      </c>
      <c r="C35" s="49">
        <f>SQRT((A35*'Additional Calculations'!$B$12)^2+'Additional Calculations'!$C$12^2-(2*'Additional Calculations'!$B$22*'Additional Calculations'!$B$12*'Additional Calculations'!$C$12))</f>
        <v>1373.0552961116316</v>
      </c>
      <c r="D35" s="24">
        <f t="shared" ca="1" si="0"/>
        <v>305924.54443715245</v>
      </c>
      <c r="E35" s="24">
        <f t="shared" ca="1" si="1"/>
        <v>1</v>
      </c>
      <c r="H35" s="48" t="s">
        <v>85</v>
      </c>
      <c r="I35" s="22" t="s">
        <v>91</v>
      </c>
    </row>
    <row r="36" spans="1:9">
      <c r="A36" s="49">
        <v>2900</v>
      </c>
      <c r="B36" s="49">
        <f ca="1">(A36*'Additional Calculations'!$B$11*(-1))-'Additional Calculations'!$C$11*(-1)</f>
        <v>432204653.12179226</v>
      </c>
      <c r="C36" s="49">
        <f>SQRT((A36*'Additional Calculations'!$B$12)^2+'Additional Calculations'!$C$12^2-(2*'Additional Calculations'!$B$22*'Additional Calculations'!$B$12*'Additional Calculations'!$C$12))</f>
        <v>1421.6982261296523</v>
      </c>
      <c r="D36" s="24">
        <f t="shared" ca="1" si="0"/>
        <v>304005.90306594165</v>
      </c>
      <c r="E36" s="24">
        <f t="shared" ca="1" si="1"/>
        <v>1</v>
      </c>
      <c r="H36" s="48" t="s">
        <v>86</v>
      </c>
      <c r="I36" s="22" t="s">
        <v>92</v>
      </c>
    </row>
    <row r="37" spans="1:9">
      <c r="A37" s="49">
        <v>3000</v>
      </c>
      <c r="B37" s="49">
        <f ca="1">(A37*'Additional Calculations'!$B$11*(-1))-'Additional Calculations'!$C$11*(-1)</f>
        <v>444357990.29361415</v>
      </c>
      <c r="C37" s="49">
        <f>SQRT((A37*'Additional Calculations'!$B$12)^2+'Additional Calculations'!$C$12^2-(2*'Additional Calculations'!$B$22*'Additional Calculations'!$B$12*'Additional Calculations'!$C$12))</f>
        <v>1470.3539866917081</v>
      </c>
      <c r="D37" s="24">
        <f t="shared" ca="1" si="0"/>
        <v>302211.57239381399</v>
      </c>
      <c r="E37" s="24">
        <f t="shared" ca="1" si="1"/>
        <v>1</v>
      </c>
      <c r="H37" s="48" t="s">
        <v>87</v>
      </c>
      <c r="I37" s="22" t="s">
        <v>93</v>
      </c>
    </row>
    <row r="38" spans="1:9">
      <c r="A38" s="49">
        <v>3100</v>
      </c>
      <c r="B38" s="49">
        <f ca="1">(A38*'Additional Calculations'!$B$11*(-1))-'Additional Calculations'!$C$11*(-1)</f>
        <v>456511327.46543604</v>
      </c>
      <c r="C38" s="49">
        <f>SQRT((A38*'Additional Calculations'!$B$12)^2+'Additional Calculations'!$C$12^2-(2*'Additional Calculations'!$B$22*'Additional Calculations'!$B$12*'Additional Calculations'!$C$12))</f>
        <v>1519.021344873139</v>
      </c>
      <c r="D38" s="24">
        <f t="shared" ca="1" si="0"/>
        <v>300529.89644037001</v>
      </c>
      <c r="E38" s="24">
        <f t="shared" ca="1" si="1"/>
        <v>1</v>
      </c>
      <c r="H38" s="48" t="s">
        <v>88</v>
      </c>
      <c r="I38" s="22" t="s">
        <v>95</v>
      </c>
    </row>
    <row r="39" spans="1:9">
      <c r="A39" s="49">
        <v>3200</v>
      </c>
      <c r="B39" s="49">
        <f ca="1">(A39*'Additional Calculations'!$B$11*(-1))-'Additional Calculations'!$C$11*(-1)</f>
        <v>468664664.63725793</v>
      </c>
      <c r="C39" s="49">
        <f>SQRT((A39*'Additional Calculations'!$B$12)^2+'Additional Calculations'!$C$12^2-(2*'Additional Calculations'!$B$22*'Additional Calculations'!$B$12*'Additional Calculations'!$C$12))</f>
        <v>1567.699220571408</v>
      </c>
      <c r="D39" s="24">
        <f t="shared" ca="1" si="0"/>
        <v>298950.62680865219</v>
      </c>
      <c r="E39" s="24">
        <f t="shared" ca="1" si="1"/>
        <v>1</v>
      </c>
      <c r="H39" s="48" t="s">
        <v>89</v>
      </c>
      <c r="I39" s="22" t="s">
        <v>94</v>
      </c>
    </row>
    <row r="40" spans="1:9">
      <c r="A40" s="49">
        <v>3300</v>
      </c>
      <c r="B40" s="49">
        <f ca="1">(A40*'Additional Calculations'!$B$11*(-1))-'Additional Calculations'!$C$11*(-1)</f>
        <v>480818001.80907983</v>
      </c>
      <c r="C40" s="49">
        <f>SQRT((A40*'Additional Calculations'!$B$12)^2+'Additional Calculations'!$C$12^2-(2*'Additional Calculations'!$B$22*'Additional Calculations'!$B$12*'Additional Calculations'!$C$12))</f>
        <v>1616.3866635740967</v>
      </c>
      <c r="D40" s="24">
        <f t="shared" ca="1" si="0"/>
        <v>297464.71722670126</v>
      </c>
      <c r="E40" s="24">
        <f t="shared" ca="1" si="1"/>
        <v>1</v>
      </c>
    </row>
    <row r="41" spans="1:9">
      <c r="A41" s="49">
        <v>3400</v>
      </c>
      <c r="B41" s="49">
        <f ca="1">(A41*'Additional Calculations'!$B$11*(-1))-'Additional Calculations'!$C$11*(-1)</f>
        <v>492971338.98090172</v>
      </c>
      <c r="C41" s="49">
        <f>SQRT((A41*'Additional Calculations'!$B$12)^2+'Additional Calculations'!$C$12^2-(2*'Additional Calculations'!$B$22*'Additional Calculations'!$B$12*'Additional Calculations'!$C$12))</f>
        <v>1665.0828346302173</v>
      </c>
      <c r="D41" s="24">
        <f t="shared" ca="1" si="0"/>
        <v>296064.15292268695</v>
      </c>
      <c r="E41" s="24">
        <f t="shared" ca="1" si="1"/>
        <v>1</v>
      </c>
    </row>
    <row r="42" spans="1:9">
      <c r="A42" s="49">
        <v>3500</v>
      </c>
      <c r="B42" s="49">
        <f ca="1">(A42*'Additional Calculations'!$B$11*(-1))-'Additional Calculations'!$C$11*(-1)</f>
        <v>505124676.15272361</v>
      </c>
      <c r="C42" s="49">
        <f>SQRT((A42*'Additional Calculations'!$B$12)^2+'Additional Calculations'!$C$12^2-(2*'Additional Calculations'!$B$22*'Additional Calculations'!$B$12*'Additional Calculations'!$C$12))</f>
        <v>1713.7869897336132</v>
      </c>
      <c r="D42" s="24">
        <f t="shared" ca="1" si="0"/>
        <v>294741.8081585734</v>
      </c>
      <c r="E42" s="24">
        <f t="shared" ca="1" si="1"/>
        <v>1</v>
      </c>
    </row>
    <row r="43" spans="1:9">
      <c r="A43" s="49">
        <v>3600</v>
      </c>
      <c r="B43" s="49">
        <f ca="1">(A43*'Additional Calculations'!$B$11*(-1))-'Additional Calculations'!$C$11*(-1)</f>
        <v>517278013.3245455</v>
      </c>
      <c r="C43" s="49">
        <f>SQRT((A43*'Additional Calculations'!$B$12)^2+'Additional Calculations'!$C$12^2-(2*'Additional Calculations'!$B$22*'Additional Calculations'!$B$12*'Additional Calculations'!$C$12))</f>
        <v>1762.4984670008084</v>
      </c>
      <c r="D43" s="24">
        <f t="shared" ca="1" si="0"/>
        <v>293491.32666468766</v>
      </c>
      <c r="E43" s="24">
        <f t="shared" ca="1" si="1"/>
        <v>1</v>
      </c>
    </row>
    <row r="44" spans="1:9">
      <c r="A44" s="49">
        <v>3700</v>
      </c>
      <c r="B44" s="49">
        <f ca="1">(A44*'Additional Calculations'!$B$11*(-1))-'Additional Calculations'!$C$11*(-1)</f>
        <v>529431350.49636739</v>
      </c>
      <c r="C44" s="49">
        <f>SQRT((A44*'Additional Calculations'!$B$12)^2+'Additional Calculations'!$C$12^2-(2*'Additional Calculations'!$B$22*'Additional Calculations'!$B$12*'Additional Calculations'!$C$12))</f>
        <v>1811.2166756576089</v>
      </c>
      <c r="D44" s="24">
        <f t="shared" ca="1" si="0"/>
        <v>292307.02080641111</v>
      </c>
      <c r="E44" s="24">
        <f t="shared" ca="1" si="1"/>
        <v>1</v>
      </c>
    </row>
    <row r="45" spans="1:9">
      <c r="A45" s="49">
        <v>3800</v>
      </c>
      <c r="B45" s="49">
        <f ca="1">(A45*'Additional Calculations'!$B$11*(-1))-'Additional Calculations'!$C$11*(-1)</f>
        <v>541584687.66818929</v>
      </c>
      <c r="C45" s="49">
        <f>SQRT((A45*'Additional Calculations'!$B$12)^2+'Additional Calculations'!$C$12^2-(2*'Additional Calculations'!$B$22*'Additional Calculations'!$B$12*'Additional Calculations'!$C$12))</f>
        <v>1859.9410867498464</v>
      </c>
      <c r="D45" s="24">
        <f t="shared" ca="1" si="0"/>
        <v>291183.78615667945</v>
      </c>
      <c r="E45" s="24">
        <f t="shared" ca="1" si="1"/>
        <v>1</v>
      </c>
    </row>
    <row r="46" spans="1:9">
      <c r="A46" s="49">
        <v>3900</v>
      </c>
      <c r="B46" s="49">
        <f ca="1">(A46*'Additional Calculations'!$B$11*(-1))-'Additional Calculations'!$C$11*(-1)</f>
        <v>553738024.84001124</v>
      </c>
      <c r="C46" s="49">
        <f>SQRT((A46*'Additional Calculations'!$B$12)^2+'Additional Calculations'!$C$12^2-(2*'Additional Calculations'!$B$22*'Additional Calculations'!$B$12*'Additional Calculations'!$C$12))</f>
        <v>1908.671225271707</v>
      </c>
      <c r="D46" s="24">
        <f t="shared" ca="1" si="0"/>
        <v>290117.0288042585</v>
      </c>
      <c r="E46" s="24">
        <f t="shared" ca="1" si="1"/>
        <v>1</v>
      </c>
    </row>
    <row r="47" spans="1:9">
      <c r="A47" s="49">
        <v>4000</v>
      </c>
      <c r="B47" s="49">
        <f ca="1">(A47*'Additional Calculations'!$B$11*(-1))-'Additional Calculations'!$C$11*(-1)</f>
        <v>565891362.01183307</v>
      </c>
      <c r="C47" s="49">
        <f>SQRT((A47*'Additional Calculations'!$B$12)^2+'Additional Calculations'!$C$12^2-(2*'Additional Calculations'!$B$22*'Additional Calculations'!$B$12*'Additional Calculations'!$C$12))</f>
        <v>1957.4066634657704</v>
      </c>
      <c r="D47" s="24">
        <f t="shared" ca="1" si="0"/>
        <v>289102.60324232769</v>
      </c>
      <c r="E47" s="24">
        <f t="shared" ca="1" si="1"/>
        <v>1</v>
      </c>
    </row>
    <row r="48" spans="1:9">
      <c r="A48" s="49">
        <v>4100</v>
      </c>
      <c r="B48" s="49">
        <f ca="1">(A48*'Additional Calculations'!$B$11*(-1))-'Additional Calculations'!$C$11*(-1)</f>
        <v>578044699.18365502</v>
      </c>
      <c r="C48" s="49">
        <f>SQRT((A48*'Additional Calculations'!$B$12)^2+'Additional Calculations'!$C$12^2-(2*'Additional Calculations'!$B$22*'Additional Calculations'!$B$12*'Additional Calculations'!$C$12))</f>
        <v>2006.1470150964012</v>
      </c>
      <c r="D48" s="24">
        <f t="shared" ca="1" si="0"/>
        <v>288136.75908785692</v>
      </c>
      <c r="E48" s="24">
        <f t="shared" ca="1" si="1"/>
        <v>1</v>
      </c>
    </row>
    <row r="49" spans="1:5">
      <c r="A49" s="49">
        <v>4200</v>
      </c>
      <c r="B49" s="49">
        <f ca="1">(A49*'Additional Calculations'!$B$11*(-1))-'Additional Calculations'!$C$11*(-1)</f>
        <v>590198036.35547686</v>
      </c>
      <c r="C49" s="49">
        <f>SQRT((A49*'Additional Calculations'!$B$12)^2+'Additional Calculations'!$C$12^2-(2*'Additional Calculations'!$B$22*'Additional Calculations'!$B$12*'Additional Calculations'!$C$12))</f>
        <v>2054.8919305355694</v>
      </c>
      <c r="D49" s="24">
        <f t="shared" ca="1" si="0"/>
        <v>287216.09520440944</v>
      </c>
      <c r="E49" s="24">
        <f t="shared" ca="1" si="1"/>
        <v>1</v>
      </c>
    </row>
    <row r="50" spans="1:5">
      <c r="A50" s="49">
        <v>4300</v>
      </c>
      <c r="B50" s="49">
        <f ca="1">(A50*'Additional Calculations'!$B$11*(-1))-'Additional Calculations'!$C$11*(-1)</f>
        <v>602351373.52729881</v>
      </c>
      <c r="C50" s="49">
        <f>SQRT((A50*'Additional Calculations'!$B$12)^2+'Additional Calculations'!$C$12^2-(2*'Additional Calculations'!$B$22*'Additional Calculations'!$B$12*'Additional Calculations'!$C$12))</f>
        <v>2103.6410925298546</v>
      </c>
      <c r="D50" s="24">
        <f t="shared" ca="1" si="0"/>
        <v>286337.52005809435</v>
      </c>
      <c r="E50" s="24">
        <f t="shared" ca="1" si="1"/>
        <v>1</v>
      </c>
    </row>
    <row r="51" spans="1:5">
      <c r="A51" s="49">
        <v>4400</v>
      </c>
      <c r="B51" s="49">
        <f ca="1">(A51*'Additional Calculations'!$B$11*(-1))-'Additional Calculations'!$C$11*(-1)</f>
        <v>614504710.69912076</v>
      </c>
      <c r="C51" s="49">
        <f>SQRT((A51*'Additional Calculations'!$B$12)^2+'Additional Calculations'!$C$12^2-(2*'Additional Calculations'!$B$22*'Additional Calculations'!$B$12*'Additional Calculations'!$C$12))</f>
        <v>2152.3942125410481</v>
      </c>
      <c r="D51" s="24">
        <f t="shared" ca="1" si="0"/>
        <v>285498.2173426568</v>
      </c>
      <c r="E51" s="24">
        <f t="shared" ca="1" si="1"/>
        <v>1</v>
      </c>
    </row>
    <row r="52" spans="1:5">
      <c r="A52" s="49">
        <v>4500</v>
      </c>
      <c r="B52" s="49">
        <f ca="1">(A52*'Additional Calculations'!$B$11*(-1))-'Additional Calculations'!$C$11*(-1)</f>
        <v>626658047.87094259</v>
      </c>
      <c r="C52" s="49">
        <f>SQRT((A52*'Additional Calculations'!$B$12)^2+'Additional Calculations'!$C$12^2-(2*'Additional Calculations'!$B$22*'Additional Calculations'!$B$12*'Additional Calculations'!$C$12))</f>
        <v>2201.1510275717565</v>
      </c>
      <c r="D52" s="24">
        <f t="shared" ca="1" si="0"/>
        <v>284695.61607603676</v>
      </c>
      <c r="E52" s="24">
        <f t="shared" ca="1" si="1"/>
        <v>1</v>
      </c>
    </row>
    <row r="53" spans="1:5">
      <c r="A53" s="49">
        <v>4600</v>
      </c>
      <c r="B53" s="49">
        <f ca="1">(A53*'Additional Calculations'!$B$11*(-1))-'Additional Calculations'!$C$11*(-1)</f>
        <v>638811385.04276454</v>
      </c>
      <c r="C53" s="49">
        <f>SQRT((A53*'Additional Calculations'!$B$12)^2+'Additional Calculations'!$C$12^2-(2*'Additional Calculations'!$B$22*'Additional Calculations'!$B$12*'Additional Calculations'!$C$12))</f>
        <v>2249.9112974026775</v>
      </c>
      <c r="D53" s="24">
        <f t="shared" ca="1" si="0"/>
        <v>283927.36450553202</v>
      </c>
      <c r="E53" s="24">
        <f t="shared" ca="1" si="1"/>
        <v>1</v>
      </c>
    </row>
    <row r="54" spans="1:5">
      <c r="A54" s="49">
        <v>4700</v>
      </c>
      <c r="B54" s="49">
        <f ca="1">(A54*'Additional Calculations'!$B$11*(-1))-'Additional Calculations'!$C$11*(-1)</f>
        <v>650964722.21458638</v>
      </c>
      <c r="C54" s="49">
        <f>SQRT((A54*'Additional Calculations'!$B$12)^2+'Additional Calculations'!$C$12^2-(2*'Additional Calculations'!$B$22*'Additional Calculations'!$B$12*'Additional Calculations'!$C$12))</f>
        <v>2298.6748021806393</v>
      </c>
      <c r="D54" s="24">
        <f t="shared" ca="1" si="0"/>
        <v>283191.30726845236</v>
      </c>
      <c r="E54" s="24">
        <f t="shared" ca="1" si="1"/>
        <v>1</v>
      </c>
    </row>
    <row r="55" spans="1:5">
      <c r="A55" s="49">
        <v>4800</v>
      </c>
      <c r="B55" s="49">
        <f ca="1">(A55*'Additional Calculations'!$B$11*(-1))-'Additional Calculations'!$C$11*(-1)</f>
        <v>663118059.38640833</v>
      </c>
      <c r="C55" s="49">
        <f>SQRT((A55*'Additional Calculations'!$B$12)^2+'Additional Calculations'!$C$12^2-(2*'Additional Calculations'!$B$22*'Additional Calculations'!$B$12*'Additional Calculations'!$C$12))</f>
        <v>2347.4413403065473</v>
      </c>
      <c r="D55" s="24">
        <f t="shared" ca="1" si="0"/>
        <v>282485.46534492454</v>
      </c>
      <c r="E55" s="24">
        <f t="shared" ca="1" si="1"/>
        <v>1</v>
      </c>
    </row>
    <row r="56" spans="1:5">
      <c r="A56" s="49">
        <v>4900</v>
      </c>
      <c r="B56" s="49">
        <f ca="1">(A56*'Additional Calculations'!$B$11*(-1))-'Additional Calculations'!$C$11*(-1)</f>
        <v>675271396.55823016</v>
      </c>
      <c r="C56" s="49">
        <f>SQRT((A56*'Additional Calculations'!$B$12)^2+'Additional Calculations'!$C$12^2-(2*'Additional Calculations'!$B$22*'Additional Calculations'!$B$12*'Additional Calculations'!$C$12))</f>
        <v>2396.2107265806567</v>
      </c>
      <c r="D56" s="24">
        <f t="shared" ca="1" si="0"/>
        <v>281808.01841323386</v>
      </c>
      <c r="E56" s="24">
        <f t="shared" ca="1" si="1"/>
        <v>1</v>
      </c>
    </row>
    <row r="57" spans="1:5">
      <c r="A57" s="49">
        <v>5000</v>
      </c>
      <c r="B57" s="49">
        <f ca="1">(A57*'Additional Calculations'!$B$11*(-1))-'Additional Calculations'!$C$11*(-1)</f>
        <v>687424733.73005211</v>
      </c>
      <c r="C57" s="49">
        <f>SQRT((A57*'Additional Calculations'!$B$12)^2+'Additional Calculations'!$C$12^2-(2*'Additional Calculations'!$B$22*'Additional Calculations'!$B$12*'Additional Calculations'!$C$12))</f>
        <v>2444.9827905693323</v>
      </c>
      <c r="D57" s="24">
        <f t="shared" ca="1" si="0"/>
        <v>281157.28927890741</v>
      </c>
      <c r="E57" s="24">
        <f t="shared" ca="1" si="1"/>
        <v>1</v>
      </c>
    </row>
    <row r="58" spans="1:5">
      <c r="A58" s="49">
        <v>5100</v>
      </c>
      <c r="B58" s="49">
        <f ca="1">(A58*'Additional Calculations'!$B$11*(-1))-'Additional Calculations'!$C$11*(-1)</f>
        <v>699578070.90187395</v>
      </c>
      <c r="C58" s="49">
        <f>SQRT((A58*'Additional Calculations'!$B$12)^2+'Additional Calculations'!$C$12^2-(2*'Additional Calculations'!$B$22*'Additional Calculations'!$B$12*'Additional Calculations'!$C$12))</f>
        <v>2493.7573751630689</v>
      </c>
      <c r="D58" s="24">
        <f t="shared" ca="1" si="0"/>
        <v>280531.73009909515</v>
      </c>
      <c r="E58" s="24">
        <f t="shared" ca="1" si="1"/>
        <v>1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04B59-E4F3-4B4B-8656-DB9C9689BAFB}">
  <sheetPr codeName="Sheet11">
    <tabColor rgb="FFC00000"/>
  </sheetPr>
  <dimension ref="A7:BA147"/>
  <sheetViews>
    <sheetView topLeftCell="L1" workbookViewId="0">
      <pane ySplit="9" topLeftCell="A12" activePane="bottomLeft" state="frozen"/>
      <selection pane="bottomLeft" activeCell="AH13" sqref="AH13"/>
    </sheetView>
  </sheetViews>
  <sheetFormatPr baseColWidth="10" defaultRowHeight="14"/>
  <cols>
    <col min="2" max="2" width="7" customWidth="1"/>
    <col min="3" max="3" width="2.83203125" customWidth="1"/>
    <col min="4" max="4" width="8.83203125" customWidth="1"/>
    <col min="5" max="5" width="3.5" style="105" customWidth="1"/>
    <col min="6" max="6" width="14.6640625" customWidth="1"/>
    <col min="7" max="7" width="2.83203125" customWidth="1"/>
    <col min="9" max="9" width="2.83203125" customWidth="1"/>
    <col min="10" max="10" width="8.5" customWidth="1"/>
    <col min="11" max="11" width="2.83203125" customWidth="1"/>
    <col min="12" max="12" width="9.83203125" customWidth="1"/>
    <col min="13" max="13" width="2.83203125" customWidth="1"/>
    <col min="14" max="14" width="8.33203125" customWidth="1"/>
    <col min="15" max="15" width="2.83203125" customWidth="1"/>
    <col min="16" max="16" width="9.6640625" customWidth="1"/>
    <col min="17" max="17" width="2.83203125" customWidth="1"/>
    <col min="18" max="18" width="12.1640625" customWidth="1"/>
    <col min="19" max="19" width="2.83203125" style="105" customWidth="1"/>
    <col min="21" max="21" width="2.83203125" customWidth="1"/>
    <col min="23" max="23" width="2.83203125" customWidth="1"/>
    <col min="25" max="25" width="2.83203125" customWidth="1"/>
    <col min="27" max="27" width="2.83203125" customWidth="1"/>
    <col min="28" max="28" width="14.1640625" customWidth="1"/>
    <col min="29" max="29" width="2.83203125" customWidth="1"/>
    <col min="31" max="31" width="2.83203125" customWidth="1"/>
    <col min="33" max="33" width="2.83203125" style="105" customWidth="1"/>
    <col min="34" max="34" width="14" bestFit="1" customWidth="1"/>
    <col min="35" max="35" width="2.83203125" customWidth="1"/>
    <col min="36" max="36" width="10.83203125" customWidth="1"/>
    <col min="37" max="37" width="2.83203125" customWidth="1"/>
    <col min="39" max="40" width="2.83203125" customWidth="1"/>
    <col min="42" max="42" width="2.83203125" style="105" customWidth="1"/>
    <col min="44" max="44" width="2.83203125" customWidth="1"/>
    <col min="46" max="46" width="2.83203125" customWidth="1"/>
    <col min="48" max="48" width="2.83203125" customWidth="1"/>
    <col min="49" max="49" width="16.33203125" customWidth="1"/>
    <col min="50" max="50" width="2.83203125" customWidth="1"/>
    <col min="52" max="52" width="2.83203125" customWidth="1"/>
    <col min="54" max="54" width="2.83203125" customWidth="1"/>
    <col min="56" max="56" width="2.83203125" customWidth="1"/>
  </cols>
  <sheetData>
    <row r="7" spans="1:53" ht="15" thickBot="1"/>
    <row r="8" spans="1:53" ht="38" customHeight="1" thickBot="1">
      <c r="B8" s="4"/>
      <c r="C8" s="4"/>
      <c r="D8" s="107"/>
      <c r="E8" s="113"/>
      <c r="F8" s="4"/>
      <c r="G8" s="4"/>
      <c r="H8" s="4"/>
      <c r="I8" s="4"/>
      <c r="J8" s="4"/>
      <c r="K8" s="4"/>
      <c r="L8" s="4"/>
      <c r="M8" s="4"/>
      <c r="N8" s="103"/>
      <c r="O8" s="4"/>
      <c r="P8" s="104"/>
      <c r="Q8" s="4"/>
      <c r="R8" s="109"/>
      <c r="S8" s="106"/>
      <c r="T8" s="4"/>
      <c r="U8" s="4"/>
      <c r="V8" s="4"/>
      <c r="W8" s="4"/>
      <c r="X8" s="4" t="s">
        <v>347</v>
      </c>
      <c r="Y8" s="4"/>
      <c r="Z8" s="4"/>
      <c r="AA8" s="4"/>
      <c r="AB8" s="4"/>
      <c r="AC8" s="4"/>
      <c r="AE8" s="4"/>
      <c r="AF8" s="4"/>
      <c r="AP8" s="114"/>
    </row>
    <row r="9" spans="1:53" ht="23" customHeight="1" thickBot="1">
      <c r="A9" s="78"/>
      <c r="D9" s="78"/>
      <c r="E9" s="108"/>
      <c r="R9" s="78"/>
      <c r="S9" s="108"/>
      <c r="AD9" s="78"/>
      <c r="AE9" s="111"/>
      <c r="AF9" s="78"/>
      <c r="AG9" s="114"/>
      <c r="AO9" s="136" t="e">
        <f ca="1">SUM(AO13:AO102)</f>
        <v>#REF!</v>
      </c>
      <c r="AP9" s="115"/>
      <c r="BA9" s="117">
        <f ca="1">SUM(BA13:BA102)</f>
        <v>13.41463898287876</v>
      </c>
    </row>
    <row r="10" spans="1:53">
      <c r="A10" s="78"/>
      <c r="D10" s="78"/>
      <c r="E10" s="108"/>
      <c r="R10" s="78"/>
      <c r="S10" s="108"/>
      <c r="AD10" s="78"/>
      <c r="AE10" s="111"/>
      <c r="AF10" s="78"/>
      <c r="AG10" s="108"/>
      <c r="AO10" s="78"/>
      <c r="AP10" s="108"/>
      <c r="BA10" s="78"/>
    </row>
    <row r="11" spans="1:53">
      <c r="A11" s="78"/>
      <c r="D11" s="78"/>
      <c r="E11" s="108"/>
      <c r="R11" s="78"/>
      <c r="S11" s="108"/>
      <c r="AD11" s="78"/>
      <c r="AE11" s="111"/>
      <c r="AF11" s="78"/>
      <c r="AG11" s="108"/>
      <c r="AO11" s="78"/>
      <c r="AP11" s="108"/>
      <c r="BA11" s="78"/>
    </row>
    <row r="12" spans="1:53">
      <c r="A12" s="78"/>
      <c r="D12" s="78"/>
      <c r="E12" s="108"/>
      <c r="R12" s="78"/>
      <c r="S12" s="108"/>
      <c r="AD12" s="78"/>
      <c r="AE12" s="111"/>
      <c r="AF12" s="78"/>
      <c r="AG12" s="108"/>
      <c r="AO12" s="78"/>
      <c r="AP12" s="108"/>
      <c r="BA12" s="78"/>
    </row>
    <row r="13" spans="1:53">
      <c r="A13" s="78"/>
      <c r="B13" cm="1">
        <f t="array" ref="B13:B103">start_age+cycle</f>
        <v>15</v>
      </c>
      <c r="D13" s="78">
        <v>0</v>
      </c>
      <c r="E13" s="108"/>
      <c r="F13">
        <f>VLOOKUP(B13,Parameters!E4:F94,2)</f>
        <v>2.7799999999999998E-2</v>
      </c>
      <c r="H13">
        <f>VLOOKUP(B13,Parameters!H4:I94,2)</f>
        <v>0</v>
      </c>
      <c r="J13">
        <f ca="1">(VLOOKUP(B13,Parameters!K4:L94,2))*(1-mda_efficacy)</f>
        <v>1.5000000000000013E-3</v>
      </c>
      <c r="L13">
        <f>VLOOKUP(B13,Parameters!N4:O94,2)</f>
        <v>0.05</v>
      </c>
      <c r="N13">
        <f>VLOOKUP(B13,Parameters!T4:U94,2)</f>
        <v>0.375</v>
      </c>
      <c r="P13">
        <f>VLOOKUP(B13,Parameters!T4:U94,2)</f>
        <v>0.375</v>
      </c>
      <c r="R13" s="78">
        <f>VLOOKUP(B13,Parameters!W4:X94,2)</f>
        <v>0</v>
      </c>
      <c r="S13" s="108"/>
      <c r="T13" s="102">
        <v>1</v>
      </c>
      <c r="V13" s="94">
        <v>0</v>
      </c>
      <c r="W13" s="94"/>
      <c r="X13" s="94">
        <v>0</v>
      </c>
      <c r="Z13" s="94">
        <v>0</v>
      </c>
      <c r="AB13" s="94">
        <v>0</v>
      </c>
      <c r="AD13" s="110">
        <v>0</v>
      </c>
      <c r="AE13" s="111"/>
      <c r="AF13" s="112">
        <f>T13+V13+Z13+AB13+AD13</f>
        <v>1</v>
      </c>
      <c r="AG13" s="108"/>
      <c r="AH13" s="131" t="e">
        <f>(#REF!/1000000)*(1-(F13+H13))</f>
        <v>#REF!</v>
      </c>
      <c r="AJ13" s="54">
        <f t="shared" ref="AJ13:AJ44" ca="1" si="0">(ccc_adl*L13)+(ccc_hydrocele*P13)+(ccc_le*N13)</f>
        <v>3.3875383031223762</v>
      </c>
      <c r="AL13" s="138">
        <f t="shared" ref="AL13:AL44" ca="1" si="1">IF(study_perspective=1,0,IF(age&lt;15,0,IF(age&gt;75,0,min_daily_wage*adl_episode_duration*annual_adl_episodes*X13 + prod_loss_hydrocele*min_annual_wage*Z13+prod_loss_lymphedema*min_annual_wage*AB13)))</f>
        <v>0</v>
      </c>
      <c r="AO13" s="135" t="e">
        <f t="shared" ref="AO13:AO44" ca="1" si="2">IF(study_perspective=1,((AH13+AJ13)/(1+discount_cost)^cycle),((AH13+AJ13+AL13+hh_costs_adl+hh_costs_hydrocele+hh_costs_lymphedema)/(1+discount_cost)^cycle))</f>
        <v>#REF!</v>
      </c>
      <c r="AP13" s="108"/>
      <c r="AQ13" s="31">
        <f t="shared" ref="AQ13:AQ44" ca="1" si="3">util_healthy*T13*1</f>
        <v>0.99714898405830887</v>
      </c>
      <c r="AR13" s="31"/>
      <c r="AS13" s="31">
        <f>0.8*V13*1</f>
        <v>0</v>
      </c>
      <c r="AT13" s="31"/>
      <c r="AU13" s="31">
        <f t="shared" ref="AU13:AU44" ca="1" si="4">util_adl*X13</f>
        <v>0</v>
      </c>
      <c r="AV13" s="31"/>
      <c r="AW13" s="31">
        <f t="shared" ref="AW13:AW44" ca="1" si="5">util_lymphedema*AB13</f>
        <v>0</v>
      </c>
      <c r="AX13" s="31"/>
      <c r="AY13" s="31">
        <f t="shared" ref="AY13:AY44" ca="1" si="6">util_hydrocele*Z13</f>
        <v>0</v>
      </c>
      <c r="AZ13" s="31"/>
      <c r="BA13" s="134">
        <f t="shared" ref="BA13:BA44" ca="1" si="7">(AQ13+AS13+AU13+AW13+AY13)/((1+discount_effects)^cycle)</f>
        <v>0.99714898405830887</v>
      </c>
    </row>
    <row r="14" spans="1:53">
      <c r="A14" s="78"/>
      <c r="B14">
        <v>16</v>
      </c>
      <c r="D14" s="78">
        <v>1</v>
      </c>
      <c r="E14" s="108"/>
      <c r="F14">
        <f>VLOOKUP(B14,Parameters!E5:F95,2)</f>
        <v>2.7799999999999998E-2</v>
      </c>
      <c r="H14">
        <f>VLOOKUP(B14,Parameters!H5:I95,2)</f>
        <v>0</v>
      </c>
      <c r="J14">
        <f ca="1">(VLOOKUP(B14,Parameters!K5:L95,2))*(1-mda_efficacy)</f>
        <v>1.5000000000000013E-3</v>
      </c>
      <c r="L14">
        <f>VLOOKUP(B14,Parameters!N5:O95,2)</f>
        <v>0.05</v>
      </c>
      <c r="N14">
        <f>VLOOKUP(B14,Parameters!T5:U95,2)</f>
        <v>0.375</v>
      </c>
      <c r="P14">
        <f>VLOOKUP(B14,Parameters!T5:U95,2)</f>
        <v>0.375</v>
      </c>
      <c r="R14" s="78">
        <f>VLOOKUP(B14,Parameters!W5:X95,2)</f>
        <v>0.1</v>
      </c>
      <c r="S14" s="108"/>
      <c r="T14" s="102">
        <f ca="1">T13 -T13*F13 - T13*J13</f>
        <v>0.9706999999999999</v>
      </c>
      <c r="V14" s="94">
        <f ca="1">V13+T13*J13-V13*N13-V13*P13-V13*H13</f>
        <v>1.5000000000000013E-3</v>
      </c>
      <c r="X14" s="34">
        <f>V13*L13+ (0.7*Z13) +(0.95*AB13)</f>
        <v>0</v>
      </c>
      <c r="Z14" s="94">
        <f>Z13+V13*P13-Z13*R13</f>
        <v>0</v>
      </c>
      <c r="AB14" s="94">
        <f>AB13+V13*N13-AB13*R13</f>
        <v>0</v>
      </c>
      <c r="AD14" s="110">
        <f>AD13+T13*F13+V13*H13+Z13*R13 +AB13*R13</f>
        <v>2.7799999999999998E-2</v>
      </c>
      <c r="AE14" s="111"/>
      <c r="AF14" s="112">
        <f t="shared" ref="AF14:AF77" ca="1" si="8">T14+V14+Z14+AB14+AD14</f>
        <v>1</v>
      </c>
      <c r="AG14" s="108"/>
      <c r="AH14" s="131" t="e">
        <f>(#REF!/1000000)*(1-(F14+H14))</f>
        <v>#REF!</v>
      </c>
      <c r="AJ14" s="54">
        <f t="shared" ca="1" si="0"/>
        <v>3.3875383031223762</v>
      </c>
      <c r="AL14" s="138">
        <f t="shared" ca="1" si="1"/>
        <v>0</v>
      </c>
      <c r="AO14" s="135" t="e">
        <f t="shared" ca="1" si="2"/>
        <v>#REF!</v>
      </c>
      <c r="AP14" s="108"/>
      <c r="AQ14" s="31">
        <f t="shared" ca="1" si="3"/>
        <v>0.96793251882540032</v>
      </c>
      <c r="AR14" s="31"/>
      <c r="AS14" s="31">
        <f t="shared" ref="AS14:AS77" ca="1" si="9">0.8*V14*1</f>
        <v>1.2000000000000012E-3</v>
      </c>
      <c r="AT14" s="31"/>
      <c r="AU14" s="31">
        <f t="shared" ca="1" si="4"/>
        <v>0</v>
      </c>
      <c r="AV14" s="31"/>
      <c r="AW14" s="31">
        <f t="shared" ca="1" si="5"/>
        <v>0</v>
      </c>
      <c r="AX14" s="31"/>
      <c r="AY14" s="31">
        <f t="shared" ca="1" si="6"/>
        <v>0</v>
      </c>
      <c r="AZ14" s="31"/>
      <c r="BA14" s="134">
        <f t="shared" ca="1" si="7"/>
        <v>0.94090535808291287</v>
      </c>
    </row>
    <row r="15" spans="1:53">
      <c r="A15" s="78"/>
      <c r="B15">
        <v>17</v>
      </c>
      <c r="D15" s="78">
        <v>2</v>
      </c>
      <c r="E15" s="108"/>
      <c r="F15">
        <f>VLOOKUP(B15,Parameters!E6:F96,2)</f>
        <v>2.7799999999999998E-2</v>
      </c>
      <c r="H15">
        <f>VLOOKUP(B15,Parameters!H6:I96,2)</f>
        <v>0.01</v>
      </c>
      <c r="J15">
        <f ca="1">(VLOOKUP(B15,Parameters!K6:L96,2))*(1-mda_efficacy)</f>
        <v>1.5000000000000013E-3</v>
      </c>
      <c r="L15">
        <f>VLOOKUP(B15,Parameters!N6:O96,2)</f>
        <v>0.05</v>
      </c>
      <c r="N15">
        <f>VLOOKUP(B15,Parameters!T6:U96,2)</f>
        <v>0.375</v>
      </c>
      <c r="P15">
        <f>VLOOKUP(B15,Parameters!T6:U96,2)</f>
        <v>0.375</v>
      </c>
      <c r="R15" s="78">
        <f>VLOOKUP(B15,Parameters!W6:X96,2)</f>
        <v>0.1</v>
      </c>
      <c r="S15" s="108"/>
      <c r="T15" s="102">
        <f t="shared" ref="T15:T78" ca="1" si="10">T14 -T14*F14 - T14*J14</f>
        <v>0.94225848999999984</v>
      </c>
      <c r="V15" s="94">
        <f t="shared" ref="V15:V78" ca="1" si="11">V14+T14*J14-V14*N14-V14*P14-V14*H14</f>
        <v>1.8310500000000016E-3</v>
      </c>
      <c r="X15" s="34">
        <f t="shared" ref="X15:X78" ca="1" si="12">V14*L14+ (0.7*Z14) +(0.95*AB14)</f>
        <v>7.5000000000000075E-5</v>
      </c>
      <c r="Z15" s="94">
        <f t="shared" ref="Z15:Z78" ca="1" si="13">Z14+V14*P14-Z14*R14</f>
        <v>5.625000000000005E-4</v>
      </c>
      <c r="AB15" s="94">
        <f t="shared" ref="AB15:AB78" ca="1" si="14">AB14+V14*N14-AB14*R14</f>
        <v>5.625000000000005E-4</v>
      </c>
      <c r="AD15" s="110">
        <f t="shared" ref="AD15:AD78" ca="1" si="15">AD14+T14*F14+V14*H14+Z14*R14 +AB14*R14</f>
        <v>5.4785459999999994E-2</v>
      </c>
      <c r="AE15" s="111"/>
      <c r="AF15" s="112">
        <f t="shared" ca="1" si="8"/>
        <v>0.99999999999999989</v>
      </c>
      <c r="AG15" s="108"/>
      <c r="AH15" s="131" t="e">
        <f>(#REF!/1000000)*(1-(F15+H15))</f>
        <v>#REF!</v>
      </c>
      <c r="AJ15" s="54">
        <f t="shared" ca="1" si="0"/>
        <v>3.3875383031223762</v>
      </c>
      <c r="AL15" s="138">
        <f t="shared" ca="1" si="1"/>
        <v>5.1797440356350102E-2</v>
      </c>
      <c r="AO15" s="135" t="e">
        <f t="shared" ca="1" si="2"/>
        <v>#REF!</v>
      </c>
      <c r="AP15" s="108"/>
      <c r="AQ15" s="31">
        <f t="shared" ca="1" si="3"/>
        <v>0.93957209602381608</v>
      </c>
      <c r="AR15" s="31"/>
      <c r="AS15" s="31">
        <f t="shared" ca="1" si="9"/>
        <v>1.4648400000000013E-3</v>
      </c>
      <c r="AT15" s="31"/>
      <c r="AU15" s="31">
        <f t="shared" ca="1" si="4"/>
        <v>2.0073599854211248E-5</v>
      </c>
      <c r="AV15" s="31"/>
      <c r="AW15" s="31">
        <f t="shared" ca="1" si="5"/>
        <v>3.8272910875238167E-5</v>
      </c>
      <c r="AX15" s="31"/>
      <c r="AY15" s="31">
        <f t="shared" ca="1" si="6"/>
        <v>6.509022887388816E-5</v>
      </c>
      <c r="AZ15" s="31"/>
      <c r="BA15" s="134">
        <f t="shared" ca="1" si="7"/>
        <v>0.88713391720559853</v>
      </c>
    </row>
    <row r="16" spans="1:53">
      <c r="A16" s="78"/>
      <c r="B16">
        <v>18</v>
      </c>
      <c r="D16" s="78">
        <v>3</v>
      </c>
      <c r="E16" s="108"/>
      <c r="F16">
        <f>VLOOKUP(B16,Parameters!E7:F97,2)</f>
        <v>2.7799999999999998E-2</v>
      </c>
      <c r="H16">
        <f>VLOOKUP(B16,Parameters!H7:I97,2)</f>
        <v>0.01</v>
      </c>
      <c r="J16">
        <f ca="1">(VLOOKUP(B16,Parameters!K7:L97,2))*(1-mda_efficacy)</f>
        <v>1.5000000000000013E-3</v>
      </c>
      <c r="L16">
        <f>VLOOKUP(B16,Parameters!N7:O97,2)</f>
        <v>0.05</v>
      </c>
      <c r="N16">
        <f>VLOOKUP(B16,Parameters!T7:U97,2)</f>
        <v>0.375</v>
      </c>
      <c r="P16">
        <f>VLOOKUP(B16,Parameters!T7:U97,2)</f>
        <v>0.375</v>
      </c>
      <c r="R16" s="78">
        <f>VLOOKUP(B16,Parameters!W7:X97,2)</f>
        <v>0.1</v>
      </c>
      <c r="S16" s="108"/>
      <c r="T16" s="102">
        <f t="shared" ca="1" si="10"/>
        <v>0.91465031624299986</v>
      </c>
      <c r="V16" s="94">
        <f t="shared" ca="1" si="11"/>
        <v>1.8528397350000014E-3</v>
      </c>
      <c r="X16" s="34">
        <f t="shared" ca="1" si="12"/>
        <v>1.0196775000000009E-3</v>
      </c>
      <c r="Z16" s="94">
        <f t="shared" ca="1" si="13"/>
        <v>1.1928937500000011E-3</v>
      </c>
      <c r="AB16" s="94">
        <f t="shared" ca="1" si="14"/>
        <v>1.1928937500000011E-3</v>
      </c>
      <c r="AD16" s="110">
        <f t="shared" ca="1" si="15"/>
        <v>8.1111056521999972E-2</v>
      </c>
      <c r="AE16" s="111"/>
      <c r="AF16" s="112">
        <f t="shared" ca="1" si="8"/>
        <v>0.99999999999999989</v>
      </c>
      <c r="AG16" s="108"/>
      <c r="AH16" s="131" t="e">
        <f>(#REF!/1000000)*(1-(F16+H16))</f>
        <v>#REF!</v>
      </c>
      <c r="AJ16" s="54">
        <f t="shared" ca="1" si="0"/>
        <v>3.3875383031223762</v>
      </c>
      <c r="AL16" s="138">
        <f t="shared" ca="1" si="1"/>
        <v>0.15709055321588081</v>
      </c>
      <c r="AO16" s="135" t="e">
        <f t="shared" ca="1" si="2"/>
        <v>#REF!</v>
      </c>
      <c r="AP16" s="108"/>
      <c r="AQ16" s="31">
        <f t="shared" ca="1" si="3"/>
        <v>0.91204263361031823</v>
      </c>
      <c r="AR16" s="31"/>
      <c r="AS16" s="31">
        <f t="shared" ca="1" si="9"/>
        <v>1.4822717880000013E-3</v>
      </c>
      <c r="AT16" s="31"/>
      <c r="AU16" s="31">
        <f t="shared" ca="1" si="4"/>
        <v>2.7291464153789981E-4</v>
      </c>
      <c r="AV16" s="31"/>
      <c r="AW16" s="31">
        <f t="shared" ca="1" si="5"/>
        <v>8.1165362093117588E-5</v>
      </c>
      <c r="AX16" s="31"/>
      <c r="AY16" s="31">
        <f t="shared" ca="1" si="6"/>
        <v>1.3803684837285462E-4</v>
      </c>
      <c r="AZ16" s="31"/>
      <c r="BA16" s="134">
        <f t="shared" ca="1" si="7"/>
        <v>0.83645505441919354</v>
      </c>
    </row>
    <row r="17" spans="1:53">
      <c r="A17" s="78"/>
      <c r="B17">
        <v>19</v>
      </c>
      <c r="D17" s="78">
        <v>4</v>
      </c>
      <c r="E17" s="108"/>
      <c r="F17">
        <f>VLOOKUP(B17,Parameters!E8:F98,2)</f>
        <v>2.7799999999999998E-2</v>
      </c>
      <c r="H17">
        <f>VLOOKUP(B17,Parameters!H8:I98,2)</f>
        <v>0.01</v>
      </c>
      <c r="J17">
        <f ca="1">(VLOOKUP(B17,Parameters!K8:L98,2))*(1-mda_efficacy)</f>
        <v>1.5000000000000013E-3</v>
      </c>
      <c r="L17">
        <f>VLOOKUP(B17,Parameters!N8:O98,2)</f>
        <v>0.05</v>
      </c>
      <c r="N17">
        <f>VLOOKUP(B17,Parameters!T8:U98,2)</f>
        <v>0.375</v>
      </c>
      <c r="P17">
        <f>VLOOKUP(B17,Parameters!T8:U98,2)</f>
        <v>0.375</v>
      </c>
      <c r="R17" s="78">
        <f>VLOOKUP(B17,Parameters!W8:X98,2)</f>
        <v>0.1</v>
      </c>
      <c r="S17" s="108"/>
      <c r="T17" s="102">
        <f t="shared" ca="1" si="10"/>
        <v>0.88785106197707997</v>
      </c>
      <c r="V17" s="94">
        <f t="shared" ca="1" si="11"/>
        <v>1.816657010764501E-3</v>
      </c>
      <c r="X17" s="34">
        <f t="shared" ca="1" si="12"/>
        <v>2.0609166742500016E-3</v>
      </c>
      <c r="Z17" s="94">
        <f t="shared" ca="1" si="13"/>
        <v>1.7684192756250016E-3</v>
      </c>
      <c r="AB17" s="94">
        <f t="shared" ca="1" si="14"/>
        <v>1.7684192756250016E-3</v>
      </c>
      <c r="AD17" s="110">
        <f t="shared" ca="1" si="15"/>
        <v>0.10679544246090536</v>
      </c>
      <c r="AE17" s="111"/>
      <c r="AF17" s="112">
        <f t="shared" ca="1" si="8"/>
        <v>0.99999999999999978</v>
      </c>
      <c r="AG17" s="108"/>
      <c r="AH17" s="131" t="e">
        <f>(#REF!/1000000)*(1-(F17+H17))</f>
        <v>#REF!</v>
      </c>
      <c r="AJ17" s="54">
        <f t="shared" ca="1" si="0"/>
        <v>3.3875383031223762</v>
      </c>
      <c r="AL17" s="138">
        <f t="shared" ca="1" si="1"/>
        <v>0.26303347911331432</v>
      </c>
      <c r="AO17" s="135" t="e">
        <f t="shared" ca="1" si="2"/>
        <v>#REF!</v>
      </c>
      <c r="AP17" s="108"/>
      <c r="AQ17" s="31">
        <f t="shared" ca="1" si="3"/>
        <v>0.88531978444553594</v>
      </c>
      <c r="AR17" s="31"/>
      <c r="AS17" s="31">
        <f t="shared" ca="1" si="9"/>
        <v>1.4533256086116009E-3</v>
      </c>
      <c r="AT17" s="31"/>
      <c r="AU17" s="31">
        <f t="shared" ca="1" si="4"/>
        <v>5.5160022202355088E-4</v>
      </c>
      <c r="AV17" s="31"/>
      <c r="AW17" s="31">
        <f t="shared" ca="1" si="5"/>
        <v>1.2032453924630909E-4</v>
      </c>
      <c r="AX17" s="31"/>
      <c r="AY17" s="31">
        <f t="shared" ca="1" si="6"/>
        <v>2.0463433848075867E-4</v>
      </c>
      <c r="AZ17" s="31"/>
      <c r="BA17" s="134">
        <f t="shared" ca="1" si="7"/>
        <v>0.78866523412988487</v>
      </c>
    </row>
    <row r="18" spans="1:53">
      <c r="A18" s="78"/>
      <c r="B18">
        <v>20</v>
      </c>
      <c r="D18" s="78">
        <v>5</v>
      </c>
      <c r="E18" s="108"/>
      <c r="F18">
        <f>VLOOKUP(B18,Parameters!E9:F99,2)</f>
        <v>3.6200000000000003E-2</v>
      </c>
      <c r="H18">
        <f>VLOOKUP(B18,Parameters!H9:I99,2)</f>
        <v>0.01</v>
      </c>
      <c r="J18">
        <f ca="1">(VLOOKUP(B18,Parameters!K9:L99,2))*(1-mda_efficacy)</f>
        <v>1.5000000000000013E-3</v>
      </c>
      <c r="L18">
        <f>VLOOKUP(B18,Parameters!N9:O99,2)</f>
        <v>5.5E-2</v>
      </c>
      <c r="N18">
        <f>VLOOKUP(B18,Parameters!T9:U99,2)</f>
        <v>0.375</v>
      </c>
      <c r="P18">
        <f>VLOOKUP(B18,Parameters!T9:U99,2)</f>
        <v>0.375</v>
      </c>
      <c r="R18" s="78">
        <f>VLOOKUP(B18,Parameters!W9:X99,2)</f>
        <v>0.1</v>
      </c>
      <c r="S18" s="108"/>
      <c r="T18" s="102">
        <f t="shared" ca="1" si="10"/>
        <v>0.86183702586115163</v>
      </c>
      <c r="V18" s="94">
        <f t="shared" ca="1" si="11"/>
        <v>1.7677742755491017E-3</v>
      </c>
      <c r="X18" s="34">
        <f t="shared" ca="1" si="12"/>
        <v>3.0087246553194774E-3</v>
      </c>
      <c r="Z18" s="94">
        <f t="shared" ca="1" si="13"/>
        <v>2.2728237270991892E-3</v>
      </c>
      <c r="AB18" s="94">
        <f t="shared" ca="1" si="14"/>
        <v>2.2728237270991892E-3</v>
      </c>
      <c r="AD18" s="110">
        <f t="shared" ca="1" si="15"/>
        <v>0.13184955240910085</v>
      </c>
      <c r="AE18" s="111"/>
      <c r="AF18" s="112">
        <f t="shared" ca="1" si="8"/>
        <v>0.99999999999999978</v>
      </c>
      <c r="AG18" s="108"/>
      <c r="AH18" s="131" t="e">
        <f>(#REF!/1000000)*(1-(F18+H18))</f>
        <v>#REF!</v>
      </c>
      <c r="AJ18" s="54">
        <f t="shared" ca="1" si="0"/>
        <v>3.4015613767128268</v>
      </c>
      <c r="AL18" s="138">
        <f t="shared" ca="1" si="1"/>
        <v>0.35781894953456306</v>
      </c>
      <c r="AO18" s="135" t="e">
        <f t="shared" ca="1" si="2"/>
        <v>#REF!</v>
      </c>
      <c r="AP18" s="108"/>
      <c r="AQ18" s="31">
        <f t="shared" ca="1" si="3"/>
        <v>0.85937991476128184</v>
      </c>
      <c r="AR18" s="31"/>
      <c r="AS18" s="31">
        <f t="shared" ca="1" si="9"/>
        <v>1.4142194204392815E-3</v>
      </c>
      <c r="AT18" s="31"/>
      <c r="AU18" s="31">
        <f t="shared" ca="1" si="4"/>
        <v>8.0527913069843721E-4</v>
      </c>
      <c r="AV18" s="31"/>
      <c r="AW18" s="31">
        <f t="shared" ca="1" si="5"/>
        <v>1.546445865642557E-4</v>
      </c>
      <c r="AX18" s="31"/>
      <c r="AY18" s="31">
        <f t="shared" ca="1" si="6"/>
        <v>2.6300198504335934E-4</v>
      </c>
      <c r="AZ18" s="31"/>
      <c r="BA18" s="134">
        <f t="shared" ca="1" si="7"/>
        <v>0.74358348814497177</v>
      </c>
    </row>
    <row r="19" spans="1:53">
      <c r="A19" s="78"/>
      <c r="B19">
        <v>21</v>
      </c>
      <c r="D19" s="78">
        <v>6</v>
      </c>
      <c r="E19" s="108"/>
      <c r="F19">
        <f>VLOOKUP(B19,Parameters!E10:F100,2)</f>
        <v>3.6200000000000003E-2</v>
      </c>
      <c r="H19">
        <f>VLOOKUP(B19,Parameters!H10:I100,2)</f>
        <v>0.01</v>
      </c>
      <c r="J19">
        <f ca="1">(VLOOKUP(B19,Parameters!K10:L100,2))*(1-mda_efficacy)</f>
        <v>1.5000000000000013E-3</v>
      </c>
      <c r="L19">
        <f>VLOOKUP(B19,Parameters!N10:O100,2)</f>
        <v>5.5E-2</v>
      </c>
      <c r="N19">
        <f>VLOOKUP(B19,Parameters!T10:U100,2)</f>
        <v>0.375</v>
      </c>
      <c r="P19">
        <f>VLOOKUP(B19,Parameters!T10:U100,2)</f>
        <v>0.375</v>
      </c>
      <c r="R19" s="78">
        <f>VLOOKUP(B19,Parameters!W10:X100,2)</f>
        <v>0.1</v>
      </c>
      <c r="S19" s="108"/>
      <c r="T19" s="102">
        <f t="shared" ca="1" si="10"/>
        <v>0.82934576998618625</v>
      </c>
      <c r="V19" s="94">
        <f t="shared" ca="1" si="11"/>
        <v>1.7170213649235128E-3</v>
      </c>
      <c r="X19" s="34">
        <f t="shared" ca="1" si="12"/>
        <v>3.8473867348688628E-3</v>
      </c>
      <c r="Z19" s="94">
        <f t="shared" ca="1" si="13"/>
        <v>2.7084567077201834E-3</v>
      </c>
      <c r="AB19" s="94">
        <f t="shared" ca="1" si="14"/>
        <v>2.7084567077201834E-3</v>
      </c>
      <c r="AD19" s="110">
        <f t="shared" ca="1" si="15"/>
        <v>0.16352029523344985</v>
      </c>
      <c r="AE19" s="111"/>
      <c r="AF19" s="112">
        <f t="shared" ca="1" si="8"/>
        <v>0.99999999999999978</v>
      </c>
      <c r="AG19" s="108"/>
      <c r="AH19" s="131" t="e">
        <f>(#REF!/1000000)*(1-(F19+H19))</f>
        <v>#REF!</v>
      </c>
      <c r="AJ19" s="54">
        <f t="shared" ca="1" si="0"/>
        <v>3.4015613767128268</v>
      </c>
      <c r="AL19" s="138">
        <f t="shared" ca="1" si="1"/>
        <v>0.4407834750629579</v>
      </c>
      <c r="AO19" s="135" t="e">
        <f t="shared" ca="1" si="2"/>
        <v>#REF!</v>
      </c>
      <c r="AP19" s="108"/>
      <c r="AQ19" s="31">
        <f t="shared" ca="1" si="3"/>
        <v>0.82698129197478154</v>
      </c>
      <c r="AR19" s="31"/>
      <c r="AS19" s="31">
        <f t="shared" ca="1" si="9"/>
        <v>1.3736170919388105E-3</v>
      </c>
      <c r="AT19" s="31"/>
      <c r="AU19" s="31">
        <f t="shared" ca="1" si="4"/>
        <v>1.0297453573354376E-3</v>
      </c>
      <c r="AV19" s="31"/>
      <c r="AW19" s="31">
        <f t="shared" ca="1" si="5"/>
        <v>1.8428537277158307E-4</v>
      </c>
      <c r="AX19" s="31"/>
      <c r="AY19" s="31">
        <f t="shared" ca="1" si="6"/>
        <v>3.1341167466759857E-4</v>
      </c>
      <c r="AZ19" s="31"/>
      <c r="BA19" s="134">
        <f t="shared" ca="1" si="7"/>
        <v>0.69501340425698821</v>
      </c>
    </row>
    <row r="20" spans="1:53">
      <c r="A20" s="78"/>
      <c r="B20">
        <v>22</v>
      </c>
      <c r="D20" s="78">
        <v>7</v>
      </c>
      <c r="E20" s="108"/>
      <c r="F20">
        <f>VLOOKUP(B20,Parameters!E11:F101,2)</f>
        <v>3.6200000000000003E-2</v>
      </c>
      <c r="H20">
        <f>VLOOKUP(B20,Parameters!H11:I101,2)</f>
        <v>0.01</v>
      </c>
      <c r="J20">
        <f ca="1">(VLOOKUP(B20,Parameters!K11:L101,2))*(1-mda_efficacy)</f>
        <v>1.5000000000000013E-3</v>
      </c>
      <c r="L20">
        <f>VLOOKUP(B20,Parameters!N11:O101,2)</f>
        <v>5.5E-2</v>
      </c>
      <c r="N20">
        <f>VLOOKUP(B20,Parameters!T11:U101,2)</f>
        <v>0.375</v>
      </c>
      <c r="P20">
        <f>VLOOKUP(B20,Parameters!T11:U101,2)</f>
        <v>0.375</v>
      </c>
      <c r="R20" s="78">
        <f>VLOOKUP(B20,Parameters!W11:X101,2)</f>
        <v>0.1</v>
      </c>
      <c r="S20" s="108"/>
      <c r="T20" s="102">
        <f t="shared" ca="1" si="10"/>
        <v>0.79807943445770702</v>
      </c>
      <c r="V20" s="94">
        <f t="shared" ca="1" si="11"/>
        <v>1.6561037825609233E-3</v>
      </c>
      <c r="X20" s="34">
        <f t="shared" ca="1" si="12"/>
        <v>4.5633897428090956E-3</v>
      </c>
      <c r="Z20" s="94">
        <f t="shared" ca="1" si="13"/>
        <v>3.0814940487944825E-3</v>
      </c>
      <c r="AB20" s="94">
        <f t="shared" ca="1" si="14"/>
        <v>3.0814940487944825E-3</v>
      </c>
      <c r="AD20" s="110">
        <f t="shared" ca="1" si="15"/>
        <v>0.19410147366214306</v>
      </c>
      <c r="AE20" s="111"/>
      <c r="AF20" s="112">
        <f t="shared" ca="1" si="8"/>
        <v>0.99999999999999978</v>
      </c>
      <c r="AG20" s="108"/>
      <c r="AH20" s="131" t="e">
        <f>(#REF!/1000000)*(1-(F20+H20))</f>
        <v>#REF!</v>
      </c>
      <c r="AJ20" s="54">
        <f t="shared" ca="1" si="0"/>
        <v>3.4015613767128268</v>
      </c>
      <c r="AL20" s="138">
        <f t="shared" ca="1" si="1"/>
        <v>0.51170874939484245</v>
      </c>
      <c r="AO20" s="135" t="e">
        <f t="shared" ca="1" si="2"/>
        <v>#REF!</v>
      </c>
      <c r="AP20" s="108"/>
      <c r="AQ20" s="31">
        <f t="shared" ca="1" si="3"/>
        <v>0.79580409726733226</v>
      </c>
      <c r="AR20" s="31"/>
      <c r="AS20" s="31">
        <f t="shared" ca="1" si="9"/>
        <v>1.3248830260487387E-3</v>
      </c>
      <c r="AT20" s="31"/>
      <c r="AU20" s="31">
        <f t="shared" ca="1" si="4"/>
        <v>1.2213821290128224E-3</v>
      </c>
      <c r="AV20" s="31"/>
      <c r="AW20" s="31">
        <f t="shared" ca="1" si="5"/>
        <v>2.0966710594148965E-4</v>
      </c>
      <c r="AX20" s="31"/>
      <c r="AY20" s="31">
        <f t="shared" ca="1" si="6"/>
        <v>3.5657804961699018E-4</v>
      </c>
      <c r="AZ20" s="31"/>
      <c r="BA20" s="134">
        <f t="shared" ca="1" si="7"/>
        <v>0.64959231189286226</v>
      </c>
    </row>
    <row r="21" spans="1:53">
      <c r="A21" s="78"/>
      <c r="B21">
        <v>23</v>
      </c>
      <c r="D21" s="78">
        <v>8</v>
      </c>
      <c r="E21" s="108"/>
      <c r="F21">
        <f>VLOOKUP(B21,Parameters!E12:F102,2)</f>
        <v>3.6200000000000003E-2</v>
      </c>
      <c r="H21">
        <f>VLOOKUP(B21,Parameters!H12:I102,2)</f>
        <v>0.01</v>
      </c>
      <c r="J21">
        <f ca="1">(VLOOKUP(B21,Parameters!K12:L102,2))*(1-mda_efficacy)</f>
        <v>1.5000000000000013E-3</v>
      </c>
      <c r="L21">
        <f>VLOOKUP(B21,Parameters!N12:O102,2)</f>
        <v>5.5E-2</v>
      </c>
      <c r="N21">
        <f>VLOOKUP(B21,Parameters!T12:U102,2)</f>
        <v>0.375</v>
      </c>
      <c r="P21">
        <f>VLOOKUP(B21,Parameters!T12:U102,2)</f>
        <v>0.375</v>
      </c>
      <c r="R21" s="78">
        <f>VLOOKUP(B21,Parameters!W12:X102,2)</f>
        <v>0.1</v>
      </c>
      <c r="S21" s="108"/>
      <c r="T21" s="102">
        <f t="shared" ca="1" si="10"/>
        <v>0.76799183977865149</v>
      </c>
      <c r="V21" s="94">
        <f t="shared" ca="1" si="11"/>
        <v>1.5945840595011829E-3</v>
      </c>
      <c r="X21" s="34">
        <f t="shared" ca="1" si="12"/>
        <v>5.1755508885517471E-3</v>
      </c>
      <c r="Z21" s="94">
        <f t="shared" ca="1" si="13"/>
        <v>3.3943835623753806E-3</v>
      </c>
      <c r="AB21" s="94">
        <f t="shared" ca="1" si="14"/>
        <v>3.3943835623753806E-3</v>
      </c>
      <c r="AD21" s="110">
        <f t="shared" ca="1" si="15"/>
        <v>0.22362480903709656</v>
      </c>
      <c r="AE21" s="111"/>
      <c r="AF21" s="112">
        <f t="shared" ca="1" si="8"/>
        <v>1</v>
      </c>
      <c r="AG21" s="108"/>
      <c r="AH21" s="131" t="e">
        <f>(#REF!/1000000)*(1-(F21+H21))</f>
        <v>#REF!</v>
      </c>
      <c r="AJ21" s="54">
        <f t="shared" ca="1" si="0"/>
        <v>3.4015613767128268</v>
      </c>
      <c r="AL21" s="138">
        <f t="shared" ca="1" si="1"/>
        <v>0.57183522585586744</v>
      </c>
      <c r="AO21" s="135" t="e">
        <f t="shared" ca="1" si="2"/>
        <v>#REF!</v>
      </c>
      <c r="AP21" s="108"/>
      <c r="AQ21" s="31">
        <f t="shared" ca="1" si="3"/>
        <v>0.7658022828003539</v>
      </c>
      <c r="AR21" s="31"/>
      <c r="AS21" s="31">
        <f t="shared" ca="1" si="9"/>
        <v>1.2756672476009463E-3</v>
      </c>
      <c r="AT21" s="31"/>
      <c r="AU21" s="31">
        <f t="shared" ca="1" si="4"/>
        <v>1.3852258341586019E-3</v>
      </c>
      <c r="AV21" s="31"/>
      <c r="AW21" s="31">
        <f t="shared" ca="1" si="5"/>
        <v>2.3095633699407334E-4</v>
      </c>
      <c r="AX21" s="31"/>
      <c r="AY21" s="31">
        <f t="shared" ca="1" si="6"/>
        <v>3.9278436081915935E-4</v>
      </c>
      <c r="AZ21" s="31"/>
      <c r="BA21" s="134">
        <f t="shared" ca="1" si="7"/>
        <v>0.60712431393822575</v>
      </c>
    </row>
    <row r="22" spans="1:53">
      <c r="A22" s="78"/>
      <c r="B22">
        <v>24</v>
      </c>
      <c r="D22" s="78">
        <v>9</v>
      </c>
      <c r="E22" s="108"/>
      <c r="F22">
        <f>VLOOKUP(B22,Parameters!E13:F103,2)</f>
        <v>3.6200000000000003E-2</v>
      </c>
      <c r="H22">
        <f>VLOOKUP(B22,Parameters!H13:I103,2)</f>
        <v>0.01</v>
      </c>
      <c r="J22">
        <f ca="1">(VLOOKUP(B22,Parameters!K13:L103,2))*(1-mda_efficacy)</f>
        <v>1.5000000000000013E-3</v>
      </c>
      <c r="L22">
        <f>VLOOKUP(B22,Parameters!N13:O103,2)</f>
        <v>5.5E-2</v>
      </c>
      <c r="N22">
        <f>VLOOKUP(B22,Parameters!T13:U103,2)</f>
        <v>0.375</v>
      </c>
      <c r="P22">
        <f>VLOOKUP(B22,Parameters!T13:U103,2)</f>
        <v>0.375</v>
      </c>
      <c r="R22" s="78">
        <f>VLOOKUP(B22,Parameters!W13:X103,2)</f>
        <v>0.1</v>
      </c>
      <c r="S22" s="108"/>
      <c r="T22" s="102">
        <f t="shared" ca="1" si="10"/>
        <v>0.73903854741899633</v>
      </c>
      <c r="V22" s="94">
        <f t="shared" ca="1" si="11"/>
        <v>1.5346879339482623E-3</v>
      </c>
      <c r="X22" s="34">
        <f t="shared" ca="1" si="12"/>
        <v>5.6884350011919427E-3</v>
      </c>
      <c r="Z22" s="94">
        <f t="shared" ca="1" si="13"/>
        <v>3.6529142284507858E-3</v>
      </c>
      <c r="AB22" s="94">
        <f t="shared" ca="1" si="14"/>
        <v>3.6529142284507858E-3</v>
      </c>
      <c r="AD22" s="110">
        <f t="shared" ca="1" si="15"/>
        <v>0.25212093619015385</v>
      </c>
      <c r="AE22" s="111"/>
      <c r="AF22" s="112">
        <f t="shared" ca="1" si="8"/>
        <v>1</v>
      </c>
      <c r="AG22" s="108"/>
      <c r="AH22" s="131" t="e">
        <f>(#REF!/1000000)*(1-(F22+H22))</f>
        <v>#REF!</v>
      </c>
      <c r="AJ22" s="54">
        <f t="shared" ca="1" si="0"/>
        <v>3.4015613767128268</v>
      </c>
      <c r="AL22" s="138">
        <f t="shared" ca="1" si="1"/>
        <v>0.6219041923883416</v>
      </c>
      <c r="AO22" s="135" t="e">
        <f t="shared" ca="1" si="2"/>
        <v>#REF!</v>
      </c>
      <c r="AP22" s="108"/>
      <c r="AQ22" s="31">
        <f t="shared" ca="1" si="3"/>
        <v>0.73693153673878053</v>
      </c>
      <c r="AR22" s="31"/>
      <c r="AS22" s="31">
        <f t="shared" ca="1" si="9"/>
        <v>1.2277503471586099E-3</v>
      </c>
      <c r="AT22" s="31"/>
      <c r="AU22" s="31">
        <f t="shared" ca="1" si="4"/>
        <v>1.522498240141555E-3</v>
      </c>
      <c r="AV22" s="31"/>
      <c r="AW22" s="31">
        <f t="shared" ca="1" si="5"/>
        <v>2.4854695235624209E-4</v>
      </c>
      <c r="AX22" s="31"/>
      <c r="AY22" s="31">
        <f t="shared" ca="1" si="6"/>
        <v>4.2270048566496715E-4</v>
      </c>
      <c r="AZ22" s="31"/>
      <c r="BA22" s="134">
        <f t="shared" ca="1" si="7"/>
        <v>0.56741895215175708</v>
      </c>
    </row>
    <row r="23" spans="1:53">
      <c r="A23" s="78"/>
      <c r="B23">
        <v>25</v>
      </c>
      <c r="D23" s="78">
        <v>10</v>
      </c>
      <c r="E23" s="108"/>
      <c r="F23">
        <f>VLOOKUP(B23,Parameters!E14:F104,2)</f>
        <v>4.9799999999999997E-2</v>
      </c>
      <c r="H23">
        <f>VLOOKUP(B23,Parameters!H14:I104,2)</f>
        <v>0.01</v>
      </c>
      <c r="J23">
        <f ca="1">(VLOOKUP(B23,Parameters!K14:L104,2))*(1-mda_efficacy)</f>
        <v>1.5000000000000013E-3</v>
      </c>
      <c r="L23">
        <f>VLOOKUP(B23,Parameters!N14:O104,2)</f>
        <v>5.5E-2</v>
      </c>
      <c r="N23">
        <f>VLOOKUP(B23,Parameters!T14:U104,2)</f>
        <v>0.375</v>
      </c>
      <c r="P23">
        <f>VLOOKUP(B23,Parameters!T14:U104,2)</f>
        <v>0.375</v>
      </c>
      <c r="R23" s="78">
        <f>VLOOKUP(B23,Parameters!W14:X104,2)</f>
        <v>0.1</v>
      </c>
      <c r="S23" s="108"/>
      <c r="T23" s="102">
        <f t="shared" ca="1" si="10"/>
        <v>0.7111767941813002</v>
      </c>
      <c r="V23" s="94">
        <f t="shared" ca="1" si="11"/>
        <v>1.4768829252760785E-3</v>
      </c>
      <c r="X23" s="34">
        <f t="shared" ca="1" si="12"/>
        <v>6.1117163133109506E-3</v>
      </c>
      <c r="Z23" s="94">
        <f t="shared" ca="1" si="13"/>
        <v>3.8631307808363055E-3</v>
      </c>
      <c r="AB23" s="94">
        <f t="shared" ca="1" si="14"/>
        <v>3.8631307808363055E-3</v>
      </c>
      <c r="AD23" s="110">
        <f t="shared" ca="1" si="15"/>
        <v>0.27962006133175116</v>
      </c>
      <c r="AE23" s="111"/>
      <c r="AF23" s="112">
        <f t="shared" ca="1" si="8"/>
        <v>1</v>
      </c>
      <c r="AG23" s="108"/>
      <c r="AH23" s="131" t="e">
        <f>(#REF!/1000000)*(1-(F23+H23))</f>
        <v>#REF!</v>
      </c>
      <c r="AJ23" s="54">
        <f t="shared" ca="1" si="0"/>
        <v>3.4015613767128268</v>
      </c>
      <c r="AL23" s="138">
        <f t="shared" ca="1" si="1"/>
        <v>0.66295909491550165</v>
      </c>
      <c r="AO23" s="135" t="e">
        <f t="shared" ca="1" si="2"/>
        <v>#REF!</v>
      </c>
      <c r="AP23" s="108"/>
      <c r="AQ23" s="31">
        <f t="shared" ca="1" si="3"/>
        <v>0.70914921780372853</v>
      </c>
      <c r="AR23" s="31"/>
      <c r="AS23" s="31">
        <f t="shared" ca="1" si="9"/>
        <v>1.1815063402208629E-3</v>
      </c>
      <c r="AT23" s="31"/>
      <c r="AU23" s="31">
        <f t="shared" ca="1" si="4"/>
        <v>1.6357886359447877E-3</v>
      </c>
      <c r="AV23" s="31"/>
      <c r="AW23" s="31">
        <f t="shared" ca="1" si="5"/>
        <v>2.6285024013215469E-4</v>
      </c>
      <c r="AX23" s="31"/>
      <c r="AY23" s="31">
        <f t="shared" ca="1" si="6"/>
        <v>4.4702589634559501E-4</v>
      </c>
      <c r="AZ23" s="31"/>
      <c r="BA23" s="134">
        <f t="shared" ca="1" si="7"/>
        <v>0.53029816428324428</v>
      </c>
    </row>
    <row r="24" spans="1:53">
      <c r="A24" s="78"/>
      <c r="B24">
        <v>26</v>
      </c>
      <c r="D24" s="78">
        <v>11</v>
      </c>
      <c r="E24" s="108"/>
      <c r="F24">
        <f>VLOOKUP(B24,Parameters!E15:F105,2)</f>
        <v>4.9799999999999997E-2</v>
      </c>
      <c r="H24">
        <f>VLOOKUP(B24,Parameters!H15:I105,2)</f>
        <v>0.01</v>
      </c>
      <c r="J24">
        <f ca="1">(VLOOKUP(B24,Parameters!K15:L105,2))*(1-mda_efficacy)</f>
        <v>1.5000000000000013E-3</v>
      </c>
      <c r="L24">
        <f>VLOOKUP(B24,Parameters!N15:O105,2)</f>
        <v>5.5E-2</v>
      </c>
      <c r="N24">
        <f>VLOOKUP(B24,Parameters!T15:U105,2)</f>
        <v>0.375</v>
      </c>
      <c r="P24">
        <f>VLOOKUP(B24,Parameters!T15:U105,2)</f>
        <v>0.375</v>
      </c>
      <c r="R24" s="78">
        <f>VLOOKUP(B24,Parameters!W15:X105,2)</f>
        <v>0.1</v>
      </c>
      <c r="S24" s="108"/>
      <c r="T24" s="102">
        <f t="shared" ca="1" si="10"/>
        <v>0.67469342463979953</v>
      </c>
      <c r="V24" s="94">
        <f t="shared" ca="1" si="11"/>
        <v>1.42121709333821E-3</v>
      </c>
      <c r="X24" s="34">
        <f t="shared" ca="1" si="12"/>
        <v>6.4553943492700883E-3</v>
      </c>
      <c r="Z24" s="94">
        <f t="shared" ca="1" si="13"/>
        <v>4.0306487997312044E-3</v>
      </c>
      <c r="AB24" s="94">
        <f t="shared" ca="1" si="14"/>
        <v>4.0306487997312044E-3</v>
      </c>
      <c r="AD24" s="110">
        <f t="shared" ca="1" si="15"/>
        <v>0.31582406066739993</v>
      </c>
      <c r="AE24" s="111"/>
      <c r="AF24" s="112">
        <f t="shared" ca="1" si="8"/>
        <v>1.0000000000000002</v>
      </c>
      <c r="AG24" s="108"/>
      <c r="AH24" s="131" t="e">
        <f>(#REF!/1000000)*(1-(F24+H24))</f>
        <v>#REF!</v>
      </c>
      <c r="AJ24" s="54">
        <f t="shared" ca="1" si="0"/>
        <v>3.4015613767128268</v>
      </c>
      <c r="AL24" s="138">
        <f t="shared" ca="1" si="1"/>
        <v>0.69602485891641186</v>
      </c>
      <c r="AO24" s="135" t="e">
        <f t="shared" ca="1" si="2"/>
        <v>#REF!</v>
      </c>
      <c r="AP24" s="108"/>
      <c r="AQ24" s="31">
        <f t="shared" ca="1" si="3"/>
        <v>0.67276986293039731</v>
      </c>
      <c r="AR24" s="31"/>
      <c r="AS24" s="31">
        <f t="shared" ca="1" si="9"/>
        <v>1.136973674670568E-3</v>
      </c>
      <c r="AT24" s="31"/>
      <c r="AU24" s="31">
        <f t="shared" ca="1" si="4"/>
        <v>1.7277733742451203E-3</v>
      </c>
      <c r="AV24" s="31"/>
      <c r="AW24" s="31">
        <f t="shared" ca="1" si="5"/>
        <v>2.7424828850044076E-4</v>
      </c>
      <c r="AX24" s="31"/>
      <c r="AY24" s="31">
        <f t="shared" ca="1" si="6"/>
        <v>4.6641040512847368E-4</v>
      </c>
      <c r="AZ24" s="31"/>
      <c r="BA24" s="134">
        <f t="shared" ca="1" si="7"/>
        <v>0.48862788505453758</v>
      </c>
    </row>
    <row r="25" spans="1:53">
      <c r="A25" s="78"/>
      <c r="B25">
        <v>27</v>
      </c>
      <c r="D25" s="78">
        <v>12</v>
      </c>
      <c r="E25" s="108"/>
      <c r="F25">
        <f>VLOOKUP(B25,Parameters!E16:F106,2)</f>
        <v>4.9799999999999997E-2</v>
      </c>
      <c r="H25">
        <f>VLOOKUP(B25,Parameters!H16:I106,2)</f>
        <v>0.01</v>
      </c>
      <c r="J25">
        <f ca="1">(VLOOKUP(B25,Parameters!K16:L106,2))*(1-mda_efficacy)</f>
        <v>1.5000000000000013E-3</v>
      </c>
      <c r="L25">
        <f>VLOOKUP(B25,Parameters!N16:O106,2)</f>
        <v>5.5E-2</v>
      </c>
      <c r="N25">
        <f>VLOOKUP(B25,Parameters!T16:U106,2)</f>
        <v>0.375</v>
      </c>
      <c r="P25">
        <f>VLOOKUP(B25,Parameters!T16:U106,2)</f>
        <v>0.375</v>
      </c>
      <c r="R25" s="78">
        <f>VLOOKUP(B25,Parameters!W16:X106,2)</f>
        <v>0.1</v>
      </c>
      <c r="S25" s="108"/>
      <c r="T25" s="102">
        <f t="shared" ca="1" si="10"/>
        <v>0.64008165195577782</v>
      </c>
      <c r="V25" s="94">
        <f t="shared" ca="1" si="11"/>
        <v>1.3531322393608709E-3</v>
      </c>
      <c r="X25" s="34">
        <f t="shared" ca="1" si="12"/>
        <v>6.7287374596900883E-3</v>
      </c>
      <c r="Z25" s="94">
        <f t="shared" ca="1" si="13"/>
        <v>4.1605403297599129E-3</v>
      </c>
      <c r="AB25" s="94">
        <f t="shared" ca="1" si="14"/>
        <v>4.1605403297599129E-3</v>
      </c>
      <c r="AD25" s="110">
        <f t="shared" ca="1" si="15"/>
        <v>0.35024413514534153</v>
      </c>
      <c r="AE25" s="111"/>
      <c r="AF25" s="112">
        <f t="shared" ca="1" si="8"/>
        <v>1</v>
      </c>
      <c r="AG25" s="108"/>
      <c r="AH25" s="131" t="e">
        <f>(#REF!/1000000)*(1-(F25+H25))</f>
        <v>#REF!</v>
      </c>
      <c r="AJ25" s="54">
        <f t="shared" ca="1" si="0"/>
        <v>3.4015613767128268</v>
      </c>
      <c r="AL25" s="138">
        <f t="shared" ca="1" si="1"/>
        <v>0.72204019951225595</v>
      </c>
      <c r="AO25" s="135" t="e">
        <f t="shared" ca="1" si="2"/>
        <v>#REF!</v>
      </c>
      <c r="AP25" s="108"/>
      <c r="AQ25" s="31">
        <f t="shared" ca="1" si="3"/>
        <v>0.63825676896206796</v>
      </c>
      <c r="AR25" s="31"/>
      <c r="AS25" s="31">
        <f t="shared" ca="1" si="9"/>
        <v>1.0825057914886967E-3</v>
      </c>
      <c r="AT25" s="31"/>
      <c r="AU25" s="31">
        <f t="shared" ca="1" si="4"/>
        <v>1.8009331105314744E-3</v>
      </c>
      <c r="AV25" s="31"/>
      <c r="AW25" s="31">
        <f t="shared" ca="1" si="5"/>
        <v>2.8308620308219558E-4</v>
      </c>
      <c r="AX25" s="31"/>
      <c r="AY25" s="31">
        <f t="shared" ca="1" si="6"/>
        <v>4.8144092853887038E-4</v>
      </c>
      <c r="AZ25" s="31"/>
      <c r="BA25" s="134">
        <f t="shared" ca="1" si="7"/>
        <v>0.45021906612659268</v>
      </c>
    </row>
    <row r="26" spans="1:53">
      <c r="A26" s="78"/>
      <c r="B26">
        <v>28</v>
      </c>
      <c r="D26" s="78">
        <v>13</v>
      </c>
      <c r="E26" s="108"/>
      <c r="F26">
        <f>VLOOKUP(B26,Parameters!E17:F107,2)</f>
        <v>4.9799999999999997E-2</v>
      </c>
      <c r="H26">
        <f>VLOOKUP(B26,Parameters!H17:I107,2)</f>
        <v>0.01</v>
      </c>
      <c r="J26">
        <f ca="1">(VLOOKUP(B26,Parameters!K17:L107,2))*(1-mda_efficacy)</f>
        <v>1.5000000000000013E-3</v>
      </c>
      <c r="L26">
        <f>VLOOKUP(B26,Parameters!N17:O107,2)</f>
        <v>5.5E-2</v>
      </c>
      <c r="N26">
        <f>VLOOKUP(B26,Parameters!T17:U107,2)</f>
        <v>0.375</v>
      </c>
      <c r="P26">
        <f>VLOOKUP(B26,Parameters!T17:U107,2)</f>
        <v>0.375</v>
      </c>
      <c r="R26" s="78">
        <f>VLOOKUP(B26,Parameters!W17:X107,2)</f>
        <v>0.1</v>
      </c>
      <c r="S26" s="108"/>
      <c r="T26" s="102">
        <f t="shared" ca="1" si="10"/>
        <v>0.60724546321044648</v>
      </c>
      <c r="V26" s="94">
        <f t="shared" ca="1" si="11"/>
        <v>1.2848742153802769E-3</v>
      </c>
      <c r="X26" s="34">
        <f t="shared" ca="1" si="12"/>
        <v>6.9393138172687031E-3</v>
      </c>
      <c r="Z26" s="94">
        <f t="shared" ca="1" si="13"/>
        <v>4.251910886544248E-3</v>
      </c>
      <c r="AB26" s="94">
        <f t="shared" ca="1" si="14"/>
        <v>4.251910886544248E-3</v>
      </c>
      <c r="AD26" s="110">
        <f t="shared" ca="1" si="15"/>
        <v>0.38296584080108492</v>
      </c>
      <c r="AE26" s="111"/>
      <c r="AF26" s="112">
        <f t="shared" ca="1" si="8"/>
        <v>1</v>
      </c>
      <c r="AG26" s="108"/>
      <c r="AH26" s="131" t="e">
        <f>(#REF!/1000000)*(1-(F26+H26))</f>
        <v>#REF!</v>
      </c>
      <c r="AJ26" s="54">
        <f t="shared" ca="1" si="0"/>
        <v>3.4015613767128268</v>
      </c>
      <c r="AL26" s="138">
        <f t="shared" ca="1" si="1"/>
        <v>0.74134474799857952</v>
      </c>
      <c r="AO26" s="135" t="e">
        <f t="shared" ca="1" si="2"/>
        <v>#REF!</v>
      </c>
      <c r="AP26" s="108"/>
      <c r="AQ26" s="31">
        <f t="shared" ca="1" si="3"/>
        <v>0.60551419671431383</v>
      </c>
      <c r="AR26" s="31"/>
      <c r="AS26" s="31">
        <f t="shared" ca="1" si="9"/>
        <v>1.0278993723042216E-3</v>
      </c>
      <c r="AT26" s="31"/>
      <c r="AU26" s="31">
        <f t="shared" ca="1" si="4"/>
        <v>1.8572934510753467E-3</v>
      </c>
      <c r="AV26" s="31"/>
      <c r="AW26" s="31">
        <f t="shared" ca="1" si="5"/>
        <v>2.89303122506956E-4</v>
      </c>
      <c r="AX26" s="31"/>
      <c r="AY26" s="31">
        <f t="shared" ca="1" si="6"/>
        <v>4.9201396045607385E-4</v>
      </c>
      <c r="AZ26" s="31"/>
      <c r="BA26" s="134">
        <f t="shared" ca="1" si="7"/>
        <v>0.41482241847132695</v>
      </c>
    </row>
    <row r="27" spans="1:53">
      <c r="A27" s="78"/>
      <c r="B27">
        <v>29</v>
      </c>
      <c r="D27" s="78">
        <v>14</v>
      </c>
      <c r="E27" s="108"/>
      <c r="F27">
        <f>VLOOKUP(B27,Parameters!E18:F108,2)</f>
        <v>4.9799999999999997E-2</v>
      </c>
      <c r="H27">
        <f>VLOOKUP(B27,Parameters!H18:I108,2)</f>
        <v>0.01</v>
      </c>
      <c r="J27">
        <f ca="1">(VLOOKUP(B27,Parameters!K18:L108,2))*(1-mda_efficacy)</f>
        <v>1.5000000000000013E-3</v>
      </c>
      <c r="L27">
        <f>VLOOKUP(B27,Parameters!N18:O108,2)</f>
        <v>5.5E-2</v>
      </c>
      <c r="N27">
        <f>VLOOKUP(B27,Parameters!T18:U108,2)</f>
        <v>0.375</v>
      </c>
      <c r="P27">
        <f>VLOOKUP(B27,Parameters!T18:U108,2)</f>
        <v>0.375</v>
      </c>
      <c r="R27" s="78">
        <f>VLOOKUP(B27,Parameters!W18:X108,2)</f>
        <v>0.1</v>
      </c>
      <c r="S27" s="108"/>
      <c r="T27" s="102">
        <f t="shared" ca="1" si="10"/>
        <v>0.57609377094775061</v>
      </c>
      <c r="V27" s="94">
        <f t="shared" ca="1" si="11"/>
        <v>1.2192380065069368E-3</v>
      </c>
      <c r="X27" s="34">
        <f t="shared" ca="1" si="12"/>
        <v>7.0863210446439236E-3</v>
      </c>
      <c r="Z27" s="94">
        <f t="shared" ca="1" si="13"/>
        <v>4.3085476286574267E-3</v>
      </c>
      <c r="AB27" s="94">
        <f t="shared" ca="1" si="14"/>
        <v>4.3085476286574267E-3</v>
      </c>
      <c r="AD27" s="110">
        <f t="shared" ca="1" si="15"/>
        <v>0.41406989578842779</v>
      </c>
      <c r="AE27" s="111"/>
      <c r="AF27" s="112">
        <f t="shared" ca="1" si="8"/>
        <v>1</v>
      </c>
      <c r="AG27" s="108"/>
      <c r="AH27" s="131" t="e">
        <f>(#REF!/1000000)*(1-(F27+H27))</f>
        <v>#REF!</v>
      </c>
      <c r="AJ27" s="54">
        <f t="shared" ca="1" si="0"/>
        <v>3.4015613767128268</v>
      </c>
      <c r="AL27" s="138">
        <f t="shared" ca="1" si="1"/>
        <v>0.7542154768231536</v>
      </c>
      <c r="AO27" s="135" t="e">
        <f t="shared" ca="1" si="2"/>
        <v>#REF!</v>
      </c>
      <c r="AP27" s="108"/>
      <c r="AQ27" s="31">
        <f t="shared" ca="1" si="3"/>
        <v>0.57445131842286956</v>
      </c>
      <c r="AR27" s="31"/>
      <c r="AS27" s="31">
        <f t="shared" ca="1" si="9"/>
        <v>9.7539040520554948E-4</v>
      </c>
      <c r="AT27" s="31"/>
      <c r="AU27" s="31">
        <f t="shared" ca="1" si="4"/>
        <v>1.8966396411821095E-3</v>
      </c>
      <c r="AV27" s="31"/>
      <c r="AW27" s="31">
        <f t="shared" ca="1" si="5"/>
        <v>2.9315672781035428E-4</v>
      </c>
      <c r="AX27" s="31"/>
      <c r="AY27" s="31">
        <f t="shared" ca="1" si="6"/>
        <v>4.9856773557930623E-4</v>
      </c>
      <c r="AZ27" s="31"/>
      <c r="BA27" s="134">
        <f t="shared" ca="1" si="7"/>
        <v>0.38220216852790262</v>
      </c>
    </row>
    <row r="28" spans="1:53">
      <c r="A28" s="78"/>
      <c r="B28">
        <v>30</v>
      </c>
      <c r="D28" s="78">
        <v>15</v>
      </c>
      <c r="E28" s="108"/>
      <c r="F28">
        <f>VLOOKUP(B28,Parameters!E19:F109,2)</f>
        <v>6.2700000000000006E-2</v>
      </c>
      <c r="H28">
        <f>VLOOKUP(B28,Parameters!H19:I109,2)</f>
        <v>0.01</v>
      </c>
      <c r="J28">
        <f ca="1">(VLOOKUP(B28,Parameters!K19:L109,2))*(1-mda_efficacy)</f>
        <v>1.5000000000000013E-3</v>
      </c>
      <c r="L28">
        <f>VLOOKUP(B28,Parameters!N19:O109,2)</f>
        <v>0.11</v>
      </c>
      <c r="N28">
        <f>VLOOKUP(B28,Parameters!T19:U109,2)</f>
        <v>0.375</v>
      </c>
      <c r="P28">
        <f>VLOOKUP(B28,Parameters!T19:U109,2)</f>
        <v>0.375</v>
      </c>
      <c r="R28" s="78">
        <f>VLOOKUP(B28,Parameters!W19:X109,2)</f>
        <v>0.1</v>
      </c>
      <c r="S28" s="108"/>
      <c r="T28" s="102">
        <f t="shared" ca="1" si="10"/>
        <v>0.54654016049813103</v>
      </c>
      <c r="V28" s="94">
        <f t="shared" ca="1" si="11"/>
        <v>1.1567577779832913E-3</v>
      </c>
      <c r="X28" s="34">
        <f t="shared" ca="1" si="12"/>
        <v>7.1761616776426351E-3</v>
      </c>
      <c r="Z28" s="94">
        <f t="shared" ca="1" si="13"/>
        <v>4.3349071182317853E-3</v>
      </c>
      <c r="AB28" s="94">
        <f t="shared" ca="1" si="14"/>
        <v>4.3349071182317853E-3</v>
      </c>
      <c r="AD28" s="110">
        <f t="shared" ca="1" si="15"/>
        <v>0.44363326748742232</v>
      </c>
      <c r="AE28" s="111"/>
      <c r="AF28" s="112">
        <f t="shared" ca="1" si="8"/>
        <v>1.0000000000000002</v>
      </c>
      <c r="AG28" s="108"/>
      <c r="AH28" s="131" t="e">
        <f>(#REF!/1000000)*(1-(F28+H28))</f>
        <v>#REF!</v>
      </c>
      <c r="AJ28" s="54">
        <f t="shared" ca="1" si="0"/>
        <v>3.5558151862077851</v>
      </c>
      <c r="AL28" s="138">
        <f t="shared" ca="1" si="1"/>
        <v>0.76138161175879193</v>
      </c>
      <c r="AO28" s="135" t="e">
        <f t="shared" ca="1" si="2"/>
        <v>#REF!</v>
      </c>
      <c r="AP28" s="108"/>
      <c r="AQ28" s="31">
        <f t="shared" ca="1" si="3"/>
        <v>0.54498196578777647</v>
      </c>
      <c r="AR28" s="31"/>
      <c r="AS28" s="31">
        <f t="shared" ca="1" si="9"/>
        <v>9.2540622238663313E-4</v>
      </c>
      <c r="AT28" s="31"/>
      <c r="AU28" s="31">
        <f t="shared" ca="1" si="4"/>
        <v>1.920685306748312E-3</v>
      </c>
      <c r="AV28" s="31"/>
      <c r="AW28" s="31">
        <f t="shared" ca="1" si="5"/>
        <v>2.9495024673514754E-4</v>
      </c>
      <c r="AX28" s="31"/>
      <c r="AY28" s="31">
        <f t="shared" ca="1" si="6"/>
        <v>5.0161794928489526E-4</v>
      </c>
      <c r="AZ28" s="31"/>
      <c r="BA28" s="134">
        <f t="shared" ca="1" si="7"/>
        <v>0.35214127052152516</v>
      </c>
    </row>
    <row r="29" spans="1:53">
      <c r="A29" s="78"/>
      <c r="B29">
        <v>31</v>
      </c>
      <c r="D29" s="78">
        <v>16</v>
      </c>
      <c r="E29" s="108"/>
      <c r="F29">
        <f>VLOOKUP(B29,Parameters!E20:F110,2)</f>
        <v>6.2700000000000006E-2</v>
      </c>
      <c r="H29">
        <f>VLOOKUP(B29,Parameters!H20:I110,2)</f>
        <v>0.01</v>
      </c>
      <c r="J29">
        <f ca="1">(VLOOKUP(B29,Parameters!K20:L110,2))*(1-mda_efficacy)</f>
        <v>1.5000000000000013E-3</v>
      </c>
      <c r="L29">
        <f>VLOOKUP(B29,Parameters!N20:O110,2)</f>
        <v>0.11</v>
      </c>
      <c r="N29">
        <f>VLOOKUP(B29,Parameters!T20:U110,2)</f>
        <v>0.375</v>
      </c>
      <c r="P29">
        <f>VLOOKUP(B29,Parameters!T20:U110,2)</f>
        <v>0.375</v>
      </c>
      <c r="R29" s="78">
        <f>VLOOKUP(B29,Parameters!W20:X110,2)</f>
        <v>0.1</v>
      </c>
      <c r="S29" s="108"/>
      <c r="T29" s="102">
        <f t="shared" ca="1" si="10"/>
        <v>0.51145228219415106</v>
      </c>
      <c r="V29" s="94">
        <f t="shared" ca="1" si="11"/>
        <v>1.0974321074631872E-3</v>
      </c>
      <c r="X29" s="34">
        <f t="shared" ca="1" si="12"/>
        <v>7.2798401006606075E-3</v>
      </c>
      <c r="Z29" s="94">
        <f t="shared" ca="1" si="13"/>
        <v>4.3352005731523407E-3</v>
      </c>
      <c r="AB29" s="94">
        <f t="shared" ca="1" si="14"/>
        <v>4.3352005731523407E-3</v>
      </c>
      <c r="AD29" s="110">
        <f t="shared" ca="1" si="15"/>
        <v>0.47877988455208137</v>
      </c>
      <c r="AE29" s="111"/>
      <c r="AF29" s="112">
        <f t="shared" ca="1" si="8"/>
        <v>1.0000000000000002</v>
      </c>
      <c r="AG29" s="108"/>
      <c r="AH29" s="131" t="e">
        <f>(#REF!/1000000)*(1-(F29+H29))</f>
        <v>#REF!</v>
      </c>
      <c r="AJ29" s="54">
        <f t="shared" ca="1" si="0"/>
        <v>3.5558151862077851</v>
      </c>
      <c r="AL29" s="138">
        <f t="shared" ca="1" si="1"/>
        <v>0.76709787882557945</v>
      </c>
      <c r="AO29" s="135" t="e">
        <f t="shared" ca="1" si="2"/>
        <v>#REF!</v>
      </c>
      <c r="AP29" s="108"/>
      <c r="AQ29" s="31">
        <f t="shared" ca="1" si="3"/>
        <v>0.50999412358420126</v>
      </c>
      <c r="AR29" s="31"/>
      <c r="AS29" s="31">
        <f t="shared" ca="1" si="9"/>
        <v>8.7794568597054977E-4</v>
      </c>
      <c r="AT29" s="31"/>
      <c r="AU29" s="31">
        <f t="shared" ca="1" si="4"/>
        <v>1.9484346291106908E-3</v>
      </c>
      <c r="AV29" s="31"/>
      <c r="AW29" s="31">
        <f t="shared" ca="1" si="5"/>
        <v>2.9497021362229474E-4</v>
      </c>
      <c r="AX29" s="31"/>
      <c r="AY29" s="31">
        <f t="shared" ca="1" si="6"/>
        <v>5.0165190670346089E-4</v>
      </c>
      <c r="AZ29" s="31"/>
      <c r="BA29" s="134">
        <f t="shared" ca="1" si="7"/>
        <v>0.32006921235267105</v>
      </c>
    </row>
    <row r="30" spans="1:53">
      <c r="A30" s="78"/>
      <c r="B30">
        <v>32</v>
      </c>
      <c r="D30" s="78">
        <v>17</v>
      </c>
      <c r="E30" s="108"/>
      <c r="F30">
        <f>VLOOKUP(B30,Parameters!E21:F111,2)</f>
        <v>6.2700000000000006E-2</v>
      </c>
      <c r="H30">
        <f>VLOOKUP(B30,Parameters!H21:I111,2)</f>
        <v>0.01</v>
      </c>
      <c r="J30">
        <f ca="1">(VLOOKUP(B30,Parameters!K21:L111,2))*(1-mda_efficacy)</f>
        <v>1.5000000000000013E-3</v>
      </c>
      <c r="L30">
        <f>VLOOKUP(B30,Parameters!N21:O111,2)</f>
        <v>0.11</v>
      </c>
      <c r="N30">
        <f>VLOOKUP(B30,Parameters!T21:U111,2)</f>
        <v>0.375</v>
      </c>
      <c r="P30">
        <f>VLOOKUP(B30,Parameters!T21:U111,2)</f>
        <v>0.375</v>
      </c>
      <c r="R30" s="78">
        <f>VLOOKUP(B30,Parameters!W21:X111,2)</f>
        <v>0.1</v>
      </c>
      <c r="S30" s="108"/>
      <c r="T30" s="102">
        <f t="shared" ca="1" si="10"/>
        <v>0.47861704567728658</v>
      </c>
      <c r="V30" s="94">
        <f t="shared" ca="1" si="11"/>
        <v>1.0305621290823922E-3</v>
      </c>
      <c r="X30" s="34">
        <f t="shared" ca="1" si="12"/>
        <v>7.2737984775223131E-3</v>
      </c>
      <c r="Z30" s="94">
        <f t="shared" ca="1" si="13"/>
        <v>4.3132175561358017E-3</v>
      </c>
      <c r="AB30" s="94">
        <f t="shared" ca="1" si="14"/>
        <v>4.3132175561358017E-3</v>
      </c>
      <c r="AD30" s="110">
        <f t="shared" ca="1" si="15"/>
        <v>0.51172595708135982</v>
      </c>
      <c r="AE30" s="111"/>
      <c r="AF30" s="112">
        <f t="shared" ca="1" si="8"/>
        <v>1.0000000000000004</v>
      </c>
      <c r="AG30" s="108"/>
      <c r="AH30" s="131" t="e">
        <f>(#REF!/1000000)*(1-(F30+H30))</f>
        <v>#REF!</v>
      </c>
      <c r="AJ30" s="54">
        <f t="shared" ca="1" si="0"/>
        <v>3.5558151862077851</v>
      </c>
      <c r="AL30" s="138">
        <f t="shared" ca="1" si="1"/>
        <v>0.76490283441500551</v>
      </c>
      <c r="AO30" s="135" t="e">
        <f t="shared" ca="1" si="2"/>
        <v>#REF!</v>
      </c>
      <c r="AP30" s="108"/>
      <c r="AQ30" s="31">
        <f t="shared" ca="1" si="3"/>
        <v>0.47725250085009552</v>
      </c>
      <c r="AR30" s="31"/>
      <c r="AS30" s="31">
        <f t="shared" ca="1" si="9"/>
        <v>8.2444970326591381E-4</v>
      </c>
      <c r="AT30" s="31"/>
      <c r="AU30" s="31">
        <f t="shared" ca="1" si="4"/>
        <v>1.9468176007727167E-3</v>
      </c>
      <c r="AV30" s="31"/>
      <c r="AW30" s="31">
        <f t="shared" ca="1" si="5"/>
        <v>2.9347447308710747E-4</v>
      </c>
      <c r="AX30" s="31"/>
      <c r="AY30" s="31">
        <f t="shared" ca="1" si="6"/>
        <v>4.9910812073200291E-4</v>
      </c>
      <c r="AZ30" s="31"/>
      <c r="BA30" s="134">
        <f t="shared" ca="1" si="7"/>
        <v>0.29090179963357954</v>
      </c>
    </row>
    <row r="31" spans="1:53">
      <c r="A31" s="78"/>
      <c r="B31">
        <v>33</v>
      </c>
      <c r="D31" s="78">
        <v>18</v>
      </c>
      <c r="E31" s="108"/>
      <c r="F31">
        <f>VLOOKUP(B31,Parameters!E22:F112,2)</f>
        <v>6.2700000000000006E-2</v>
      </c>
      <c r="H31">
        <f>VLOOKUP(B31,Parameters!H22:I112,2)</f>
        <v>0.01</v>
      </c>
      <c r="J31">
        <f ca="1">(VLOOKUP(B31,Parameters!K22:L112,2))*(1-mda_efficacy)</f>
        <v>1.5000000000000013E-3</v>
      </c>
      <c r="L31">
        <f>VLOOKUP(B31,Parameters!N22:O112,2)</f>
        <v>0.11</v>
      </c>
      <c r="N31">
        <f>VLOOKUP(B31,Parameters!T22:U112,2)</f>
        <v>0.375</v>
      </c>
      <c r="P31">
        <f>VLOOKUP(B31,Parameters!T22:U112,2)</f>
        <v>0.375</v>
      </c>
      <c r="R31" s="78">
        <f>VLOOKUP(B31,Parameters!W22:X112,2)</f>
        <v>0.1</v>
      </c>
      <c r="S31" s="108"/>
      <c r="T31" s="102">
        <f t="shared" ca="1" si="10"/>
        <v>0.44788983134480481</v>
      </c>
      <c r="V31" s="94">
        <f t="shared" ca="1" si="11"/>
        <v>9.6526047949570465E-4</v>
      </c>
      <c r="X31" s="34">
        <f t="shared" ca="1" si="12"/>
        <v>7.2301708018231358E-3</v>
      </c>
      <c r="Z31" s="94">
        <f t="shared" ca="1" si="13"/>
        <v>4.2683565989281181E-3</v>
      </c>
      <c r="AB31" s="94">
        <f t="shared" ca="1" si="14"/>
        <v>4.2683565989281181E-3</v>
      </c>
      <c r="AD31" s="110">
        <f t="shared" ca="1" si="15"/>
        <v>0.54260819497784363</v>
      </c>
      <c r="AE31" s="111"/>
      <c r="AF31" s="112">
        <f t="shared" ca="1" si="8"/>
        <v>1.0000000000000004</v>
      </c>
      <c r="AG31" s="108"/>
      <c r="AH31" s="131" t="e">
        <f>(#REF!/1000000)*(1-(F31+H31))</f>
        <v>#REF!</v>
      </c>
      <c r="AJ31" s="54">
        <f t="shared" ca="1" si="0"/>
        <v>3.5558151862077851</v>
      </c>
      <c r="AL31" s="138">
        <f t="shared" ca="1" si="1"/>
        <v>0.75870526648656145</v>
      </c>
      <c r="AO31" s="135" t="e">
        <f t="shared" ca="1" si="2"/>
        <v>#REF!</v>
      </c>
      <c r="AP31" s="108"/>
      <c r="AQ31" s="31">
        <f t="shared" ca="1" si="3"/>
        <v>0.44661289029551943</v>
      </c>
      <c r="AR31" s="31"/>
      <c r="AS31" s="31">
        <f t="shared" ca="1" si="9"/>
        <v>7.7220838359656372E-4</v>
      </c>
      <c r="AT31" s="31"/>
      <c r="AU31" s="31">
        <f t="shared" ca="1" si="4"/>
        <v>1.9351407407119888E-3</v>
      </c>
      <c r="AV31" s="31"/>
      <c r="AW31" s="31">
        <f t="shared" ca="1" si="5"/>
        <v>2.9042210079024072E-4</v>
      </c>
      <c r="AX31" s="31"/>
      <c r="AY31" s="31">
        <f t="shared" ca="1" si="6"/>
        <v>4.9391699189262539E-4</v>
      </c>
      <c r="AZ31" s="31"/>
      <c r="BA31" s="134">
        <f t="shared" ca="1" si="7"/>
        <v>0.26438900228164858</v>
      </c>
    </row>
    <row r="32" spans="1:53">
      <c r="A32" s="78"/>
      <c r="B32">
        <v>34</v>
      </c>
      <c r="D32" s="78">
        <v>19</v>
      </c>
      <c r="E32" s="108"/>
      <c r="F32">
        <f>VLOOKUP(B32,Parameters!E23:F113,2)</f>
        <v>6.2700000000000006E-2</v>
      </c>
      <c r="H32">
        <f>VLOOKUP(B32,Parameters!H23:I113,2)</f>
        <v>0.01</v>
      </c>
      <c r="J32">
        <f ca="1">(VLOOKUP(B32,Parameters!K23:L113,2))*(1-mda_efficacy)</f>
        <v>1.5000000000000013E-3</v>
      </c>
      <c r="L32">
        <f>VLOOKUP(B32,Parameters!N23:O113,2)</f>
        <v>0.11</v>
      </c>
      <c r="N32">
        <f>VLOOKUP(B32,Parameters!T23:U113,2)</f>
        <v>0.375</v>
      </c>
      <c r="P32">
        <f>VLOOKUP(B32,Parameters!T23:U113,2)</f>
        <v>0.375</v>
      </c>
      <c r="R32" s="78">
        <f>VLOOKUP(B32,Parameters!W23:X113,2)</f>
        <v>0.1</v>
      </c>
      <c r="S32" s="108"/>
      <c r="T32" s="102">
        <f t="shared" ca="1" si="10"/>
        <v>0.41913530417246836</v>
      </c>
      <c r="V32" s="94">
        <f t="shared" ca="1" si="11"/>
        <v>9.0349726209617686E-4</v>
      </c>
      <c r="X32" s="34">
        <f t="shared" ca="1" si="12"/>
        <v>7.1489670409759214E-3</v>
      </c>
      <c r="Z32" s="94">
        <f t="shared" ca="1" si="13"/>
        <v>4.2034936188461956E-3</v>
      </c>
      <c r="AB32" s="94">
        <f t="shared" ca="1" si="14"/>
        <v>4.2034936188461956E-3</v>
      </c>
      <c r="AD32" s="110">
        <f t="shared" ca="1" si="15"/>
        <v>0.57155421132774331</v>
      </c>
      <c r="AE32" s="111"/>
      <c r="AF32" s="112">
        <f t="shared" ca="1" si="8"/>
        <v>1.0000000000000002</v>
      </c>
      <c r="AG32" s="108"/>
      <c r="AH32" s="131" t="e">
        <f>(#REF!/1000000)*(1-(F32+H32))</f>
        <v>#REF!</v>
      </c>
      <c r="AJ32" s="54">
        <f t="shared" ca="1" si="0"/>
        <v>3.5558151862077851</v>
      </c>
      <c r="AL32" s="138">
        <f t="shared" ca="1" si="1"/>
        <v>0.74874949947229708</v>
      </c>
      <c r="AO32" s="135" t="e">
        <f t="shared" ca="1" si="2"/>
        <v>#REF!</v>
      </c>
      <c r="AP32" s="108"/>
      <c r="AQ32" s="31">
        <f t="shared" ca="1" si="3"/>
        <v>0.41794034273854708</v>
      </c>
      <c r="AR32" s="31"/>
      <c r="AS32" s="31">
        <f t="shared" ca="1" si="9"/>
        <v>7.2279780967694155E-4</v>
      </c>
      <c r="AT32" s="31"/>
      <c r="AU32" s="31">
        <f t="shared" ca="1" si="4"/>
        <v>1.9134067166866016E-3</v>
      </c>
      <c r="AV32" s="31"/>
      <c r="AW32" s="31">
        <f t="shared" ca="1" si="5"/>
        <v>2.8600877624663585E-4</v>
      </c>
      <c r="AX32" s="31"/>
      <c r="AY32" s="31">
        <f t="shared" ca="1" si="6"/>
        <v>4.8641130972555918E-4</v>
      </c>
      <c r="AZ32" s="31"/>
      <c r="BA32" s="134">
        <f t="shared" ca="1" si="7"/>
        <v>0.24028942849184246</v>
      </c>
    </row>
    <row r="33" spans="1:53">
      <c r="A33" s="78"/>
      <c r="B33">
        <v>35</v>
      </c>
      <c r="D33" s="78">
        <v>20</v>
      </c>
      <c r="E33" s="108"/>
      <c r="F33">
        <f>VLOOKUP(B33,Parameters!E24:F114,2)</f>
        <v>6.4699999999999994E-2</v>
      </c>
      <c r="H33">
        <f>VLOOKUP(B33,Parameters!H24:I114,2)</f>
        <v>0.01</v>
      </c>
      <c r="J33">
        <f ca="1">(VLOOKUP(B33,Parameters!K24:L114,2))*(1-mda_efficacy)</f>
        <v>1.5000000000000013E-3</v>
      </c>
      <c r="L33">
        <f>VLOOKUP(B33,Parameters!N24:O114,2)</f>
        <v>0.11</v>
      </c>
      <c r="N33">
        <f>VLOOKUP(B33,Parameters!T24:U114,2)</f>
        <v>0.375</v>
      </c>
      <c r="P33">
        <f>VLOOKUP(B33,Parameters!T24:U114,2)</f>
        <v>0.375</v>
      </c>
      <c r="R33" s="78">
        <f>VLOOKUP(B33,Parameters!W24:X114,2)</f>
        <v>0.1</v>
      </c>
      <c r="S33" s="108"/>
      <c r="T33" s="102">
        <f t="shared" ca="1" si="10"/>
        <v>0.39222681764459588</v>
      </c>
      <c r="V33" s="94">
        <f t="shared" ca="1" si="11"/>
        <v>8.4554229916178553E-4</v>
      </c>
      <c r="X33" s="34">
        <f t="shared" ca="1" si="12"/>
        <v>7.0351491699268019E-3</v>
      </c>
      <c r="Z33" s="94">
        <f t="shared" ca="1" si="13"/>
        <v>4.1219557302476419E-3</v>
      </c>
      <c r="AB33" s="94">
        <f t="shared" ca="1" si="14"/>
        <v>4.1219557302476419E-3</v>
      </c>
      <c r="AD33" s="110">
        <f t="shared" ca="1" si="15"/>
        <v>0.59868372859574726</v>
      </c>
      <c r="AE33" s="111"/>
      <c r="AF33" s="112">
        <f t="shared" ca="1" si="8"/>
        <v>1.0000000000000002</v>
      </c>
      <c r="AG33" s="108"/>
      <c r="AH33" s="131" t="e">
        <f>(#REF!/1000000)*(1-(F33+H33))</f>
        <v>#REF!</v>
      </c>
      <c r="AJ33" s="54">
        <f t="shared" ca="1" si="0"/>
        <v>3.5558151862077851</v>
      </c>
      <c r="AL33" s="138">
        <f t="shared" ca="1" si="1"/>
        <v>0.73558994234067687</v>
      </c>
      <c r="AO33" s="135" t="e">
        <f t="shared" ca="1" si="2"/>
        <v>#REF!</v>
      </c>
      <c r="AP33" s="108"/>
      <c r="AQ33" s="31">
        <f t="shared" ca="1" si="3"/>
        <v>0.39110857273473237</v>
      </c>
      <c r="AR33" s="31"/>
      <c r="AS33" s="31">
        <f t="shared" ca="1" si="9"/>
        <v>6.7643383932942849E-4</v>
      </c>
      <c r="AT33" s="31"/>
      <c r="AU33" s="31">
        <f t="shared" ca="1" si="4"/>
        <v>1.8829435913572919E-3</v>
      </c>
      <c r="AV33" s="31"/>
      <c r="AW33" s="31">
        <f t="shared" ca="1" si="5"/>
        <v>2.8046087874745795E-4</v>
      </c>
      <c r="AX33" s="31"/>
      <c r="AY33" s="31">
        <f t="shared" ca="1" si="6"/>
        <v>4.7697607447085081E-4</v>
      </c>
      <c r="AZ33" s="31"/>
      <c r="BA33" s="134">
        <f t="shared" ca="1" si="7"/>
        <v>0.21838377368314865</v>
      </c>
    </row>
    <row r="34" spans="1:53">
      <c r="A34" s="78"/>
      <c r="B34">
        <v>36</v>
      </c>
      <c r="D34" s="78">
        <v>21</v>
      </c>
      <c r="E34" s="108"/>
      <c r="F34">
        <f>VLOOKUP(B34,Parameters!E25:F115,2)</f>
        <v>6.4699999999999994E-2</v>
      </c>
      <c r="H34">
        <f>VLOOKUP(B34,Parameters!H25:I115,2)</f>
        <v>0.01</v>
      </c>
      <c r="J34">
        <f ca="1">(VLOOKUP(B34,Parameters!K25:L115,2))*(1-mda_efficacy)</f>
        <v>1.5000000000000013E-3</v>
      </c>
      <c r="L34">
        <f>VLOOKUP(B34,Parameters!N25:O115,2)</f>
        <v>0.11</v>
      </c>
      <c r="N34">
        <f>VLOOKUP(B34,Parameters!T25:U115,2)</f>
        <v>0.375</v>
      </c>
      <c r="P34">
        <f>VLOOKUP(B34,Parameters!T25:U115,2)</f>
        <v>0.375</v>
      </c>
      <c r="R34" s="78">
        <f>VLOOKUP(B34,Parameters!W25:X115,2)</f>
        <v>0.1</v>
      </c>
      <c r="S34" s="108"/>
      <c r="T34" s="102">
        <f t="shared" ca="1" si="10"/>
        <v>0.3662614023165236</v>
      </c>
      <c r="V34" s="94">
        <f t="shared" ca="1" si="11"/>
        <v>7.9127037826572284E-4</v>
      </c>
      <c r="X34" s="34">
        <f t="shared" ca="1" si="12"/>
        <v>6.8942366078164046E-3</v>
      </c>
      <c r="Z34" s="94">
        <f t="shared" ca="1" si="13"/>
        <v>4.026838519408547E-3</v>
      </c>
      <c r="AB34" s="94">
        <f t="shared" ca="1" si="14"/>
        <v>4.026838519408547E-3</v>
      </c>
      <c r="AD34" s="110">
        <f t="shared" ca="1" si="15"/>
        <v>0.62489365026639376</v>
      </c>
      <c r="AE34" s="111"/>
      <c r="AF34" s="112">
        <f t="shared" ca="1" si="8"/>
        <v>1.0000000000000002</v>
      </c>
      <c r="AG34" s="108"/>
      <c r="AH34" s="131" t="e">
        <f>(#REF!/1000000)*(1-(F34+H34))</f>
        <v>#REF!</v>
      </c>
      <c r="AJ34" s="54">
        <f t="shared" ca="1" si="0"/>
        <v>3.5558151862077851</v>
      </c>
      <c r="AL34" s="138">
        <f t="shared" ca="1" si="1"/>
        <v>0.71979197928339556</v>
      </c>
      <c r="AO34" s="135" t="e">
        <f t="shared" ca="1" si="2"/>
        <v>#REF!</v>
      </c>
      <c r="AP34" s="108"/>
      <c r="AQ34" s="31">
        <f t="shared" ca="1" si="3"/>
        <v>0.36521718521969304</v>
      </c>
      <c r="AR34" s="31"/>
      <c r="AS34" s="31">
        <f t="shared" ca="1" si="9"/>
        <v>6.3301630261257836E-4</v>
      </c>
      <c r="AT34" s="31"/>
      <c r="AU34" s="31">
        <f t="shared" ca="1" si="4"/>
        <v>1.845228626207481E-3</v>
      </c>
      <c r="AV34" s="31"/>
      <c r="AW34" s="31">
        <f t="shared" ca="1" si="5"/>
        <v>2.7398903424408747E-4</v>
      </c>
      <c r="AX34" s="31"/>
      <c r="AY34" s="31">
        <f t="shared" ca="1" si="6"/>
        <v>4.6596949487376181E-4</v>
      </c>
      <c r="AZ34" s="31"/>
      <c r="BA34" s="134">
        <f t="shared" ca="1" si="7"/>
        <v>0.19805217640293477</v>
      </c>
    </row>
    <row r="35" spans="1:53">
      <c r="A35" s="78"/>
      <c r="B35">
        <v>37</v>
      </c>
      <c r="D35" s="78">
        <v>22</v>
      </c>
      <c r="E35" s="108"/>
      <c r="F35">
        <f>VLOOKUP(B35,Parameters!E26:F116,2)</f>
        <v>6.4699999999999994E-2</v>
      </c>
      <c r="H35">
        <f>VLOOKUP(B35,Parameters!H26:I116,2)</f>
        <v>0.01</v>
      </c>
      <c r="J35">
        <f ca="1">(VLOOKUP(B35,Parameters!K26:L116,2))*(1-mda_efficacy)</f>
        <v>1.5000000000000013E-3</v>
      </c>
      <c r="L35">
        <f>VLOOKUP(B35,Parameters!N26:O116,2)</f>
        <v>0.11</v>
      </c>
      <c r="N35">
        <f>VLOOKUP(B35,Parameters!T26:U116,2)</f>
        <v>0.375</v>
      </c>
      <c r="P35">
        <f>VLOOKUP(B35,Parameters!T26:U116,2)</f>
        <v>0.375</v>
      </c>
      <c r="R35" s="78">
        <f>VLOOKUP(B35,Parameters!W26:X116,2)</f>
        <v>0.1</v>
      </c>
      <c r="S35" s="108"/>
      <c r="T35" s="102">
        <f t="shared" ca="1" si="10"/>
        <v>0.34201489748316977</v>
      </c>
      <c r="V35" s="94">
        <f t="shared" ca="1" si="11"/>
        <v>7.3929699425855956E-4</v>
      </c>
      <c r="X35" s="34">
        <f t="shared" ca="1" si="12"/>
        <v>6.7313232986333325E-3</v>
      </c>
      <c r="Z35" s="94">
        <f t="shared" ca="1" si="13"/>
        <v>3.9208810593173386E-3</v>
      </c>
      <c r="AB35" s="94">
        <f t="shared" ca="1" si="14"/>
        <v>3.9208810593173386E-3</v>
      </c>
      <c r="AD35" s="110">
        <f t="shared" ca="1" si="15"/>
        <v>0.6494040434039372</v>
      </c>
      <c r="AE35" s="111"/>
      <c r="AF35" s="112">
        <f t="shared" ca="1" si="8"/>
        <v>1.0000000000000002</v>
      </c>
      <c r="AG35" s="108"/>
      <c r="AH35" s="131" t="e">
        <f>(#REF!/1000000)*(1-(F35+H35))</f>
        <v>#REF!</v>
      </c>
      <c r="AJ35" s="54">
        <f t="shared" ca="1" si="0"/>
        <v>3.5558151862077851</v>
      </c>
      <c r="AL35" s="138">
        <f t="shared" ca="1" si="1"/>
        <v>0.70186741830947819</v>
      </c>
      <c r="AO35" s="135" t="e">
        <f t="shared" ca="1" si="2"/>
        <v>#REF!</v>
      </c>
      <c r="AP35" s="108"/>
      <c r="AQ35" s="31">
        <f t="shared" ca="1" si="3"/>
        <v>0.34103980755814939</v>
      </c>
      <c r="AR35" s="31"/>
      <c r="AS35" s="31">
        <f t="shared" ca="1" si="9"/>
        <v>5.9143759540684774E-4</v>
      </c>
      <c r="AT35" s="31"/>
      <c r="AU35" s="31">
        <f t="shared" ca="1" si="4"/>
        <v>1.8016252051479293E-3</v>
      </c>
      <c r="AV35" s="31"/>
      <c r="AW35" s="31">
        <f t="shared" ca="1" si="5"/>
        <v>2.667796112633987E-4</v>
      </c>
      <c r="AX35" s="31"/>
      <c r="AY35" s="31">
        <f t="shared" ca="1" si="6"/>
        <v>4.5370852540134823E-4</v>
      </c>
      <c r="AZ35" s="31"/>
      <c r="BA35" s="134">
        <f t="shared" ca="1" si="7"/>
        <v>0.1796110569522891</v>
      </c>
    </row>
    <row r="36" spans="1:53">
      <c r="A36" s="78"/>
      <c r="B36">
        <v>38</v>
      </c>
      <c r="D36" s="78">
        <v>23</v>
      </c>
      <c r="E36" s="108"/>
      <c r="F36">
        <f>VLOOKUP(B36,Parameters!E27:F117,2)</f>
        <v>6.4699999999999994E-2</v>
      </c>
      <c r="H36">
        <f>VLOOKUP(B36,Parameters!H27:I117,2)</f>
        <v>0.01</v>
      </c>
      <c r="J36">
        <f ca="1">(VLOOKUP(B36,Parameters!K27:L117,2))*(1-mda_efficacy)</f>
        <v>1.5000000000000013E-3</v>
      </c>
      <c r="L36">
        <f>VLOOKUP(B36,Parameters!N27:O117,2)</f>
        <v>0.11</v>
      </c>
      <c r="N36">
        <f>VLOOKUP(B36,Parameters!T27:U117,2)</f>
        <v>0.375</v>
      </c>
      <c r="P36">
        <f>VLOOKUP(B36,Parameters!T27:U117,2)</f>
        <v>0.375</v>
      </c>
      <c r="R36" s="78">
        <f>VLOOKUP(B36,Parameters!W27:X117,2)</f>
        <v>0.1</v>
      </c>
      <c r="S36" s="108"/>
      <c r="T36" s="102">
        <f t="shared" ca="1" si="10"/>
        <v>0.31937351126978392</v>
      </c>
      <c r="V36" s="94">
        <f t="shared" ca="1" si="11"/>
        <v>6.9045362484680944E-4</v>
      </c>
      <c r="X36" s="34">
        <f t="shared" ca="1" si="12"/>
        <v>6.5507764172420494E-3</v>
      </c>
      <c r="Z36" s="94">
        <f t="shared" ca="1" si="13"/>
        <v>3.8060293262325647E-3</v>
      </c>
      <c r="AB36" s="94">
        <f t="shared" ca="1" si="14"/>
        <v>3.8060293262325647E-3</v>
      </c>
      <c r="AD36" s="110">
        <f t="shared" ca="1" si="15"/>
        <v>0.67232397645290431</v>
      </c>
      <c r="AE36" s="111"/>
      <c r="AF36" s="112">
        <f t="shared" ca="1" si="8"/>
        <v>1.0000000000000002</v>
      </c>
      <c r="AG36" s="108"/>
      <c r="AH36" s="131" t="e">
        <f>(#REF!/1000000)*(1-(F36+H36))</f>
        <v>#REF!</v>
      </c>
      <c r="AJ36" s="54">
        <f t="shared" ca="1" si="0"/>
        <v>3.5558151862077851</v>
      </c>
      <c r="AL36" s="138">
        <f t="shared" ca="1" si="1"/>
        <v>0.68222094479630857</v>
      </c>
      <c r="AO36" s="135" t="e">
        <f t="shared" ca="1" si="2"/>
        <v>#REF!</v>
      </c>
      <c r="AP36" s="108"/>
      <c r="AQ36" s="31">
        <f t="shared" ca="1" si="3"/>
        <v>0.31846297229779991</v>
      </c>
      <c r="AR36" s="31"/>
      <c r="AS36" s="31">
        <f t="shared" ca="1" si="9"/>
        <v>5.5236289987744755E-4</v>
      </c>
      <c r="AT36" s="31"/>
      <c r="AU36" s="31">
        <f t="shared" ca="1" si="4"/>
        <v>1.7533021937882712E-3</v>
      </c>
      <c r="AV36" s="31"/>
      <c r="AW36" s="31">
        <f t="shared" ca="1" si="5"/>
        <v>2.5896501545145169E-4</v>
      </c>
      <c r="AX36" s="31"/>
      <c r="AY36" s="31">
        <f t="shared" ca="1" si="6"/>
        <v>4.4041834656925825E-4</v>
      </c>
      <c r="AZ36" s="31"/>
      <c r="BA36" s="134">
        <f t="shared" ca="1" si="7"/>
        <v>0.16288519349981737</v>
      </c>
    </row>
    <row r="37" spans="1:53">
      <c r="A37" s="78"/>
      <c r="B37">
        <v>39</v>
      </c>
      <c r="D37" s="78">
        <v>24</v>
      </c>
      <c r="E37" s="108"/>
      <c r="F37">
        <f>VLOOKUP(B37,Parameters!E28:F118,2)</f>
        <v>6.4699999999999994E-2</v>
      </c>
      <c r="H37">
        <f>VLOOKUP(B37,Parameters!H28:I118,2)</f>
        <v>0.01</v>
      </c>
      <c r="J37">
        <f ca="1">(VLOOKUP(B37,Parameters!K28:L118,2))*(1-mda_efficacy)</f>
        <v>1.5000000000000013E-3</v>
      </c>
      <c r="L37">
        <f>VLOOKUP(B37,Parameters!N28:O118,2)</f>
        <v>0.11</v>
      </c>
      <c r="N37">
        <f>VLOOKUP(B37,Parameters!T28:U118,2)</f>
        <v>0.375</v>
      </c>
      <c r="P37">
        <f>VLOOKUP(B37,Parameters!T28:U118,2)</f>
        <v>0.375</v>
      </c>
      <c r="R37" s="78">
        <f>VLOOKUP(B37,Parameters!W28:X118,2)</f>
        <v>0.1</v>
      </c>
      <c r="S37" s="108"/>
      <c r="T37" s="102">
        <f t="shared" ca="1" si="10"/>
        <v>0.29823098482372418</v>
      </c>
      <c r="V37" s="94">
        <f t="shared" ca="1" si="11"/>
        <v>6.4476913686791046E-4</v>
      </c>
      <c r="X37" s="34">
        <f t="shared" ca="1" si="12"/>
        <v>6.3558982870168803E-3</v>
      </c>
      <c r="Z37" s="94">
        <f t="shared" ca="1" si="13"/>
        <v>3.6843465029268623E-3</v>
      </c>
      <c r="AB37" s="94">
        <f t="shared" ca="1" si="14"/>
        <v>3.6843465029268623E-3</v>
      </c>
      <c r="AD37" s="110">
        <f t="shared" ca="1" si="15"/>
        <v>0.6937555530335543</v>
      </c>
      <c r="AE37" s="111"/>
      <c r="AF37" s="112">
        <f t="shared" ca="1" si="8"/>
        <v>1</v>
      </c>
      <c r="AG37" s="108"/>
      <c r="AH37" s="131" t="e">
        <f>(#REF!/1000000)*(1-(F37+H37))</f>
        <v>#REF!</v>
      </c>
      <c r="AJ37" s="54">
        <f t="shared" ca="1" si="0"/>
        <v>3.5558151862077851</v>
      </c>
      <c r="AL37" s="138">
        <f t="shared" ca="1" si="1"/>
        <v>0.66120872447095647</v>
      </c>
      <c r="AO37" s="135" t="e">
        <f t="shared" ca="1" si="2"/>
        <v>#REF!</v>
      </c>
      <c r="AP37" s="108"/>
      <c r="AQ37" s="31">
        <f t="shared" ca="1" si="3"/>
        <v>0.29738072353168549</v>
      </c>
      <c r="AR37" s="31"/>
      <c r="AS37" s="31">
        <f t="shared" ca="1" si="9"/>
        <v>5.1581530949432837E-4</v>
      </c>
      <c r="AT37" s="31"/>
      <c r="AU37" s="31">
        <f t="shared" ca="1" si="4"/>
        <v>1.7011434523685792E-3</v>
      </c>
      <c r="AV37" s="31"/>
      <c r="AW37" s="31">
        <f t="shared" ca="1" si="5"/>
        <v>2.5068562727113792E-4</v>
      </c>
      <c r="AX37" s="31"/>
      <c r="AY37" s="31">
        <f t="shared" ca="1" si="6"/>
        <v>4.2633770155772212E-4</v>
      </c>
      <c r="AZ37" s="31"/>
      <c r="BA37" s="134">
        <f t="shared" ca="1" si="7"/>
        <v>0.14771525786506237</v>
      </c>
    </row>
    <row r="38" spans="1:53">
      <c r="A38" s="78"/>
      <c r="B38">
        <v>40</v>
      </c>
      <c r="D38" s="78">
        <v>25</v>
      </c>
      <c r="E38" s="108"/>
      <c r="F38">
        <f>VLOOKUP(B38,Parameters!E29:F119,2)</f>
        <v>8.8999999999999996E-2</v>
      </c>
      <c r="H38">
        <f>VLOOKUP(B38,Parameters!H29:I119,2)</f>
        <v>0.01</v>
      </c>
      <c r="J38">
        <f ca="1">(VLOOKUP(B38,Parameters!K29:L119,2))*(1-mda_efficacy)</f>
        <v>1.5000000000000013E-3</v>
      </c>
      <c r="L38">
        <f>VLOOKUP(B38,Parameters!N29:O119,2)</f>
        <v>0.24</v>
      </c>
      <c r="N38">
        <f>VLOOKUP(B38,Parameters!T29:U119,2)</f>
        <v>0.375</v>
      </c>
      <c r="P38">
        <f>VLOOKUP(B38,Parameters!T29:U119,2)</f>
        <v>0.375</v>
      </c>
      <c r="R38" s="78">
        <f>VLOOKUP(B38,Parameters!W29:X119,2)</f>
        <v>0.1</v>
      </c>
      <c r="S38" s="108"/>
      <c r="T38" s="102">
        <f t="shared" ca="1" si="10"/>
        <v>0.27848809362839361</v>
      </c>
      <c r="V38" s="94">
        <f t="shared" ca="1" si="11"/>
        <v>6.0209107008388511E-4</v>
      </c>
      <c r="X38" s="34">
        <f t="shared" ca="1" si="12"/>
        <v>6.1500963348847925E-3</v>
      </c>
      <c r="Z38" s="94">
        <f t="shared" ca="1" si="13"/>
        <v>3.5577002789596427E-3</v>
      </c>
      <c r="AB38" s="94">
        <f t="shared" ca="1" si="14"/>
        <v>3.5577002789596427E-3</v>
      </c>
      <c r="AD38" s="110">
        <f t="shared" ca="1" si="15"/>
        <v>0.71379441474360328</v>
      </c>
      <c r="AE38" s="111"/>
      <c r="AF38" s="112">
        <f t="shared" ca="1" si="8"/>
        <v>1</v>
      </c>
      <c r="AG38" s="108"/>
      <c r="AH38" s="131" t="e">
        <f>(#REF!/1000000)*(1-(F38+H38))</f>
        <v>#REF!</v>
      </c>
      <c r="AJ38" s="54">
        <f t="shared" ca="1" si="0"/>
        <v>3.920415099559504</v>
      </c>
      <c r="AL38" s="138">
        <f t="shared" ca="1" si="1"/>
        <v>0.63917612169291926</v>
      </c>
      <c r="AO38" s="135" t="e">
        <f t="shared" ca="1" si="2"/>
        <v>#REF!</v>
      </c>
      <c r="AP38" s="108"/>
      <c r="AQ38" s="31">
        <f t="shared" ca="1" si="3"/>
        <v>0.2776941196338879</v>
      </c>
      <c r="AR38" s="31"/>
      <c r="AS38" s="31">
        <f t="shared" ca="1" si="9"/>
        <v>4.8167285606710809E-4</v>
      </c>
      <c r="AT38" s="31"/>
      <c r="AU38" s="31">
        <f t="shared" ca="1" si="4"/>
        <v>1.6460609718843783E-3</v>
      </c>
      <c r="AV38" s="31"/>
      <c r="AW38" s="31">
        <f t="shared" ca="1" si="5"/>
        <v>2.4206852568432399E-4</v>
      </c>
      <c r="AX38" s="31"/>
      <c r="AY38" s="31">
        <f t="shared" ca="1" si="6"/>
        <v>4.1168271186165103E-4</v>
      </c>
      <c r="AZ38" s="31"/>
      <c r="BA38" s="134">
        <f t="shared" ca="1" si="7"/>
        <v>0.13395671084645816</v>
      </c>
    </row>
    <row r="39" spans="1:53">
      <c r="A39" s="78"/>
      <c r="B39">
        <v>41</v>
      </c>
      <c r="D39" s="78">
        <v>26</v>
      </c>
      <c r="E39" s="108"/>
      <c r="F39">
        <f>VLOOKUP(B39,Parameters!E30:F120,2)</f>
        <v>8.8999999999999996E-2</v>
      </c>
      <c r="H39">
        <f>VLOOKUP(B39,Parameters!H30:I120,2)</f>
        <v>0.01</v>
      </c>
      <c r="J39">
        <f ca="1">(VLOOKUP(B39,Parameters!K30:L120,2))*(1-mda_efficacy)</f>
        <v>1.5000000000000013E-3</v>
      </c>
      <c r="L39">
        <f>VLOOKUP(B39,Parameters!N30:O120,2)</f>
        <v>0.24</v>
      </c>
      <c r="N39">
        <f>VLOOKUP(B39,Parameters!T30:U120,2)</f>
        <v>0.375</v>
      </c>
      <c r="P39">
        <f>VLOOKUP(B39,Parameters!T30:U120,2)</f>
        <v>0.375</v>
      </c>
      <c r="R39" s="78">
        <f>VLOOKUP(B39,Parameters!W30:X120,2)</f>
        <v>0.1</v>
      </c>
      <c r="S39" s="108"/>
      <c r="T39" s="102">
        <f t="shared" ca="1" si="10"/>
        <v>0.25328492115502399</v>
      </c>
      <c r="V39" s="94">
        <f t="shared" ca="1" si="11"/>
        <v>5.6223399726272334E-4</v>
      </c>
      <c r="X39" s="34">
        <f t="shared" ca="1" si="12"/>
        <v>6.0147073171035424E-3</v>
      </c>
      <c r="Z39" s="94">
        <f t="shared" ca="1" si="13"/>
        <v>3.4277144023451356E-3</v>
      </c>
      <c r="AB39" s="94">
        <f t="shared" ca="1" si="14"/>
        <v>3.4277144023451356E-3</v>
      </c>
      <c r="AD39" s="110">
        <f t="shared" ca="1" si="15"/>
        <v>0.73929741604302313</v>
      </c>
      <c r="AE39" s="111"/>
      <c r="AF39" s="112">
        <f t="shared" ca="1" si="8"/>
        <v>1</v>
      </c>
      <c r="AG39" s="108"/>
      <c r="AH39" s="131" t="e">
        <f>(#REF!/1000000)*(1-(F39+H39))</f>
        <v>#REF!</v>
      </c>
      <c r="AJ39" s="54">
        <f t="shared" ca="1" si="0"/>
        <v>3.920415099559504</v>
      </c>
      <c r="AL39" s="138">
        <f t="shared" ca="1" si="1"/>
        <v>0.62072572756678657</v>
      </c>
      <c r="AO39" s="135" t="e">
        <f t="shared" ca="1" si="2"/>
        <v>#REF!</v>
      </c>
      <c r="AP39" s="108"/>
      <c r="AQ39" s="31">
        <f t="shared" ca="1" si="3"/>
        <v>0.25256280180702101</v>
      </c>
      <c r="AR39" s="31"/>
      <c r="AS39" s="31">
        <f t="shared" ca="1" si="9"/>
        <v>4.4978719781017871E-4</v>
      </c>
      <c r="AT39" s="31"/>
      <c r="AU39" s="31">
        <f t="shared" ca="1" si="4"/>
        <v>1.6098243723164382E-3</v>
      </c>
      <c r="AV39" s="31"/>
      <c r="AW39" s="31">
        <f t="shared" ca="1" si="5"/>
        <v>2.3322419169195647E-4</v>
      </c>
      <c r="AX39" s="31"/>
      <c r="AY39" s="31">
        <f t="shared" ca="1" si="6"/>
        <v>3.9664127104527546E-4</v>
      </c>
      <c r="AZ39" s="31"/>
      <c r="BA39" s="134">
        <f t="shared" ca="1" si="7"/>
        <v>0.11835913586471757</v>
      </c>
    </row>
    <row r="40" spans="1:53">
      <c r="A40" s="78"/>
      <c r="B40">
        <v>42</v>
      </c>
      <c r="D40" s="78">
        <v>27</v>
      </c>
      <c r="E40" s="108"/>
      <c r="F40">
        <f>VLOOKUP(B40,Parameters!E31:F121,2)</f>
        <v>8.8999999999999996E-2</v>
      </c>
      <c r="H40">
        <f>VLOOKUP(B40,Parameters!H31:I121,2)</f>
        <v>0.01</v>
      </c>
      <c r="J40">
        <f ca="1">(VLOOKUP(B40,Parameters!K31:L121,2))*(1-mda_efficacy)</f>
        <v>1.5000000000000013E-3</v>
      </c>
      <c r="L40">
        <f>VLOOKUP(B40,Parameters!N31:O121,2)</f>
        <v>0.24</v>
      </c>
      <c r="N40">
        <f>VLOOKUP(B40,Parameters!T31:U121,2)</f>
        <v>0.375</v>
      </c>
      <c r="P40">
        <f>VLOOKUP(B40,Parameters!T31:U121,2)</f>
        <v>0.375</v>
      </c>
      <c r="R40" s="78">
        <f>VLOOKUP(B40,Parameters!W31:X121,2)</f>
        <v>0.1</v>
      </c>
      <c r="S40" s="108"/>
      <c r="T40" s="102">
        <f t="shared" ca="1" si="10"/>
        <v>0.23036263579049432</v>
      </c>
      <c r="V40" s="94">
        <f t="shared" ca="1" si="11"/>
        <v>5.1486354107558999E-4</v>
      </c>
      <c r="X40" s="34">
        <f t="shared" ca="1" si="12"/>
        <v>5.7906649232125264E-3</v>
      </c>
      <c r="Z40" s="94">
        <f t="shared" ca="1" si="13"/>
        <v>3.2957807110841433E-3</v>
      </c>
      <c r="AB40" s="94">
        <f t="shared" ca="1" si="14"/>
        <v>3.2957807110841433E-3</v>
      </c>
      <c r="AD40" s="110">
        <f t="shared" ca="1" si="15"/>
        <v>0.76253093924626192</v>
      </c>
      <c r="AE40" s="111"/>
      <c r="AF40" s="112">
        <f t="shared" ca="1" si="8"/>
        <v>1</v>
      </c>
      <c r="AG40" s="108"/>
      <c r="AH40" s="131" t="e">
        <f>(#REF!/1000000)*(1-(F40+H40))</f>
        <v>#REF!</v>
      </c>
      <c r="AJ40" s="54">
        <f t="shared" ca="1" si="0"/>
        <v>3.920415099559504</v>
      </c>
      <c r="AL40" s="138">
        <f t="shared" ca="1" si="1"/>
        <v>0.59724362941288545</v>
      </c>
      <c r="AO40" s="135" t="e">
        <f t="shared" ca="1" si="2"/>
        <v>#REF!</v>
      </c>
      <c r="AP40" s="108"/>
      <c r="AQ40" s="31">
        <f t="shared" ca="1" si="3"/>
        <v>0.22970586824348563</v>
      </c>
      <c r="AR40" s="31"/>
      <c r="AS40" s="31">
        <f t="shared" ca="1" si="9"/>
        <v>4.1189083286047204E-4</v>
      </c>
      <c r="AT40" s="31"/>
      <c r="AU40" s="31">
        <f t="shared" ca="1" si="4"/>
        <v>1.5498598741118005E-3</v>
      </c>
      <c r="AV40" s="31"/>
      <c r="AW40" s="31">
        <f t="shared" ca="1" si="5"/>
        <v>2.2424732696827088E-4</v>
      </c>
      <c r="AX40" s="31"/>
      <c r="AY40" s="31">
        <f t="shared" ca="1" si="6"/>
        <v>3.8137443698242233E-4</v>
      </c>
      <c r="AZ40" s="31"/>
      <c r="BA40" s="134">
        <f t="shared" ca="1" si="7"/>
        <v>0.10456687091682119</v>
      </c>
    </row>
    <row r="41" spans="1:53">
      <c r="A41" s="78"/>
      <c r="B41">
        <v>43</v>
      </c>
      <c r="D41" s="78">
        <v>28</v>
      </c>
      <c r="E41" s="108"/>
      <c r="F41">
        <f>VLOOKUP(B41,Parameters!E32:F122,2)</f>
        <v>8.8999999999999996E-2</v>
      </c>
      <c r="H41">
        <f>VLOOKUP(B41,Parameters!H32:I122,2)</f>
        <v>0.01</v>
      </c>
      <c r="J41">
        <f ca="1">(VLOOKUP(B41,Parameters!K32:L122,2))*(1-mda_efficacy)</f>
        <v>1.5000000000000013E-3</v>
      </c>
      <c r="L41">
        <f>VLOOKUP(B41,Parameters!N32:O122,2)</f>
        <v>0.24</v>
      </c>
      <c r="N41">
        <f>VLOOKUP(B41,Parameters!T32:U122,2)</f>
        <v>0.375</v>
      </c>
      <c r="P41">
        <f>VLOOKUP(B41,Parameters!T32:U122,2)</f>
        <v>0.375</v>
      </c>
      <c r="R41" s="78">
        <f>VLOOKUP(B41,Parameters!W32:X122,2)</f>
        <v>0.1</v>
      </c>
      <c r="S41" s="108"/>
      <c r="T41" s="102">
        <f t="shared" ca="1" si="10"/>
        <v>0.20951481725145457</v>
      </c>
      <c r="V41" s="94">
        <f t="shared" ca="1" si="11"/>
        <v>4.6911120354388344E-4</v>
      </c>
      <c r="X41" s="34">
        <f t="shared" ca="1" si="12"/>
        <v>5.5616054231469782E-3</v>
      </c>
      <c r="Z41" s="94">
        <f t="shared" ca="1" si="13"/>
        <v>3.1592764678790753E-3</v>
      </c>
      <c r="AB41" s="94">
        <f t="shared" ca="1" si="14"/>
        <v>3.1592764678790753E-3</v>
      </c>
      <c r="AD41" s="110">
        <f t="shared" ca="1" si="15"/>
        <v>0.78369751860924364</v>
      </c>
      <c r="AE41" s="111"/>
      <c r="AF41" s="112">
        <f t="shared" ca="1" si="8"/>
        <v>1.0000000000000002</v>
      </c>
      <c r="AG41" s="108"/>
      <c r="AH41" s="131" t="e">
        <f>(#REF!/1000000)*(1-(F41+H41))</f>
        <v>#REF!</v>
      </c>
      <c r="AJ41" s="54">
        <f t="shared" ca="1" si="0"/>
        <v>3.920415099559504</v>
      </c>
      <c r="AL41" s="138">
        <f t="shared" ca="1" si="1"/>
        <v>0.57309869583138418</v>
      </c>
      <c r="AO41" s="135" t="e">
        <f t="shared" ca="1" si="2"/>
        <v>#REF!</v>
      </c>
      <c r="AP41" s="108"/>
      <c r="AQ41" s="31">
        <f t="shared" ca="1" si="3"/>
        <v>0.20891748716745018</v>
      </c>
      <c r="AR41" s="31"/>
      <c r="AS41" s="31">
        <f t="shared" ca="1" si="9"/>
        <v>3.7528896283510677E-4</v>
      </c>
      <c r="AT41" s="31"/>
      <c r="AU41" s="31">
        <f t="shared" ca="1" si="4"/>
        <v>1.488552557483514E-3</v>
      </c>
      <c r="AV41" s="31"/>
      <c r="AW41" s="31">
        <f t="shared" ca="1" si="5"/>
        <v>2.1495947855177416E-4</v>
      </c>
      <c r="AX41" s="31"/>
      <c r="AY41" s="31">
        <f t="shared" ca="1" si="6"/>
        <v>3.6557871710246717E-4</v>
      </c>
      <c r="AZ41" s="31"/>
      <c r="BA41" s="134">
        <f t="shared" ca="1" si="7"/>
        <v>9.2381358521446244E-2</v>
      </c>
    </row>
    <row r="42" spans="1:53">
      <c r="A42" s="78"/>
      <c r="B42">
        <v>44</v>
      </c>
      <c r="D42" s="78">
        <v>29</v>
      </c>
      <c r="E42" s="108"/>
      <c r="F42">
        <f>VLOOKUP(B42,Parameters!E33:F123,2)</f>
        <v>8.8999999999999996E-2</v>
      </c>
      <c r="H42">
        <f>VLOOKUP(B42,Parameters!H33:I123,2)</f>
        <v>0.01</v>
      </c>
      <c r="J42">
        <f ca="1">(VLOOKUP(B42,Parameters!K33:L123,2))*(1-mda_efficacy)</f>
        <v>1.5000000000000013E-3</v>
      </c>
      <c r="L42">
        <f>VLOOKUP(B42,Parameters!N33:O123,2)</f>
        <v>0.24</v>
      </c>
      <c r="N42">
        <f>VLOOKUP(B42,Parameters!T33:U123,2)</f>
        <v>0.375</v>
      </c>
      <c r="P42">
        <f>VLOOKUP(B42,Parameters!T33:U123,2)</f>
        <v>0.375</v>
      </c>
      <c r="R42" s="78">
        <f>VLOOKUP(B42,Parameters!W33:X123,2)</f>
        <v>0.1</v>
      </c>
      <c r="S42" s="108"/>
      <c r="T42" s="102">
        <f t="shared" ca="1" si="10"/>
        <v>0.19055372629019793</v>
      </c>
      <c r="V42" s="94">
        <f t="shared" ca="1" si="11"/>
        <v>4.268589147277141E-4</v>
      </c>
      <c r="X42" s="34">
        <f t="shared" ca="1" si="12"/>
        <v>5.3253928608510068E-3</v>
      </c>
      <c r="Z42" s="94">
        <f t="shared" ca="1" si="13"/>
        <v>3.0192655224201238E-3</v>
      </c>
      <c r="AB42" s="94">
        <f t="shared" ca="1" si="14"/>
        <v>3.0192655224201238E-3</v>
      </c>
      <c r="AD42" s="110">
        <f t="shared" ca="1" si="15"/>
        <v>0.80298088375023435</v>
      </c>
      <c r="AE42" s="111"/>
      <c r="AF42" s="112">
        <f t="shared" ca="1" si="8"/>
        <v>1.0000000000000002</v>
      </c>
      <c r="AG42" s="108"/>
      <c r="AH42" s="131" t="e">
        <f>(#REF!/1000000)*(1-(F42+H42))</f>
        <v>#REF!</v>
      </c>
      <c r="AJ42" s="54">
        <f t="shared" ca="1" si="0"/>
        <v>3.920415099559504</v>
      </c>
      <c r="AL42" s="138">
        <f t="shared" ca="1" si="1"/>
        <v>0.54826385150102686</v>
      </c>
      <c r="AO42" s="135" t="e">
        <f t="shared" ca="1" si="2"/>
        <v>#REF!</v>
      </c>
      <c r="AP42" s="108"/>
      <c r="AQ42" s="31">
        <f t="shared" ca="1" si="3"/>
        <v>0.19001045457879592</v>
      </c>
      <c r="AR42" s="31"/>
      <c r="AS42" s="31">
        <f t="shared" ca="1" si="9"/>
        <v>3.4148713178217129E-4</v>
      </c>
      <c r="AT42" s="31"/>
      <c r="AU42" s="31">
        <f t="shared" ca="1" si="4"/>
        <v>1.4253307380692837E-3</v>
      </c>
      <c r="AV42" s="31"/>
      <c r="AW42" s="31">
        <f t="shared" ca="1" si="5"/>
        <v>2.0543303155247058E-4</v>
      </c>
      <c r="AX42" s="31"/>
      <c r="AY42" s="31">
        <f t="shared" ca="1" si="6"/>
        <v>3.4937721579620474E-4</v>
      </c>
      <c r="AZ42" s="31"/>
      <c r="BA42" s="134">
        <f t="shared" ca="1" si="7"/>
        <v>8.1615419645894902E-2</v>
      </c>
    </row>
    <row r="43" spans="1:53">
      <c r="A43" s="78"/>
      <c r="B43">
        <v>45</v>
      </c>
      <c r="D43" s="78">
        <v>30</v>
      </c>
      <c r="E43" s="108"/>
      <c r="F43">
        <f>VLOOKUP(B43,Parameters!E34:F124,2)</f>
        <v>8.9499999999999996E-2</v>
      </c>
      <c r="H43">
        <f>VLOOKUP(B43,Parameters!H34:I124,2)</f>
        <v>0.01</v>
      </c>
      <c r="J43">
        <f ca="1">(VLOOKUP(B43,Parameters!K34:L124,2))*(1-mda_efficacy)</f>
        <v>1.5000000000000013E-3</v>
      </c>
      <c r="L43">
        <f>VLOOKUP(B43,Parameters!N34:O124,2)</f>
        <v>0.24</v>
      </c>
      <c r="N43">
        <f>VLOOKUP(B43,Parameters!T34:U124,2)</f>
        <v>0.375</v>
      </c>
      <c r="P43">
        <f>VLOOKUP(B43,Parameters!T34:U124,2)</f>
        <v>0.375</v>
      </c>
      <c r="R43" s="78">
        <f>VLOOKUP(B43,Parameters!W34:X124,2)</f>
        <v>0.1</v>
      </c>
      <c r="S43" s="108"/>
      <c r="T43" s="102">
        <f t="shared" ca="1" si="10"/>
        <v>0.17330861406093503</v>
      </c>
      <c r="V43" s="94">
        <f t="shared" ca="1" si="11"/>
        <v>3.8827672896994854E-4</v>
      </c>
      <c r="X43" s="34">
        <f t="shared" ca="1" si="12"/>
        <v>5.0842342515278558E-3</v>
      </c>
      <c r="Z43" s="94">
        <f t="shared" ca="1" si="13"/>
        <v>2.8774110632010042E-3</v>
      </c>
      <c r="AB43" s="94">
        <f t="shared" ca="1" si="14"/>
        <v>2.8774110632010042E-3</v>
      </c>
      <c r="AD43" s="110">
        <f t="shared" ca="1" si="15"/>
        <v>0.82054828708369332</v>
      </c>
      <c r="AE43" s="111"/>
      <c r="AF43" s="112">
        <f t="shared" ca="1" si="8"/>
        <v>1.0000000000000002</v>
      </c>
      <c r="AG43" s="108"/>
      <c r="AH43" s="131" t="e">
        <f>(#REF!/1000000)*(1-(F43+H43))</f>
        <v>#REF!</v>
      </c>
      <c r="AJ43" s="54">
        <f t="shared" ca="1" si="0"/>
        <v>3.920415099559504</v>
      </c>
      <c r="AL43" s="138">
        <f t="shared" ca="1" si="1"/>
        <v>0.52300123003834176</v>
      </c>
      <c r="AO43" s="135" t="e">
        <f t="shared" ca="1" si="2"/>
        <v>#REF!</v>
      </c>
      <c r="AP43" s="108"/>
      <c r="AQ43" s="31">
        <f t="shared" ca="1" si="3"/>
        <v>0.17281450843941493</v>
      </c>
      <c r="AR43" s="31"/>
      <c r="AS43" s="31">
        <f t="shared" ca="1" si="9"/>
        <v>3.1062138317595886E-4</v>
      </c>
      <c r="AT43" s="31"/>
      <c r="AU43" s="31">
        <f t="shared" ca="1" si="4"/>
        <v>1.3607851190699373E-3</v>
      </c>
      <c r="AV43" s="31"/>
      <c r="AW43" s="31">
        <f t="shared" ca="1" si="5"/>
        <v>1.9578115053033997E-4</v>
      </c>
      <c r="AX43" s="31"/>
      <c r="AY43" s="31">
        <f t="shared" ca="1" si="6"/>
        <v>3.3296239052090854E-4</v>
      </c>
      <c r="AZ43" s="31"/>
      <c r="BA43" s="134">
        <f t="shared" ca="1" si="7"/>
        <v>7.2103722016075664E-2</v>
      </c>
    </row>
    <row r="44" spans="1:53">
      <c r="A44" s="78"/>
      <c r="B44">
        <v>46</v>
      </c>
      <c r="D44" s="78">
        <v>31</v>
      </c>
      <c r="E44" s="108"/>
      <c r="F44">
        <f>VLOOKUP(B44,Parameters!E35:F125,2)</f>
        <v>8.9499999999999996E-2</v>
      </c>
      <c r="H44">
        <f>VLOOKUP(B44,Parameters!H35:I125,2)</f>
        <v>0.01</v>
      </c>
      <c r="J44">
        <f ca="1">(VLOOKUP(B44,Parameters!K35:L125,2))*(1-mda_efficacy)</f>
        <v>1.5000000000000013E-3</v>
      </c>
      <c r="L44">
        <f>VLOOKUP(B44,Parameters!N35:O125,2)</f>
        <v>0.24</v>
      </c>
      <c r="N44">
        <f>VLOOKUP(B44,Parameters!T35:U125,2)</f>
        <v>0.375</v>
      </c>
      <c r="P44">
        <f>VLOOKUP(B44,Parameters!T35:U125,2)</f>
        <v>0.375</v>
      </c>
      <c r="R44" s="78">
        <f>VLOOKUP(B44,Parameters!W35:X125,2)</f>
        <v>0.1</v>
      </c>
      <c r="S44" s="108"/>
      <c r="T44" s="102">
        <f t="shared" ca="1" si="10"/>
        <v>0.15753753018138994</v>
      </c>
      <c r="V44" s="94">
        <f t="shared" ca="1" si="11"/>
        <v>3.5314933604419044E-4</v>
      </c>
      <c r="X44" s="34">
        <f t="shared" ca="1" si="12"/>
        <v>4.8409146692344439E-3</v>
      </c>
      <c r="Z44" s="94">
        <f t="shared" ca="1" si="13"/>
        <v>2.7352737302446346E-3</v>
      </c>
      <c r="AB44" s="94">
        <f t="shared" ca="1" si="14"/>
        <v>2.7352737302446346E-3</v>
      </c>
      <c r="AD44" s="110">
        <f t="shared" ca="1" si="15"/>
        <v>0.8366387730220769</v>
      </c>
      <c r="AE44" s="111"/>
      <c r="AF44" s="112">
        <f t="shared" ca="1" si="8"/>
        <v>1.0000000000000002</v>
      </c>
      <c r="AG44" s="108"/>
      <c r="AH44" s="131" t="e">
        <f>(#REF!/1000000)*(1-(F44+H44))</f>
        <v>#REF!</v>
      </c>
      <c r="AJ44" s="54">
        <f t="shared" ca="1" si="0"/>
        <v>3.920415099559504</v>
      </c>
      <c r="AL44" s="138">
        <f t="shared" ca="1" si="1"/>
        <v>0.49759600488101691</v>
      </c>
      <c r="AO44" s="135" t="e">
        <f t="shared" ca="1" si="2"/>
        <v>#REF!</v>
      </c>
      <c r="AP44" s="108"/>
      <c r="AQ44" s="31">
        <f t="shared" ca="1" si="3"/>
        <v>0.15708838817142814</v>
      </c>
      <c r="AR44" s="31"/>
      <c r="AS44" s="31">
        <f t="shared" ca="1" si="9"/>
        <v>2.8251946883535239E-4</v>
      </c>
      <c r="AT44" s="31"/>
      <c r="AU44" s="31">
        <f t="shared" ca="1" si="4"/>
        <v>1.295661119981247E-3</v>
      </c>
      <c r="AV44" s="31"/>
      <c r="AW44" s="31">
        <f t="shared" ca="1" si="5"/>
        <v>1.8611002257250318E-4</v>
      </c>
      <c r="AX44" s="31"/>
      <c r="AY44" s="31">
        <f t="shared" ca="1" si="6"/>
        <v>3.1651483223885677E-4</v>
      </c>
      <c r="AZ44" s="31"/>
      <c r="BA44" s="134">
        <f t="shared" ca="1" si="7"/>
        <v>6.3665631351676633E-2</v>
      </c>
    </row>
    <row r="45" spans="1:53">
      <c r="A45" s="78"/>
      <c r="B45">
        <v>47</v>
      </c>
      <c r="D45" s="78">
        <v>32</v>
      </c>
      <c r="E45" s="108"/>
      <c r="F45">
        <f>VLOOKUP(B45,Parameters!E36:F126,2)</f>
        <v>8.9499999999999996E-2</v>
      </c>
      <c r="H45">
        <f>VLOOKUP(B45,Parameters!H36:I126,2)</f>
        <v>0.01</v>
      </c>
      <c r="J45">
        <f ca="1">(VLOOKUP(B45,Parameters!K36:L126,2))*(1-mda_efficacy)</f>
        <v>1.5000000000000013E-3</v>
      </c>
      <c r="L45">
        <f>VLOOKUP(B45,Parameters!N36:O126,2)</f>
        <v>0.24</v>
      </c>
      <c r="N45">
        <f>VLOOKUP(B45,Parameters!T36:U126,2)</f>
        <v>0.375</v>
      </c>
      <c r="P45">
        <f>VLOOKUP(B45,Parameters!T36:U126,2)</f>
        <v>0.375</v>
      </c>
      <c r="R45" s="78">
        <f>VLOOKUP(B45,Parameters!W36:X126,2)</f>
        <v>0.1</v>
      </c>
      <c r="S45" s="108"/>
      <c r="T45" s="102">
        <f t="shared" ca="1" si="10"/>
        <v>0.14320161493488345</v>
      </c>
      <c r="V45" s="94">
        <f t="shared" ca="1" si="11"/>
        <v>3.2106213592269085E-4</v>
      </c>
      <c r="X45" s="34">
        <f t="shared" ca="1" si="12"/>
        <v>4.5979574955542519E-3</v>
      </c>
      <c r="Z45" s="94">
        <f t="shared" ca="1" si="13"/>
        <v>2.5941773582367428E-3</v>
      </c>
      <c r="AB45" s="94">
        <f t="shared" ca="1" si="14"/>
        <v>2.5941773582367428E-3</v>
      </c>
      <c r="AD45" s="110">
        <f t="shared" ca="1" si="15"/>
        <v>0.8512889682127206</v>
      </c>
      <c r="AE45" s="111"/>
      <c r="AF45" s="112">
        <f t="shared" ca="1" si="8"/>
        <v>1.0000000000000002</v>
      </c>
      <c r="AG45" s="108"/>
      <c r="AH45" s="131" t="e">
        <f>(#REF!/1000000)*(1-(F45+H45))</f>
        <v>#REF!</v>
      </c>
      <c r="AJ45" s="54">
        <f t="shared" ref="AJ45:AJ76" ca="1" si="16">(ccc_adl*L45)+(ccc_hydrocele*P45)+(ccc_le*N45)</f>
        <v>3.920415099559504</v>
      </c>
      <c r="AL45" s="138">
        <f t="shared" ref="AL45:AL76" ca="1" si="17">IF(study_perspective=1,0,IF(age&lt;15,0,IF(age&gt;75,0,min_daily_wage*adl_episode_duration*annual_adl_episodes*X45 + prod_loss_hydrocele*min_annual_wage*Z45+prod_loss_lymphedema*min_annual_wage*AB45)))</f>
        <v>0.47229891112978828</v>
      </c>
      <c r="AO45" s="135" t="e">
        <f t="shared" ref="AO45:AO76" ca="1" si="18">IF(study_perspective=1,((AH45+AJ45)/(1+discount_cost)^cycle),((AH45+AJ45+AL45+hh_costs_adl+hh_costs_hydrocele+hh_costs_lymphedema)/(1+discount_cost)^cycle))</f>
        <v>#REF!</v>
      </c>
      <c r="AP45" s="108"/>
      <c r="AQ45" s="31">
        <f t="shared" ref="AQ45:AQ76" ca="1" si="19">util_healthy*T45*1</f>
        <v>0.14279334484782819</v>
      </c>
      <c r="AR45" s="31"/>
      <c r="AS45" s="31">
        <f t="shared" ca="1" si="9"/>
        <v>2.5684970873815271E-4</v>
      </c>
      <c r="AT45" s="31"/>
      <c r="AU45" s="31">
        <f t="shared" ref="AU45:AU76" ca="1" si="20">util_adl*X45</f>
        <v>1.2306341188323634E-3</v>
      </c>
      <c r="AV45" s="31"/>
      <c r="AW45" s="31">
        <f t="shared" ref="AW45:AW76" ca="1" si="21">util_lymphedema*AB45</f>
        <v>1.7650972235796545E-4</v>
      </c>
      <c r="AX45" s="31"/>
      <c r="AY45" s="31">
        <f t="shared" ref="AY45:AY76" ca="1" si="22">util_hydrocele*Z45</f>
        <v>3.0018772975482308E-4</v>
      </c>
      <c r="AZ45" s="31"/>
      <c r="BA45" s="134">
        <f t="shared" ref="BA45:BA76" ca="1" si="23">(AQ45+AS45+AU45+AW45+AY45)/((1+discount_effects)^cycle)</f>
        <v>5.6214708365362138E-2</v>
      </c>
    </row>
    <row r="46" spans="1:53">
      <c r="A46" s="78"/>
      <c r="B46">
        <v>48</v>
      </c>
      <c r="D46" s="78">
        <v>33</v>
      </c>
      <c r="E46" s="108"/>
      <c r="F46">
        <f>VLOOKUP(B46,Parameters!E37:F127,2)</f>
        <v>8.9499999999999996E-2</v>
      </c>
      <c r="H46">
        <f>VLOOKUP(B46,Parameters!H37:I127,2)</f>
        <v>0.01</v>
      </c>
      <c r="J46">
        <f ca="1">(VLOOKUP(B46,Parameters!K37:L127,2))*(1-mda_efficacy)</f>
        <v>1.5000000000000013E-3</v>
      </c>
      <c r="L46">
        <f>VLOOKUP(B46,Parameters!N37:O127,2)</f>
        <v>0.24</v>
      </c>
      <c r="N46">
        <f>VLOOKUP(B46,Parameters!T37:U127,2)</f>
        <v>0.375</v>
      </c>
      <c r="P46">
        <f>VLOOKUP(B46,Parameters!T37:U127,2)</f>
        <v>0.375</v>
      </c>
      <c r="R46" s="78">
        <f>VLOOKUP(B46,Parameters!W37:X127,2)</f>
        <v>0.1</v>
      </c>
      <c r="S46" s="108"/>
      <c r="T46" s="102">
        <f t="shared" ca="1" si="10"/>
        <v>0.13017026797580905</v>
      </c>
      <c r="V46" s="94">
        <f t="shared" ca="1" si="11"/>
        <v>2.9185733502377128E-4</v>
      </c>
      <c r="X46" s="34">
        <f t="shared" ca="1" si="12"/>
        <v>4.3574475537120714E-3</v>
      </c>
      <c r="Z46" s="94">
        <f t="shared" ca="1" si="13"/>
        <v>2.4551579233840779E-3</v>
      </c>
      <c r="AB46" s="94">
        <f t="shared" ca="1" si="14"/>
        <v>2.4551579233840779E-3</v>
      </c>
      <c r="AD46" s="110">
        <f t="shared" ca="1" si="15"/>
        <v>0.86462755884239928</v>
      </c>
      <c r="AE46" s="111"/>
      <c r="AF46" s="112">
        <f t="shared" ca="1" si="8"/>
        <v>1.0000000000000002</v>
      </c>
      <c r="AG46" s="108"/>
      <c r="AH46" s="131" t="e">
        <f>(#REF!/1000000)*(1-(F46+H46))</f>
        <v>#REF!</v>
      </c>
      <c r="AJ46" s="54">
        <f t="shared" ca="1" si="16"/>
        <v>3.920415099559504</v>
      </c>
      <c r="AL46" s="138">
        <f t="shared" ca="1" si="17"/>
        <v>0.44731220903273872</v>
      </c>
      <c r="AO46" s="135" t="e">
        <f t="shared" ca="1" si="18"/>
        <v>#REF!</v>
      </c>
      <c r="AP46" s="108"/>
      <c r="AQ46" s="31">
        <f t="shared" ca="1" si="19"/>
        <v>0.12979915046667581</v>
      </c>
      <c r="AR46" s="31"/>
      <c r="AS46" s="31">
        <f t="shared" ca="1" si="9"/>
        <v>2.3348586801901703E-4</v>
      </c>
      <c r="AT46" s="31"/>
      <c r="AU46" s="31">
        <f t="shared" ca="1" si="20"/>
        <v>1.1662621143857027E-3</v>
      </c>
      <c r="AV46" s="31"/>
      <c r="AW46" s="31">
        <f t="shared" ca="1" si="21"/>
        <v>1.670507384645574E-4</v>
      </c>
      <c r="AX46" s="31"/>
      <c r="AY46" s="31">
        <f t="shared" ca="1" si="22"/>
        <v>2.8410096205263902E-4</v>
      </c>
      <c r="AZ46" s="31"/>
      <c r="BA46" s="134">
        <f t="shared" ca="1" si="23"/>
        <v>4.9635524290366585E-2</v>
      </c>
    </row>
    <row r="47" spans="1:53">
      <c r="A47" s="78"/>
      <c r="B47">
        <v>49</v>
      </c>
      <c r="D47" s="78">
        <v>34</v>
      </c>
      <c r="E47" s="108"/>
      <c r="F47">
        <f>VLOOKUP(B47,Parameters!E38:F128,2)</f>
        <v>8.9499999999999996E-2</v>
      </c>
      <c r="H47">
        <f>VLOOKUP(B47,Parameters!H38:I128,2)</f>
        <v>0.01</v>
      </c>
      <c r="J47">
        <f ca="1">(VLOOKUP(B47,Parameters!K38:L128,2))*(1-mda_efficacy)</f>
        <v>1.5000000000000013E-3</v>
      </c>
      <c r="L47">
        <f>VLOOKUP(B47,Parameters!N38:O128,2)</f>
        <v>0.24</v>
      </c>
      <c r="N47">
        <f>VLOOKUP(B47,Parameters!T38:U128,2)</f>
        <v>0.375</v>
      </c>
      <c r="P47">
        <f>VLOOKUP(B47,Parameters!T38:U128,2)</f>
        <v>0.375</v>
      </c>
      <c r="R47" s="78">
        <f>VLOOKUP(B47,Parameters!W38:X128,2)</f>
        <v>0.1</v>
      </c>
      <c r="S47" s="108"/>
      <c r="T47" s="102">
        <f t="shared" ca="1" si="10"/>
        <v>0.11832477359001042</v>
      </c>
      <c r="V47" s="94">
        <f t="shared" ca="1" si="11"/>
        <v>2.6530116236941887E-4</v>
      </c>
      <c r="X47" s="34">
        <f t="shared" ca="1" si="12"/>
        <v>4.121056333989433E-3</v>
      </c>
      <c r="Z47" s="94">
        <f t="shared" ca="1" si="13"/>
        <v>2.319088631679584E-3</v>
      </c>
      <c r="AB47" s="94">
        <f t="shared" ca="1" si="14"/>
        <v>2.319088631679584E-3</v>
      </c>
      <c r="AD47" s="110">
        <f t="shared" ca="1" si="15"/>
        <v>0.87677174798426127</v>
      </c>
      <c r="AE47" s="111"/>
      <c r="AF47" s="112">
        <f t="shared" ca="1" si="8"/>
        <v>1.0000000000000002</v>
      </c>
      <c r="AG47" s="108"/>
      <c r="AH47" s="131" t="e">
        <f>(#REF!/1000000)*(1-(F47+H47))</f>
        <v>#REF!</v>
      </c>
      <c r="AJ47" s="54">
        <f t="shared" ca="1" si="16"/>
        <v>3.920415099559504</v>
      </c>
      <c r="AL47" s="138">
        <f t="shared" ca="1" si="17"/>
        <v>0.42280167183905115</v>
      </c>
      <c r="AO47" s="135" t="e">
        <f t="shared" ca="1" si="18"/>
        <v>#REF!</v>
      </c>
      <c r="AP47" s="108"/>
      <c r="AQ47" s="31">
        <f t="shared" ca="1" si="19"/>
        <v>0.11798742777420831</v>
      </c>
      <c r="AR47" s="31"/>
      <c r="AS47" s="31">
        <f t="shared" ca="1" si="9"/>
        <v>2.122409298955351E-4</v>
      </c>
      <c r="AT47" s="31"/>
      <c r="AU47" s="31">
        <f t="shared" ca="1" si="20"/>
        <v>1.1029924776688872E-3</v>
      </c>
      <c r="AV47" s="31"/>
      <c r="AW47" s="31">
        <f t="shared" ca="1" si="21"/>
        <v>1.5779248446586786E-4</v>
      </c>
      <c r="AX47" s="31"/>
      <c r="AY47" s="31">
        <f t="shared" ca="1" si="22"/>
        <v>2.6835557300418865E-4</v>
      </c>
      <c r="AZ47" s="31"/>
      <c r="BA47" s="134">
        <f t="shared" ca="1" si="23"/>
        <v>4.3826119974284185E-2</v>
      </c>
    </row>
    <row r="48" spans="1:53">
      <c r="A48" s="78"/>
      <c r="B48">
        <v>50</v>
      </c>
      <c r="D48" s="78">
        <v>35</v>
      </c>
      <c r="E48" s="108"/>
      <c r="F48">
        <f>VLOOKUP(B48,Parameters!E39:F129,2)</f>
        <v>0.12529999999999999</v>
      </c>
      <c r="H48">
        <f>VLOOKUP(B48,Parameters!H39:I129,2)</f>
        <v>0.01</v>
      </c>
      <c r="J48">
        <f ca="1">(VLOOKUP(B48,Parameters!K39:L129,2))*(1-mda_efficacy)</f>
        <v>1.5000000000000013E-3</v>
      </c>
      <c r="L48">
        <f>VLOOKUP(B48,Parameters!N39:O129,2)</f>
        <v>0.15</v>
      </c>
      <c r="N48">
        <f>VLOOKUP(B48,Parameters!T39:U129,2)</f>
        <v>0.375</v>
      </c>
      <c r="P48">
        <f>VLOOKUP(B48,Parameters!T39:U129,2)</f>
        <v>0.375</v>
      </c>
      <c r="R48" s="78">
        <f>VLOOKUP(B48,Parameters!W39:X129,2)</f>
        <v>0.1</v>
      </c>
      <c r="S48" s="108"/>
      <c r="T48" s="102">
        <f t="shared" ca="1" si="10"/>
        <v>0.10755721919331948</v>
      </c>
      <c r="V48" s="94">
        <f t="shared" ca="1" si="11"/>
        <v>2.4115943935367631E-4</v>
      </c>
      <c r="X48" s="34">
        <f t="shared" ca="1" si="12"/>
        <v>3.8901685212399742E-3</v>
      </c>
      <c r="Z48" s="94">
        <f t="shared" ca="1" si="13"/>
        <v>2.1866677044001578E-3</v>
      </c>
      <c r="AB48" s="94">
        <f t="shared" ca="1" si="14"/>
        <v>2.1866677044001578E-3</v>
      </c>
      <c r="AD48" s="110">
        <f t="shared" ca="1" si="15"/>
        <v>0.88782828595852681</v>
      </c>
      <c r="AE48" s="111"/>
      <c r="AF48" s="112">
        <f t="shared" ca="1" si="8"/>
        <v>1.0000000000000002</v>
      </c>
      <c r="AG48" s="108"/>
      <c r="AH48" s="131" t="e">
        <f>(#REF!/1000000)*(1-(F48+H48))</f>
        <v>#REF!</v>
      </c>
      <c r="AJ48" s="54">
        <f t="shared" ca="1" si="16"/>
        <v>3.6679997749313906</v>
      </c>
      <c r="AL48" s="138">
        <f t="shared" ca="1" si="17"/>
        <v>0.39890249612174572</v>
      </c>
      <c r="AO48" s="135" t="e">
        <f t="shared" ca="1" si="18"/>
        <v>#REF!</v>
      </c>
      <c r="AP48" s="108"/>
      <c r="AQ48" s="31">
        <f t="shared" ca="1" si="19"/>
        <v>0.10725057184675536</v>
      </c>
      <c r="AR48" s="31"/>
      <c r="AS48" s="31">
        <f t="shared" ca="1" si="9"/>
        <v>1.9292755148294106E-4</v>
      </c>
      <c r="AT48" s="31"/>
      <c r="AU48" s="31">
        <f t="shared" ca="1" si="20"/>
        <v>1.0411958168109314E-3</v>
      </c>
      <c r="AV48" s="31"/>
      <c r="AW48" s="31">
        <f t="shared" ca="1" si="21"/>
        <v>1.4878246784758898E-4</v>
      </c>
      <c r="AX48" s="31"/>
      <c r="AY48" s="31">
        <f t="shared" ca="1" si="22"/>
        <v>2.5303235795652579E-4</v>
      </c>
      <c r="AZ48" s="31"/>
      <c r="BA48" s="134">
        <f t="shared" ca="1" si="23"/>
        <v>3.8696457913815555E-2</v>
      </c>
    </row>
    <row r="49" spans="1:53">
      <c r="A49" s="78"/>
      <c r="B49">
        <v>51</v>
      </c>
      <c r="D49" s="78">
        <v>36</v>
      </c>
      <c r="E49" s="108"/>
      <c r="F49">
        <f>VLOOKUP(B49,Parameters!E40:F130,2)</f>
        <v>0.12529999999999999</v>
      </c>
      <c r="H49">
        <f>VLOOKUP(B49,Parameters!H40:I130,2)</f>
        <v>0.01</v>
      </c>
      <c r="J49">
        <f ca="1">(VLOOKUP(B49,Parameters!K40:L130,2))*(1-mda_efficacy)</f>
        <v>1.5000000000000013E-3</v>
      </c>
      <c r="L49">
        <f>VLOOKUP(B49,Parameters!N40:O130,2)</f>
        <v>0.15</v>
      </c>
      <c r="N49">
        <f>VLOOKUP(B49,Parameters!T40:U130,2)</f>
        <v>0.375</v>
      </c>
      <c r="P49">
        <f>VLOOKUP(B49,Parameters!T40:U130,2)</f>
        <v>0.375</v>
      </c>
      <c r="R49" s="78">
        <f>VLOOKUP(B49,Parameters!W40:X130,2)</f>
        <v>0.1</v>
      </c>
      <c r="S49" s="108"/>
      <c r="T49" s="102">
        <f t="shared" ca="1" si="10"/>
        <v>9.391896379960657E-2</v>
      </c>
      <c r="V49" s="94">
        <f t="shared" ca="1" si="11"/>
        <v>2.1921409423486166E-4</v>
      </c>
      <c r="X49" s="34">
        <f t="shared" ca="1" si="12"/>
        <v>3.6441756281633117E-3</v>
      </c>
      <c r="Z49" s="94">
        <f t="shared" ca="1" si="13"/>
        <v>2.0584357237177706E-3</v>
      </c>
      <c r="AB49" s="94">
        <f t="shared" ca="1" si="14"/>
        <v>2.0584357237177706E-3</v>
      </c>
      <c r="AD49" s="110">
        <f t="shared" ca="1" si="15"/>
        <v>0.90174495065872329</v>
      </c>
      <c r="AE49" s="111"/>
      <c r="AF49" s="112">
        <f t="shared" ca="1" si="8"/>
        <v>1.0000000000000002</v>
      </c>
      <c r="AG49" s="108"/>
      <c r="AH49" s="131" t="e">
        <f>(#REF!/1000000)*(1-(F49+H49))</f>
        <v>#REF!</v>
      </c>
      <c r="AJ49" s="54">
        <f t="shared" ca="1" si="16"/>
        <v>3.6679997749313906</v>
      </c>
      <c r="AL49" s="138">
        <f t="shared" ca="1" si="17"/>
        <v>0.37452920833972064</v>
      </c>
      <c r="AO49" s="135" t="e">
        <f t="shared" ca="1" si="18"/>
        <v>#REF!</v>
      </c>
      <c r="AP49" s="108"/>
      <c r="AQ49" s="31">
        <f t="shared" ca="1" si="19"/>
        <v>9.3651199336586777E-2</v>
      </c>
      <c r="AR49" s="31"/>
      <c r="AS49" s="31">
        <f t="shared" ca="1" si="9"/>
        <v>1.7537127538788934E-4</v>
      </c>
      <c r="AT49" s="31"/>
      <c r="AU49" s="31">
        <f t="shared" ca="1" si="20"/>
        <v>9.7535631144292216E-4</v>
      </c>
      <c r="AV49" s="31"/>
      <c r="AW49" s="31">
        <f t="shared" ca="1" si="21"/>
        <v>1.4005747021556718E-4</v>
      </c>
      <c r="AX49" s="31"/>
      <c r="AY49" s="31">
        <f t="shared" ca="1" si="22"/>
        <v>2.3819387089595942E-4</v>
      </c>
      <c r="AZ49" s="31"/>
      <c r="BA49" s="134">
        <f t="shared" ca="1" si="23"/>
        <v>3.2840247723938232E-2</v>
      </c>
    </row>
    <row r="50" spans="1:53">
      <c r="A50" s="78"/>
      <c r="B50">
        <v>52</v>
      </c>
      <c r="D50" s="78">
        <v>37</v>
      </c>
      <c r="E50" s="108"/>
      <c r="F50">
        <f>VLOOKUP(B50,Parameters!E41:F131,2)</f>
        <v>0.12529999999999999</v>
      </c>
      <c r="H50">
        <f>VLOOKUP(B50,Parameters!H41:I131,2)</f>
        <v>0.01</v>
      </c>
      <c r="J50">
        <f ca="1">(VLOOKUP(B50,Parameters!K41:L131,2))*(1-mda_efficacy)</f>
        <v>1.5000000000000013E-3</v>
      </c>
      <c r="L50">
        <f>VLOOKUP(B50,Parameters!N41:O131,2)</f>
        <v>0.15</v>
      </c>
      <c r="N50">
        <f>VLOOKUP(B50,Parameters!T41:U131,2)</f>
        <v>0.375</v>
      </c>
      <c r="P50">
        <f>VLOOKUP(B50,Parameters!T41:U131,2)</f>
        <v>0.375</v>
      </c>
      <c r="R50" s="78">
        <f>VLOOKUP(B50,Parameters!W41:X131,2)</f>
        <v>0.1</v>
      </c>
      <c r="S50" s="108"/>
      <c r="T50" s="102">
        <f t="shared" ca="1" si="10"/>
        <v>8.2010039189816461E-2</v>
      </c>
      <c r="V50" s="94">
        <f t="shared" ca="1" si="11"/>
        <v>1.9348982831577681E-4</v>
      </c>
      <c r="X50" s="34">
        <f t="shared" ca="1" si="12"/>
        <v>3.4293010582695503E-3</v>
      </c>
      <c r="Z50" s="94">
        <f t="shared" ca="1" si="13"/>
        <v>1.9347974366840668E-3</v>
      </c>
      <c r="AB50" s="94">
        <f t="shared" ca="1" si="14"/>
        <v>1.9347974366840668E-3</v>
      </c>
      <c r="AD50" s="110">
        <f t="shared" ca="1" si="15"/>
        <v>0.91392687610849976</v>
      </c>
      <c r="AE50" s="111"/>
      <c r="AF50" s="112">
        <f t="shared" ca="1" si="8"/>
        <v>1.0000000000000002</v>
      </c>
      <c r="AG50" s="108"/>
      <c r="AH50" s="131" t="e">
        <f>(#REF!/1000000)*(1-(F50+H50))</f>
        <v>#REF!</v>
      </c>
      <c r="AJ50" s="54">
        <f t="shared" ca="1" si="16"/>
        <v>3.6679997749313906</v>
      </c>
      <c r="AL50" s="138">
        <f t="shared" ca="1" si="17"/>
        <v>0.35225353516852642</v>
      </c>
      <c r="AO50" s="135" t="e">
        <f t="shared" ca="1" si="18"/>
        <v>#REF!</v>
      </c>
      <c r="AP50" s="108"/>
      <c r="AQ50" s="31">
        <f t="shared" ca="1" si="19"/>
        <v>8.1776227260707574E-2</v>
      </c>
      <c r="AR50" s="31"/>
      <c r="AS50" s="31">
        <f t="shared" ca="1" si="9"/>
        <v>1.5479186265262147E-4</v>
      </c>
      <c r="AT50" s="31"/>
      <c r="AU50" s="31">
        <f t="shared" ca="1" si="20"/>
        <v>9.1784556297768067E-4</v>
      </c>
      <c r="AV50" s="31"/>
      <c r="AW50" s="31">
        <f t="shared" ca="1" si="21"/>
        <v>1.3164503085484174E-4</v>
      </c>
      <c r="AX50" s="31"/>
      <c r="AY50" s="31">
        <f t="shared" ca="1" si="22"/>
        <v>2.2388694751711633E-4</v>
      </c>
      <c r="AZ50" s="31"/>
      <c r="BA50" s="134">
        <f t="shared" ca="1" si="23"/>
        <v>2.7872053161750811E-2</v>
      </c>
    </row>
    <row r="51" spans="1:53">
      <c r="A51" s="78"/>
      <c r="B51">
        <v>53</v>
      </c>
      <c r="D51" s="78">
        <v>38</v>
      </c>
      <c r="E51" s="108"/>
      <c r="F51">
        <f>VLOOKUP(B51,Parameters!E42:F132,2)</f>
        <v>0.12529999999999999</v>
      </c>
      <c r="H51">
        <f>VLOOKUP(B51,Parameters!H42:I132,2)</f>
        <v>0.01</v>
      </c>
      <c r="J51">
        <f ca="1">(VLOOKUP(B51,Parameters!K42:L132,2))*(1-mda_efficacy)</f>
        <v>1.5000000000000013E-3</v>
      </c>
      <c r="L51">
        <f>VLOOKUP(B51,Parameters!N42:O132,2)</f>
        <v>0.15</v>
      </c>
      <c r="N51">
        <f>VLOOKUP(B51,Parameters!T42:U132,2)</f>
        <v>0.375</v>
      </c>
      <c r="P51">
        <f>VLOOKUP(B51,Parameters!T42:U132,2)</f>
        <v>0.375</v>
      </c>
      <c r="R51" s="78">
        <f>VLOOKUP(B51,Parameters!W42:X132,2)</f>
        <v>0.1</v>
      </c>
      <c r="S51" s="108"/>
      <c r="T51" s="102">
        <f t="shared" ca="1" si="10"/>
        <v>7.1611166220547723E-2</v>
      </c>
      <c r="V51" s="94">
        <f t="shared" ca="1" si="11"/>
        <v>1.6945261758051123E-4</v>
      </c>
      <c r="X51" s="34">
        <f t="shared" ca="1" si="12"/>
        <v>3.2214392447760766E-3</v>
      </c>
      <c r="Z51" s="94">
        <f t="shared" ca="1" si="13"/>
        <v>1.8138763786340762E-3</v>
      </c>
      <c r="AB51" s="94">
        <f t="shared" ca="1" si="14"/>
        <v>1.8138763786340762E-3</v>
      </c>
      <c r="AD51" s="110">
        <f t="shared" ca="1" si="15"/>
        <v>0.92459162840460385</v>
      </c>
      <c r="AE51" s="111"/>
      <c r="AF51" s="112">
        <f t="shared" ca="1" si="8"/>
        <v>1.0000000000000002</v>
      </c>
      <c r="AG51" s="108"/>
      <c r="AH51" s="131" t="e">
        <f>(#REF!/1000000)*(1-(F51+H51))</f>
        <v>#REF!</v>
      </c>
      <c r="AJ51" s="54">
        <f t="shared" ca="1" si="16"/>
        <v>3.6679997749313906</v>
      </c>
      <c r="AL51" s="138">
        <f t="shared" ca="1" si="17"/>
        <v>0.33059315096361153</v>
      </c>
      <c r="AO51" s="135" t="e">
        <f t="shared" ca="1" si="18"/>
        <v>#REF!</v>
      </c>
      <c r="AP51" s="108"/>
      <c r="AQ51" s="31">
        <f t="shared" ca="1" si="19"/>
        <v>7.1407001644049853E-2</v>
      </c>
      <c r="AR51" s="31"/>
      <c r="AS51" s="31">
        <f t="shared" ca="1" si="9"/>
        <v>1.35562094064409E-4</v>
      </c>
      <c r="AT51" s="31"/>
      <c r="AU51" s="31">
        <f t="shared" ca="1" si="20"/>
        <v>8.6221176472383167E-4</v>
      </c>
      <c r="AV51" s="31"/>
      <c r="AW51" s="31">
        <f t="shared" ca="1" si="21"/>
        <v>1.2341747373895411E-4</v>
      </c>
      <c r="AX51" s="31"/>
      <c r="AY51" s="31">
        <f t="shared" ca="1" si="22"/>
        <v>2.0989445090530015E-4</v>
      </c>
      <c r="AZ51" s="31"/>
      <c r="BA51" s="134">
        <f t="shared" ca="1" si="23"/>
        <v>2.3656328305296952E-2</v>
      </c>
    </row>
    <row r="52" spans="1:53">
      <c r="A52" s="78"/>
      <c r="B52">
        <v>54</v>
      </c>
      <c r="D52" s="78">
        <v>39</v>
      </c>
      <c r="E52" s="108"/>
      <c r="F52">
        <f>VLOOKUP(B52,Parameters!E43:F133,2)</f>
        <v>0.12529999999999999</v>
      </c>
      <c r="H52">
        <f>VLOOKUP(B52,Parameters!H43:I133,2)</f>
        <v>0.01</v>
      </c>
      <c r="J52">
        <f ca="1">(VLOOKUP(B52,Parameters!K43:L133,2))*(1-mda_efficacy)</f>
        <v>1.5000000000000013E-3</v>
      </c>
      <c r="L52">
        <f>VLOOKUP(B52,Parameters!N43:O133,2)</f>
        <v>0.15</v>
      </c>
      <c r="N52">
        <f>VLOOKUP(B52,Parameters!T43:U133,2)</f>
        <v>0.375</v>
      </c>
      <c r="P52">
        <f>VLOOKUP(B52,Parameters!T43:U133,2)</f>
        <v>0.375</v>
      </c>
      <c r="R52" s="78">
        <f>VLOOKUP(B52,Parameters!W43:X133,2)</f>
        <v>0.1</v>
      </c>
      <c r="S52" s="108"/>
      <c r="T52" s="102">
        <f t="shared" ca="1" si="10"/>
        <v>6.2530870343782269E-2</v>
      </c>
      <c r="V52" s="94">
        <f t="shared" ca="1" si="11"/>
        <v>1.4808537755014439E-4</v>
      </c>
      <c r="X52" s="34">
        <f t="shared" ca="1" si="12"/>
        <v>3.018313917383302E-3</v>
      </c>
      <c r="Z52" s="94">
        <f t="shared" ca="1" si="13"/>
        <v>1.6960334723633605E-3</v>
      </c>
      <c r="AB52" s="94">
        <f t="shared" ca="1" si="14"/>
        <v>1.6960334723633605E-3</v>
      </c>
      <c r="AD52" s="110">
        <f t="shared" ca="1" si="15"/>
        <v>0.9339289773339412</v>
      </c>
      <c r="AE52" s="111"/>
      <c r="AF52" s="112">
        <f t="shared" ca="1" si="8"/>
        <v>1.0000000000000004</v>
      </c>
      <c r="AG52" s="108"/>
      <c r="AH52" s="131" t="e">
        <f>(#REF!/1000000)*(1-(F52+H52))</f>
        <v>#REF!</v>
      </c>
      <c r="AJ52" s="54">
        <f t="shared" ca="1" si="16"/>
        <v>3.6679997749313906</v>
      </c>
      <c r="AL52" s="138">
        <f t="shared" ca="1" si="17"/>
        <v>0.3094536942671065</v>
      </c>
      <c r="AO52" s="135" t="e">
        <f t="shared" ca="1" si="18"/>
        <v>#REF!</v>
      </c>
      <c r="AP52" s="108"/>
      <c r="AQ52" s="31">
        <f t="shared" ca="1" si="19"/>
        <v>6.2352593835584322E-2</v>
      </c>
      <c r="AR52" s="31"/>
      <c r="AS52" s="31">
        <f t="shared" ca="1" si="9"/>
        <v>1.1846830204011551E-4</v>
      </c>
      <c r="AT52" s="31"/>
      <c r="AU52" s="31">
        <f t="shared" ca="1" si="20"/>
        <v>8.0784567749265558E-4</v>
      </c>
      <c r="AV52" s="31"/>
      <c r="AW52" s="31">
        <f t="shared" ca="1" si="21"/>
        <v>1.1539935631854853E-4</v>
      </c>
      <c r="AX52" s="31"/>
      <c r="AY52" s="31">
        <f t="shared" ca="1" si="22"/>
        <v>1.9625814558916674E-4</v>
      </c>
      <c r="AZ52" s="31"/>
      <c r="BA52" s="134">
        <f t="shared" ca="1" si="23"/>
        <v>2.0078946490805761E-2</v>
      </c>
    </row>
    <row r="53" spans="1:53">
      <c r="A53" s="78"/>
      <c r="B53">
        <v>55</v>
      </c>
      <c r="D53" s="78">
        <v>40</v>
      </c>
      <c r="E53" s="108"/>
      <c r="F53">
        <f>VLOOKUP(B53,Parameters!E44:F134,2)</f>
        <v>0.1148</v>
      </c>
      <c r="H53">
        <f>VLOOKUP(B53,Parameters!H44:I134,2)</f>
        <v>0.01</v>
      </c>
      <c r="J53">
        <f ca="1">(VLOOKUP(B53,Parameters!K44:L134,2))*(1-mda_efficacy)</f>
        <v>1.5000000000000013E-3</v>
      </c>
      <c r="L53">
        <f>VLOOKUP(B53,Parameters!N44:O134,2)</f>
        <v>0.15</v>
      </c>
      <c r="N53">
        <f>VLOOKUP(B53,Parameters!T44:U134,2)</f>
        <v>0.375</v>
      </c>
      <c r="P53">
        <f>VLOOKUP(B53,Parameters!T44:U134,2)</f>
        <v>0.375</v>
      </c>
      <c r="R53" s="78">
        <f>VLOOKUP(B53,Parameters!W44:X134,2)</f>
        <v>0.1</v>
      </c>
      <c r="S53" s="108"/>
      <c r="T53" s="102">
        <f t="shared" ca="1" si="10"/>
        <v>5.4601955984190674E-2</v>
      </c>
      <c r="V53" s="94">
        <f t="shared" ca="1" si="11"/>
        <v>1.2933679612770813E-4</v>
      </c>
      <c r="X53" s="34">
        <f t="shared" ca="1" si="12"/>
        <v>2.8206680360320664E-3</v>
      </c>
      <c r="Z53" s="94">
        <f t="shared" ca="1" si="13"/>
        <v>1.5819621417083286E-3</v>
      </c>
      <c r="AB53" s="94">
        <f t="shared" ca="1" si="14"/>
        <v>1.5819621417083286E-3</v>
      </c>
      <c r="AD53" s="110">
        <f t="shared" ca="1" si="15"/>
        <v>0.94210478293626532</v>
      </c>
      <c r="AE53" s="111"/>
      <c r="AF53" s="112">
        <f t="shared" ca="1" si="8"/>
        <v>1.0000000000000004</v>
      </c>
      <c r="AG53" s="108"/>
      <c r="AH53" s="131" t="e">
        <f>(#REF!/1000000)*(1-(F53+H53))</f>
        <v>#REF!</v>
      </c>
      <c r="AJ53" s="54">
        <f t="shared" ca="1" si="16"/>
        <v>3.6679997749313906</v>
      </c>
      <c r="AL53" s="138">
        <f t="shared" ca="1" si="17"/>
        <v>0.28893472772235151</v>
      </c>
      <c r="AO53" s="135" t="e">
        <f t="shared" ca="1" si="18"/>
        <v>#REF!</v>
      </c>
      <c r="AP53" s="108"/>
      <c r="AQ53" s="31">
        <f t="shared" ca="1" si="19"/>
        <v>5.4446284937232227E-2</v>
      </c>
      <c r="AR53" s="31"/>
      <c r="AS53" s="31">
        <f t="shared" ca="1" si="9"/>
        <v>1.0346943690216651E-4</v>
      </c>
      <c r="AT53" s="31"/>
      <c r="AU53" s="31">
        <f t="shared" ca="1" si="20"/>
        <v>7.5494615302495408E-4</v>
      </c>
      <c r="AV53" s="31"/>
      <c r="AW53" s="31">
        <f t="shared" ca="1" si="21"/>
        <v>1.0763785965796212E-4</v>
      </c>
      <c r="AX53" s="31"/>
      <c r="AY53" s="31">
        <f t="shared" ca="1" si="22"/>
        <v>1.8305827177532677E-4</v>
      </c>
      <c r="AZ53" s="31"/>
      <c r="BA53" s="134">
        <f t="shared" ca="1" si="23"/>
        <v>1.7043149161224815E-2</v>
      </c>
    </row>
    <row r="54" spans="1:53">
      <c r="A54" s="78"/>
      <c r="B54">
        <v>56</v>
      </c>
      <c r="D54" s="78">
        <v>41</v>
      </c>
      <c r="E54" s="108"/>
      <c r="F54">
        <f>VLOOKUP(B54,Parameters!E45:F135,2)</f>
        <v>0.1148</v>
      </c>
      <c r="H54">
        <f>VLOOKUP(B54,Parameters!H45:I135,2)</f>
        <v>0.01</v>
      </c>
      <c r="J54">
        <f ca="1">(VLOOKUP(B54,Parameters!K45:L135,2))*(1-mda_efficacy)</f>
        <v>1.5000000000000013E-3</v>
      </c>
      <c r="L54">
        <f>VLOOKUP(B54,Parameters!N45:O135,2)</f>
        <v>0.15</v>
      </c>
      <c r="N54">
        <f>VLOOKUP(B54,Parameters!T45:U135,2)</f>
        <v>0.375</v>
      </c>
      <c r="P54">
        <f>VLOOKUP(B54,Parameters!T45:U135,2)</f>
        <v>0.375</v>
      </c>
      <c r="R54" s="78">
        <f>VLOOKUP(B54,Parameters!W45:X135,2)</f>
        <v>0.1</v>
      </c>
      <c r="S54" s="108"/>
      <c r="T54" s="102">
        <f t="shared" ca="1" si="10"/>
        <v>4.8251748503229296E-2</v>
      </c>
      <c r="V54" s="94">
        <f t="shared" ca="1" si="11"/>
        <v>1.1294376504693605E-4</v>
      </c>
      <c r="X54" s="34">
        <f t="shared" ca="1" si="12"/>
        <v>2.6296380532378981E-3</v>
      </c>
      <c r="Z54" s="94">
        <f t="shared" ca="1" si="13"/>
        <v>1.4722672260853863E-3</v>
      </c>
      <c r="AB54" s="94">
        <f t="shared" ca="1" si="14"/>
        <v>1.4722672260853863E-3</v>
      </c>
      <c r="AD54" s="110">
        <f t="shared" ca="1" si="15"/>
        <v>0.94869077327955331</v>
      </c>
      <c r="AE54" s="111"/>
      <c r="AF54" s="112">
        <f t="shared" ca="1" si="8"/>
        <v>1.0000000000000002</v>
      </c>
      <c r="AG54" s="108"/>
      <c r="AH54" s="131" t="e">
        <f>(#REF!/1000000)*(1-(F54+H54))</f>
        <v>#REF!</v>
      </c>
      <c r="AJ54" s="54">
        <f t="shared" ca="1" si="16"/>
        <v>3.6679997749313906</v>
      </c>
      <c r="AL54" s="138">
        <f t="shared" ca="1" si="17"/>
        <v>0.26914990575316833</v>
      </c>
      <c r="AO54" s="135" t="e">
        <f t="shared" ca="1" si="18"/>
        <v>#REF!</v>
      </c>
      <c r="AP54" s="108"/>
      <c r="AQ54" s="31">
        <f t="shared" ca="1" si="19"/>
        <v>4.811418199903212E-2</v>
      </c>
      <c r="AR54" s="31"/>
      <c r="AS54" s="31">
        <f t="shared" ca="1" si="9"/>
        <v>9.0355012037548839E-5</v>
      </c>
      <c r="AT54" s="31"/>
      <c r="AU54" s="31">
        <f t="shared" ca="1" si="20"/>
        <v>7.0381736056139425E-4</v>
      </c>
      <c r="AV54" s="31"/>
      <c r="AW54" s="31">
        <f t="shared" ca="1" si="21"/>
        <v>1.00174137472889E-4</v>
      </c>
      <c r="AX54" s="31"/>
      <c r="AY54" s="31">
        <f t="shared" ca="1" si="22"/>
        <v>1.7036481903897271E-4</v>
      </c>
      <c r="AZ54" s="31"/>
      <c r="BA54" s="134">
        <f t="shared" ca="1" si="23"/>
        <v>1.463701570041509E-2</v>
      </c>
    </row>
    <row r="55" spans="1:53">
      <c r="A55" s="78"/>
      <c r="B55">
        <v>57</v>
      </c>
      <c r="D55" s="78">
        <v>42</v>
      </c>
      <c r="E55" s="108"/>
      <c r="F55">
        <f>VLOOKUP(B55,Parameters!E46:F136,2)</f>
        <v>0.1148</v>
      </c>
      <c r="H55">
        <f>VLOOKUP(B55,Parameters!H46:I136,2)</f>
        <v>0.01</v>
      </c>
      <c r="J55">
        <f ca="1">(VLOOKUP(B55,Parameters!K46:L136,2))*(1-mda_efficacy)</f>
        <v>1.5000000000000013E-3</v>
      </c>
      <c r="L55">
        <f>VLOOKUP(B55,Parameters!N46:O136,2)</f>
        <v>0.15</v>
      </c>
      <c r="N55">
        <f>VLOOKUP(B55,Parameters!T46:U136,2)</f>
        <v>0.375</v>
      </c>
      <c r="P55">
        <f>VLOOKUP(B55,Parameters!T46:U136,2)</f>
        <v>0.375</v>
      </c>
      <c r="R55" s="78">
        <f>VLOOKUP(B55,Parameters!W46:X136,2)</f>
        <v>0.1</v>
      </c>
      <c r="S55" s="108"/>
      <c r="T55" s="102">
        <f t="shared" ca="1" si="10"/>
        <v>4.2640070152303727E-2</v>
      </c>
      <c r="V55" s="94">
        <f t="shared" ca="1" si="11"/>
        <v>9.9484126366108697E-5</v>
      </c>
      <c r="X55" s="34">
        <f t="shared" ca="1" si="12"/>
        <v>2.4461824877979278E-3</v>
      </c>
      <c r="Z55" s="94">
        <f t="shared" ca="1" si="13"/>
        <v>1.3673944153694488E-3</v>
      </c>
      <c r="AB55" s="94">
        <f t="shared" ca="1" si="14"/>
        <v>1.3673944153694488E-3</v>
      </c>
      <c r="AD55" s="110">
        <f t="shared" ca="1" si="15"/>
        <v>0.95452565689059177</v>
      </c>
      <c r="AE55" s="111"/>
      <c r="AF55" s="112">
        <f t="shared" ca="1" si="8"/>
        <v>1.0000000000000004</v>
      </c>
      <c r="AG55" s="108"/>
      <c r="AH55" s="131" t="e">
        <f>(#REF!/1000000)*(1-(F55+H55))</f>
        <v>#REF!</v>
      </c>
      <c r="AJ55" s="54">
        <f t="shared" ca="1" si="16"/>
        <v>3.6679997749313906</v>
      </c>
      <c r="AL55" s="138">
        <f t="shared" ca="1" si="17"/>
        <v>0.25018962485264329</v>
      </c>
      <c r="AO55" s="135" t="e">
        <f t="shared" ca="1" si="18"/>
        <v>#REF!</v>
      </c>
      <c r="AP55" s="108"/>
      <c r="AQ55" s="31">
        <f t="shared" ca="1" si="19"/>
        <v>4.2518502632544683E-2</v>
      </c>
      <c r="AR55" s="31"/>
      <c r="AS55" s="31">
        <f t="shared" ca="1" si="9"/>
        <v>7.958730109288696E-5</v>
      </c>
      <c r="AT55" s="31"/>
      <c r="AU55" s="31">
        <f t="shared" ca="1" si="20"/>
        <v>6.5471584573912722E-4</v>
      </c>
      <c r="AV55" s="31"/>
      <c r="AW55" s="31">
        <f t="shared" ca="1" si="21"/>
        <v>9.3038514827970239E-5</v>
      </c>
      <c r="AX55" s="31"/>
      <c r="AY55" s="31">
        <f t="shared" ca="1" si="22"/>
        <v>1.5822936081293126E-4</v>
      </c>
      <c r="AZ55" s="31"/>
      <c r="BA55" s="134">
        <f t="shared" ca="1" si="23"/>
        <v>1.2570903365513425E-2</v>
      </c>
    </row>
    <row r="56" spans="1:53">
      <c r="A56" s="78"/>
      <c r="B56">
        <v>58</v>
      </c>
      <c r="D56" s="78">
        <v>43</v>
      </c>
      <c r="E56" s="108"/>
      <c r="F56">
        <f>VLOOKUP(B56,Parameters!E47:F137,2)</f>
        <v>0.1148</v>
      </c>
      <c r="H56">
        <f>VLOOKUP(B56,Parameters!H47:I137,2)</f>
        <v>0.01</v>
      </c>
      <c r="J56">
        <f ca="1">(VLOOKUP(B56,Parameters!K47:L137,2))*(1-mda_efficacy)</f>
        <v>1.5000000000000013E-3</v>
      </c>
      <c r="L56">
        <f>VLOOKUP(B56,Parameters!N47:O137,2)</f>
        <v>0.15</v>
      </c>
      <c r="N56">
        <f>VLOOKUP(B56,Parameters!T47:U137,2)</f>
        <v>0.375</v>
      </c>
      <c r="P56">
        <f>VLOOKUP(B56,Parameters!T47:U137,2)</f>
        <v>0.375</v>
      </c>
      <c r="R56" s="78">
        <f>VLOOKUP(B56,Parameters!W47:X137,2)</f>
        <v>0.1</v>
      </c>
      <c r="S56" s="108"/>
      <c r="T56" s="102">
        <f t="shared" ca="1" si="10"/>
        <v>3.7681029993590805E-2</v>
      </c>
      <c r="V56" s="94">
        <f t="shared" ca="1" si="11"/>
        <v>8.7836295556321703E-5</v>
      </c>
      <c r="X56" s="34">
        <f t="shared" ca="1" si="12"/>
        <v>2.2711234043145067E-3</v>
      </c>
      <c r="Z56" s="94">
        <f t="shared" ca="1" si="13"/>
        <v>1.2679615212197947E-3</v>
      </c>
      <c r="AB56" s="94">
        <f t="shared" ca="1" si="14"/>
        <v>1.2679615212197947E-3</v>
      </c>
      <c r="AD56" s="110">
        <f t="shared" ca="1" si="15"/>
        <v>0.95969521066841379</v>
      </c>
      <c r="AE56" s="111"/>
      <c r="AF56" s="112">
        <f t="shared" ca="1" si="8"/>
        <v>1.0000000000000004</v>
      </c>
      <c r="AG56" s="108"/>
      <c r="AH56" s="131" t="e">
        <f>(#REF!/1000000)*(1-(F56+H56))</f>
        <v>#REF!</v>
      </c>
      <c r="AJ56" s="54">
        <f t="shared" ca="1" si="16"/>
        <v>3.6679997749313906</v>
      </c>
      <c r="AL56" s="138">
        <f t="shared" ca="1" si="17"/>
        <v>0.23215138081809464</v>
      </c>
      <c r="AO56" s="135" t="e">
        <f t="shared" ca="1" si="18"/>
        <v>#REF!</v>
      </c>
      <c r="AP56" s="108"/>
      <c r="AQ56" s="31">
        <f t="shared" ca="1" si="19"/>
        <v>3.7573600776379737E-2</v>
      </c>
      <c r="AR56" s="31"/>
      <c r="AS56" s="31">
        <f t="shared" ca="1" si="9"/>
        <v>7.0269036445057368E-5</v>
      </c>
      <c r="AT56" s="31"/>
      <c r="AU56" s="31">
        <f t="shared" ca="1" si="20"/>
        <v>6.0786163250324521E-4</v>
      </c>
      <c r="AV56" s="31"/>
      <c r="AW56" s="31">
        <f t="shared" ca="1" si="21"/>
        <v>8.6273028079780558E-5</v>
      </c>
      <c r="AX56" s="31"/>
      <c r="AY56" s="31">
        <f t="shared" ca="1" si="22"/>
        <v>1.4672338776796403E-4</v>
      </c>
      <c r="AZ56" s="31"/>
      <c r="BA56" s="134">
        <f t="shared" ca="1" si="23"/>
        <v>1.0796618543480442E-2</v>
      </c>
    </row>
    <row r="57" spans="1:53">
      <c r="A57" s="78"/>
      <c r="B57">
        <v>59</v>
      </c>
      <c r="D57" s="78">
        <v>44</v>
      </c>
      <c r="E57" s="108"/>
      <c r="F57">
        <f>VLOOKUP(B57,Parameters!E48:F138,2)</f>
        <v>0.1148</v>
      </c>
      <c r="H57">
        <f>VLOOKUP(B57,Parameters!H48:I138,2)</f>
        <v>0.01</v>
      </c>
      <c r="J57">
        <f ca="1">(VLOOKUP(B57,Parameters!K48:L138,2))*(1-mda_efficacy)</f>
        <v>1.5000000000000013E-3</v>
      </c>
      <c r="L57">
        <f>VLOOKUP(B57,Parameters!N48:O138,2)</f>
        <v>0.15</v>
      </c>
      <c r="N57">
        <f>VLOOKUP(B57,Parameters!T48:U138,2)</f>
        <v>0.375</v>
      </c>
      <c r="P57">
        <f>VLOOKUP(B57,Parameters!T48:U138,2)</f>
        <v>0.375</v>
      </c>
      <c r="R57" s="78">
        <f>VLOOKUP(B57,Parameters!W48:X138,2)</f>
        <v>0.1</v>
      </c>
      <c r="S57" s="108"/>
      <c r="T57" s="102">
        <f t="shared" ca="1" si="10"/>
        <v>3.32987262053362E-2</v>
      </c>
      <c r="V57" s="94">
        <f t="shared" ca="1" si="11"/>
        <v>7.7602255923903468E-5</v>
      </c>
      <c r="X57" s="34">
        <f t="shared" ca="1" si="12"/>
        <v>2.1053119543461094E-3</v>
      </c>
      <c r="Z57" s="94">
        <f t="shared" ca="1" si="13"/>
        <v>1.1741039799314358E-3</v>
      </c>
      <c r="AB57" s="94">
        <f t="shared" ca="1" si="14"/>
        <v>1.1741039799314358E-3</v>
      </c>
      <c r="AD57" s="110">
        <f t="shared" ca="1" si="15"/>
        <v>0.9642754635788775</v>
      </c>
      <c r="AE57" s="111"/>
      <c r="AF57" s="112">
        <f t="shared" ca="1" si="8"/>
        <v>1.0000000000000004</v>
      </c>
      <c r="AG57" s="108"/>
      <c r="AH57" s="131" t="e">
        <f>(#REF!/1000000)*(1-(F57+H57))</f>
        <v>#REF!</v>
      </c>
      <c r="AJ57" s="54">
        <f t="shared" ca="1" si="16"/>
        <v>3.6679997749313906</v>
      </c>
      <c r="AL57" s="138">
        <f t="shared" ca="1" si="17"/>
        <v>0.21509337759384714</v>
      </c>
      <c r="AO57" s="135" t="e">
        <f t="shared" ca="1" si="18"/>
        <v>#REF!</v>
      </c>
      <c r="AP57" s="108"/>
      <c r="AQ57" s="31">
        <f t="shared" ca="1" si="19"/>
        <v>3.320379100608678E-2</v>
      </c>
      <c r="AR57" s="31"/>
      <c r="AS57" s="31">
        <f t="shared" ca="1" si="9"/>
        <v>6.2081804739122783E-5</v>
      </c>
      <c r="AT57" s="31"/>
      <c r="AU57" s="31">
        <f t="shared" ca="1" si="20"/>
        <v>5.6348252986441626E-4</v>
      </c>
      <c r="AV57" s="31"/>
      <c r="AW57" s="31">
        <f t="shared" ca="1" si="21"/>
        <v>7.9886892412761284E-5</v>
      </c>
      <c r="AX57" s="31"/>
      <c r="AY57" s="31">
        <f t="shared" ca="1" si="22"/>
        <v>1.3586257204529793E-4</v>
      </c>
      <c r="AZ57" s="31"/>
      <c r="BA57" s="134">
        <f t="shared" ca="1" si="23"/>
        <v>9.2729258804108688E-3</v>
      </c>
    </row>
    <row r="58" spans="1:53">
      <c r="A58" s="78"/>
      <c r="B58">
        <v>60</v>
      </c>
      <c r="D58" s="78">
        <v>45</v>
      </c>
      <c r="E58" s="108"/>
      <c r="F58">
        <f>VLOOKUP(B58,Parameters!E49:F139,2)</f>
        <v>0.19070000000000001</v>
      </c>
      <c r="H58">
        <f>VLOOKUP(B58,Parameters!H49:I139,2)</f>
        <v>0.01</v>
      </c>
      <c r="J58">
        <f ca="1">(VLOOKUP(B58,Parameters!K49:L139,2))*(1-mda_efficacy)</f>
        <v>1.5000000000000013E-3</v>
      </c>
      <c r="L58">
        <f>VLOOKUP(B58,Parameters!N49:O139,2)</f>
        <v>0.26</v>
      </c>
      <c r="N58">
        <f>VLOOKUP(B58,Parameters!T49:U139,2)</f>
        <v>0.375</v>
      </c>
      <c r="P58">
        <f>VLOOKUP(B58,Parameters!T49:U139,2)</f>
        <v>0.375</v>
      </c>
      <c r="R58" s="78">
        <f>VLOOKUP(B58,Parameters!W49:X139,2)</f>
        <v>0.1</v>
      </c>
      <c r="S58" s="108"/>
      <c r="T58" s="102">
        <f t="shared" ca="1" si="10"/>
        <v>2.94260843476556E-2</v>
      </c>
      <c r="V58" s="94">
        <f t="shared" ca="1" si="11"/>
        <v>6.8572630729741175E-5</v>
      </c>
      <c r="X58" s="34">
        <f t="shared" ca="1" si="12"/>
        <v>1.9489119052754546E-3</v>
      </c>
      <c r="Z58" s="94">
        <f t="shared" ca="1" si="13"/>
        <v>1.0857944279097562E-3</v>
      </c>
      <c r="AB58" s="94">
        <f t="shared" ca="1" si="14"/>
        <v>1.0857944279097562E-3</v>
      </c>
      <c r="AD58" s="110">
        <f t="shared" ca="1" si="15"/>
        <v>0.9683337541657957</v>
      </c>
      <c r="AE58" s="111"/>
      <c r="AF58" s="112">
        <f t="shared" ca="1" si="8"/>
        <v>1.0000000000000004</v>
      </c>
      <c r="AG58" s="108"/>
      <c r="AH58" s="131" t="e">
        <f>(#REF!/1000000)*(1-(F58+H58))</f>
        <v>#REF!</v>
      </c>
      <c r="AJ58" s="54">
        <f t="shared" ca="1" si="16"/>
        <v>3.9765073939213069</v>
      </c>
      <c r="AL58" s="138">
        <f t="shared" ca="1" si="17"/>
        <v>0.19902228565912944</v>
      </c>
      <c r="AO58" s="135" t="e">
        <f t="shared" ca="1" si="18"/>
        <v>#REF!</v>
      </c>
      <c r="AP58" s="108"/>
      <c r="AQ58" s="31">
        <f t="shared" ca="1" si="19"/>
        <v>2.9342190112078885E-2</v>
      </c>
      <c r="AR58" s="31"/>
      <c r="AS58" s="31">
        <f t="shared" ca="1" si="9"/>
        <v>5.4858104583792942E-5</v>
      </c>
      <c r="AT58" s="31"/>
      <c r="AU58" s="31">
        <f t="shared" ca="1" si="20"/>
        <v>5.2162236983477187E-4</v>
      </c>
      <c r="AV58" s="31"/>
      <c r="AW58" s="31">
        <f t="shared" ca="1" si="21"/>
        <v>7.3878245987947147E-5</v>
      </c>
      <c r="AX58" s="31"/>
      <c r="AY58" s="31">
        <f t="shared" ca="1" si="22"/>
        <v>1.256437472402461E-4</v>
      </c>
      <c r="AZ58" s="31"/>
      <c r="BA58" s="134">
        <f t="shared" ca="1" si="23"/>
        <v>7.964413396058129E-3</v>
      </c>
    </row>
    <row r="59" spans="1:53">
      <c r="A59" s="78"/>
      <c r="B59">
        <v>61</v>
      </c>
      <c r="D59" s="78">
        <v>46</v>
      </c>
      <c r="E59" s="108"/>
      <c r="F59">
        <f>VLOOKUP(B59,Parameters!E50:F140,2)</f>
        <v>0.19070000000000001</v>
      </c>
      <c r="H59">
        <f>VLOOKUP(B59,Parameters!H50:I140,2)</f>
        <v>0.01</v>
      </c>
      <c r="J59">
        <f ca="1">(VLOOKUP(B59,Parameters!K50:L140,2))*(1-mda_efficacy)</f>
        <v>1.5000000000000013E-3</v>
      </c>
      <c r="L59">
        <f>VLOOKUP(B59,Parameters!N50:O140,2)</f>
        <v>0.26</v>
      </c>
      <c r="N59">
        <f>VLOOKUP(B59,Parameters!T50:U140,2)</f>
        <v>0.375</v>
      </c>
      <c r="P59">
        <f>VLOOKUP(B59,Parameters!T50:U140,2)</f>
        <v>0.375</v>
      </c>
      <c r="R59" s="78">
        <f>VLOOKUP(B59,Parameters!W50:X140,2)</f>
        <v>0.1</v>
      </c>
      <c r="S59" s="108"/>
      <c r="T59" s="102">
        <f t="shared" ca="1" si="10"/>
        <v>2.3770390936036195E-2</v>
      </c>
      <c r="V59" s="94">
        <f t="shared" ca="1" si="11"/>
        <v>6.0596557896621316E-5</v>
      </c>
      <c r="X59" s="34">
        <f t="shared" ca="1" si="12"/>
        <v>1.8093896900408303E-3</v>
      </c>
      <c r="Z59" s="94">
        <f t="shared" ca="1" si="13"/>
        <v>1.0029297216424334E-3</v>
      </c>
      <c r="AB59" s="94">
        <f t="shared" ca="1" si="14"/>
        <v>1.0029297216424334E-3</v>
      </c>
      <c r="AD59" s="110">
        <f t="shared" ca="1" si="15"/>
        <v>0.97416315306278289</v>
      </c>
      <c r="AE59" s="111"/>
      <c r="AF59" s="112">
        <f t="shared" ca="1" si="8"/>
        <v>1.0000000000000007</v>
      </c>
      <c r="AG59" s="108"/>
      <c r="AH59" s="131" t="e">
        <f>(#REF!/1000000)*(1-(F59+H59))</f>
        <v>#REF!</v>
      </c>
      <c r="AJ59" s="54">
        <f t="shared" ca="1" si="16"/>
        <v>3.9765073939213069</v>
      </c>
      <c r="AL59" s="138">
        <f t="shared" ca="1" si="17"/>
        <v>0.18433922938724062</v>
      </c>
      <c r="AO59" s="135" t="e">
        <f t="shared" ca="1" si="18"/>
        <v>#REF!</v>
      </c>
      <c r="AP59" s="108"/>
      <c r="AQ59" s="31">
        <f t="shared" ca="1" si="19"/>
        <v>2.3702621172537325E-2</v>
      </c>
      <c r="AR59" s="31"/>
      <c r="AS59" s="31">
        <f t="shared" ca="1" si="9"/>
        <v>4.8477246317297054E-5</v>
      </c>
      <c r="AT59" s="31"/>
      <c r="AU59" s="31">
        <f t="shared" ca="1" si="20"/>
        <v>4.8427952824286541E-4</v>
      </c>
      <c r="AV59" s="31"/>
      <c r="AW59" s="31">
        <f t="shared" ca="1" si="21"/>
        <v>6.8240070845419087E-5</v>
      </c>
      <c r="AX59" s="31"/>
      <c r="AY59" s="31">
        <f t="shared" ca="1" si="22"/>
        <v>1.1605497800201044E-4</v>
      </c>
      <c r="AZ59" s="31"/>
      <c r="BA59" s="134">
        <f t="shared" ca="1" si="23"/>
        <v>6.2694220580852963E-3</v>
      </c>
    </row>
    <row r="60" spans="1:53">
      <c r="A60" s="78"/>
      <c r="B60">
        <v>62</v>
      </c>
      <c r="D60" s="78">
        <v>47</v>
      </c>
      <c r="E60" s="108"/>
      <c r="F60">
        <f>VLOOKUP(B60,Parameters!E51:F141,2)</f>
        <v>0.19070000000000001</v>
      </c>
      <c r="H60">
        <f>VLOOKUP(B60,Parameters!H51:I141,2)</f>
        <v>0.01</v>
      </c>
      <c r="J60">
        <f ca="1">(VLOOKUP(B60,Parameters!K51:L141,2))*(1-mda_efficacy)</f>
        <v>1.5000000000000013E-3</v>
      </c>
      <c r="L60">
        <f>VLOOKUP(B60,Parameters!N51:O141,2)</f>
        <v>0.26</v>
      </c>
      <c r="N60">
        <f>VLOOKUP(B60,Parameters!T51:U141,2)</f>
        <v>0.375</v>
      </c>
      <c r="P60">
        <f>VLOOKUP(B60,Parameters!T51:U141,2)</f>
        <v>0.375</v>
      </c>
      <c r="R60" s="78">
        <f>VLOOKUP(B60,Parameters!W51:X141,2)</f>
        <v>0.1</v>
      </c>
      <c r="S60" s="108"/>
      <c r="T60" s="102">
        <f t="shared" ca="1" si="10"/>
        <v>1.9201721798130039E-2</v>
      </c>
      <c r="V60" s="94">
        <f t="shared" ca="1" si="11"/>
        <v>5.0198760299243434E-5</v>
      </c>
      <c r="X60" s="34">
        <f t="shared" ca="1" si="12"/>
        <v>1.6705891457631365E-3</v>
      </c>
      <c r="Z60" s="94">
        <f t="shared" ca="1" si="13"/>
        <v>9.253604586894231E-4</v>
      </c>
      <c r="AB60" s="94">
        <f t="shared" ca="1" si="14"/>
        <v>9.253604586894231E-4</v>
      </c>
      <c r="AD60" s="110">
        <f t="shared" ca="1" si="15"/>
        <v>0.97889735852419257</v>
      </c>
      <c r="AE60" s="111"/>
      <c r="AF60" s="112">
        <f t="shared" ca="1" si="8"/>
        <v>1.0000000000000007</v>
      </c>
      <c r="AG60" s="108"/>
      <c r="AH60" s="131" t="e">
        <f>(#REF!/1000000)*(1-(F60+H60))</f>
        <v>#REF!</v>
      </c>
      <c r="AJ60" s="54">
        <f t="shared" ca="1" si="16"/>
        <v>3.9765073939213069</v>
      </c>
      <c r="AL60" s="138">
        <f t="shared" ca="1" si="17"/>
        <v>0.1701446575167373</v>
      </c>
      <c r="AO60" s="135" t="e">
        <f t="shared" ca="1" si="18"/>
        <v>#REF!</v>
      </c>
      <c r="AP60" s="108"/>
      <c r="AQ60" s="31">
        <f t="shared" ca="1" si="19"/>
        <v>1.9146977383175653E-2</v>
      </c>
      <c r="AR60" s="31"/>
      <c r="AS60" s="31">
        <f t="shared" ca="1" si="9"/>
        <v>4.0159008239394748E-5</v>
      </c>
      <c r="AT60" s="31"/>
      <c r="AU60" s="31">
        <f t="shared" ca="1" si="20"/>
        <v>4.4712984043783672E-4</v>
      </c>
      <c r="AV60" s="31"/>
      <c r="AW60" s="31">
        <f t="shared" ca="1" si="21"/>
        <v>6.2962201534026255E-5</v>
      </c>
      <c r="AX60" s="31"/>
      <c r="AY60" s="31">
        <f t="shared" ca="1" si="22"/>
        <v>1.0707897608344999E-4</v>
      </c>
      <c r="AZ60" s="31"/>
      <c r="BA60" s="134">
        <f t="shared" ca="1" si="23"/>
        <v>4.9363972061177196E-3</v>
      </c>
    </row>
    <row r="61" spans="1:53">
      <c r="A61" s="78"/>
      <c r="B61">
        <v>63</v>
      </c>
      <c r="D61" s="78">
        <v>48</v>
      </c>
      <c r="E61" s="108"/>
      <c r="F61">
        <f>VLOOKUP(B61,Parameters!E52:F142,2)</f>
        <v>0.19070000000000001</v>
      </c>
      <c r="H61">
        <f>VLOOKUP(B61,Parameters!H52:I142,2)</f>
        <v>0.01</v>
      </c>
      <c r="J61">
        <f ca="1">(VLOOKUP(B61,Parameters!K52:L142,2))*(1-mda_efficacy)</f>
        <v>1.5000000000000013E-3</v>
      </c>
      <c r="L61">
        <f>VLOOKUP(B61,Parameters!N52:O142,2)</f>
        <v>0.26</v>
      </c>
      <c r="N61">
        <f>VLOOKUP(B61,Parameters!T52:U142,2)</f>
        <v>0.375</v>
      </c>
      <c r="P61">
        <f>VLOOKUP(B61,Parameters!T52:U142,2)</f>
        <v>0.375</v>
      </c>
      <c r="R61" s="78">
        <f>VLOOKUP(B61,Parameters!W52:X142,2)</f>
        <v>0.1</v>
      </c>
      <c r="S61" s="108"/>
      <c r="T61" s="102">
        <f t="shared" ca="1" si="10"/>
        <v>1.5511150868529446E-2</v>
      </c>
      <c r="V61" s="94">
        <f t="shared" ca="1" si="11"/>
        <v>4.0850285169013495E-5</v>
      </c>
      <c r="X61" s="34">
        <f t="shared" ca="1" si="12"/>
        <v>1.5398964345153515E-3</v>
      </c>
      <c r="Z61" s="94">
        <f t="shared" ca="1" si="13"/>
        <v>8.5164894793269717E-4</v>
      </c>
      <c r="AB61" s="94">
        <f t="shared" ca="1" si="14"/>
        <v>8.5164894793269717E-4</v>
      </c>
      <c r="AD61" s="110">
        <f t="shared" ca="1" si="15"/>
        <v>0.98274470095043676</v>
      </c>
      <c r="AE61" s="111"/>
      <c r="AF61" s="112">
        <f t="shared" ca="1" si="8"/>
        <v>1.0000000000000007</v>
      </c>
      <c r="AG61" s="108"/>
      <c r="AH61" s="131" t="e">
        <f>(#REF!/1000000)*(1-(F61+H61))</f>
        <v>#REF!</v>
      </c>
      <c r="AJ61" s="54">
        <f t="shared" ca="1" si="16"/>
        <v>3.9765073939213069</v>
      </c>
      <c r="AL61" s="138">
        <f t="shared" ca="1" si="17"/>
        <v>0.15672216498451774</v>
      </c>
      <c r="AO61" s="135" t="e">
        <f t="shared" ca="1" si="18"/>
        <v>#REF!</v>
      </c>
      <c r="AP61" s="108"/>
      <c r="AQ61" s="31">
        <f t="shared" ca="1" si="19"/>
        <v>1.5466928330129292E-2</v>
      </c>
      <c r="AR61" s="31"/>
      <c r="AS61" s="31">
        <f t="shared" ca="1" si="9"/>
        <v>3.2680228135210795E-5</v>
      </c>
      <c r="AT61" s="31"/>
      <c r="AU61" s="31">
        <f t="shared" ca="1" si="20"/>
        <v>4.1215019791183662E-4</v>
      </c>
      <c r="AV61" s="31"/>
      <c r="AW61" s="31">
        <f t="shared" ca="1" si="21"/>
        <v>5.7946816499943893E-5</v>
      </c>
      <c r="AX61" s="31"/>
      <c r="AY61" s="31">
        <f t="shared" ca="1" si="22"/>
        <v>9.8549377673147145E-5</v>
      </c>
      <c r="AZ61" s="31"/>
      <c r="BA61" s="134">
        <f t="shared" ca="1" si="23"/>
        <v>3.8884984313265914E-3</v>
      </c>
    </row>
    <row r="62" spans="1:53">
      <c r="A62" s="78"/>
      <c r="B62">
        <v>64</v>
      </c>
      <c r="D62" s="78">
        <v>49</v>
      </c>
      <c r="E62" s="108"/>
      <c r="F62">
        <f>VLOOKUP(B62,Parameters!E53:F143,2)</f>
        <v>0.19070000000000001</v>
      </c>
      <c r="H62">
        <f>VLOOKUP(B62,Parameters!H53:I143,2)</f>
        <v>0.01</v>
      </c>
      <c r="J62">
        <f ca="1">(VLOOKUP(B62,Parameters!K53:L143,2))*(1-mda_efficacy)</f>
        <v>1.5000000000000013E-3</v>
      </c>
      <c r="L62">
        <f>VLOOKUP(B62,Parameters!N53:O143,2)</f>
        <v>0.26</v>
      </c>
      <c r="N62">
        <f>VLOOKUP(B62,Parameters!T53:U143,2)</f>
        <v>0.375</v>
      </c>
      <c r="P62">
        <f>VLOOKUP(B62,Parameters!T53:U143,2)</f>
        <v>0.375</v>
      </c>
      <c r="R62" s="78">
        <f>VLOOKUP(B62,Parameters!W53:X143,2)</f>
        <v>0.1</v>
      </c>
      <c r="S62" s="108"/>
      <c r="T62" s="102">
        <f t="shared" ca="1" si="10"/>
        <v>1.2529907671598086E-2</v>
      </c>
      <c r="V62" s="94">
        <f t="shared" ca="1" si="11"/>
        <v>3.3070794743357435E-5</v>
      </c>
      <c r="X62" s="34">
        <f t="shared" ca="1" si="12"/>
        <v>1.4158418382328938E-3</v>
      </c>
      <c r="Z62" s="94">
        <f t="shared" ca="1" si="13"/>
        <v>7.8180291007780745E-4</v>
      </c>
      <c r="AB62" s="94">
        <f t="shared" ca="1" si="14"/>
        <v>7.8180291007780745E-4</v>
      </c>
      <c r="AD62" s="110">
        <f t="shared" ca="1" si="15"/>
        <v>0.98587341571350351</v>
      </c>
      <c r="AE62" s="111"/>
      <c r="AF62" s="112">
        <f t="shared" ca="1" si="8"/>
        <v>1.0000000000000007</v>
      </c>
      <c r="AG62" s="108"/>
      <c r="AH62" s="131" t="e">
        <f>(#REF!/1000000)*(1-(F62+H62))</f>
        <v>#REF!</v>
      </c>
      <c r="AJ62" s="54">
        <f t="shared" ca="1" si="16"/>
        <v>3.9765073939213069</v>
      </c>
      <c r="AL62" s="138">
        <f t="shared" ca="1" si="17"/>
        <v>0.14399172655511197</v>
      </c>
      <c r="AO62" s="135" t="e">
        <f t="shared" ca="1" si="18"/>
        <v>#REF!</v>
      </c>
      <c r="AP62" s="108"/>
      <c r="AQ62" s="31">
        <f t="shared" ca="1" si="19"/>
        <v>1.2494184705078442E-2</v>
      </c>
      <c r="AR62" s="31"/>
      <c r="AS62" s="31">
        <f t="shared" ca="1" si="9"/>
        <v>2.6456635794685948E-5</v>
      </c>
      <c r="AT62" s="31"/>
      <c r="AU62" s="31">
        <f t="shared" ca="1" si="20"/>
        <v>3.7894723356717296E-4</v>
      </c>
      <c r="AV62" s="31"/>
      <c r="AW62" s="31">
        <f t="shared" ca="1" si="21"/>
        <v>5.319444106561731E-5</v>
      </c>
      <c r="AX62" s="31"/>
      <c r="AY62" s="31">
        <f t="shared" ca="1" si="22"/>
        <v>9.0467076179975549E-5</v>
      </c>
      <c r="AZ62" s="31"/>
      <c r="BA62" s="134">
        <f t="shared" ca="1" si="23"/>
        <v>3.0645154200633676E-3</v>
      </c>
    </row>
    <row r="63" spans="1:53">
      <c r="A63" s="78"/>
      <c r="B63">
        <v>65</v>
      </c>
      <c r="D63" s="78">
        <v>50</v>
      </c>
      <c r="E63" s="108"/>
      <c r="F63">
        <f>VLOOKUP(B63,Parameters!E54:F144,2)</f>
        <v>0.17519999999999999</v>
      </c>
      <c r="H63">
        <f>VLOOKUP(B63,Parameters!H54:I144,2)</f>
        <v>0.01</v>
      </c>
      <c r="J63">
        <f ca="1">(VLOOKUP(B63,Parameters!K54:L144,2))*(1-mda_efficacy)</f>
        <v>1.5000000000000013E-3</v>
      </c>
      <c r="L63">
        <f>VLOOKUP(B63,Parameters!N54:O144,2)</f>
        <v>0.26</v>
      </c>
      <c r="N63">
        <f>VLOOKUP(B63,Parameters!T54:U144,2)</f>
        <v>0.375</v>
      </c>
      <c r="P63">
        <f>VLOOKUP(B63,Parameters!T54:U144,2)</f>
        <v>0.375</v>
      </c>
      <c r="R63" s="78">
        <f>VLOOKUP(B63,Parameters!W54:X144,2)</f>
        <v>0.1</v>
      </c>
      <c r="S63" s="108"/>
      <c r="T63" s="102">
        <f t="shared" ca="1" si="10"/>
        <v>1.0121659417116933E-2</v>
      </c>
      <c r="V63" s="94">
        <f t="shared" ca="1" si="11"/>
        <v>2.673185224580293E-5</v>
      </c>
      <c r="X63" s="34">
        <f t="shared" ca="1" si="12"/>
        <v>1.2985732082616552E-3</v>
      </c>
      <c r="Z63" s="94">
        <f t="shared" ca="1" si="13"/>
        <v>7.1602416709878576E-4</v>
      </c>
      <c r="AB63" s="94">
        <f t="shared" ca="1" si="14"/>
        <v>7.1602416709878576E-4</v>
      </c>
      <c r="AD63" s="110">
        <f t="shared" ca="1" si="15"/>
        <v>0.98841956039644041</v>
      </c>
      <c r="AE63" s="111"/>
      <c r="AF63" s="112">
        <f t="shared" ca="1" si="8"/>
        <v>1.0000000000000007</v>
      </c>
      <c r="AG63" s="108"/>
      <c r="AH63" s="131" t="e">
        <f>(#REF!/1000000)*(1-(F63+H63))</f>
        <v>#REF!</v>
      </c>
      <c r="AJ63" s="54">
        <f t="shared" ca="1" si="16"/>
        <v>3.9765073939213069</v>
      </c>
      <c r="AL63" s="138">
        <f t="shared" ca="1" si="17"/>
        <v>0.13197856592834514</v>
      </c>
      <c r="AO63" s="135" t="e">
        <f t="shared" ca="1" si="18"/>
        <v>#REF!</v>
      </c>
      <c r="AP63" s="108"/>
      <c r="AQ63" s="31">
        <f t="shared" ca="1" si="19"/>
        <v>1.0092802404762364E-2</v>
      </c>
      <c r="AR63" s="31"/>
      <c r="AS63" s="31">
        <f t="shared" ca="1" si="9"/>
        <v>2.1385481796642346E-5</v>
      </c>
      <c r="AT63" s="31"/>
      <c r="AU63" s="31">
        <f t="shared" ca="1" si="20"/>
        <v>3.4756051952058358E-4</v>
      </c>
      <c r="AV63" s="31"/>
      <c r="AW63" s="31">
        <f t="shared" ca="1" si="21"/>
        <v>4.8718807345579452E-5</v>
      </c>
      <c r="AX63" s="31"/>
      <c r="AY63" s="31">
        <f t="shared" ca="1" si="22"/>
        <v>8.285542562790234E-5</v>
      </c>
      <c r="AZ63" s="31"/>
      <c r="BA63" s="134">
        <f t="shared" ca="1" si="23"/>
        <v>2.416411892465086E-3</v>
      </c>
    </row>
    <row r="64" spans="1:53">
      <c r="A64" s="78"/>
      <c r="B64">
        <v>66</v>
      </c>
      <c r="D64" s="78">
        <v>51</v>
      </c>
      <c r="E64" s="108"/>
      <c r="F64">
        <f>VLOOKUP(B64,Parameters!E55:F145,2)</f>
        <v>0.17519999999999999</v>
      </c>
      <c r="H64">
        <f>VLOOKUP(B64,Parameters!H55:I145,2)</f>
        <v>0.01</v>
      </c>
      <c r="J64">
        <f ca="1">(VLOOKUP(B64,Parameters!K55:L145,2))*(1-mda_efficacy)</f>
        <v>1.5000000000000013E-3</v>
      </c>
      <c r="L64">
        <f>VLOOKUP(B64,Parameters!N55:O145,2)</f>
        <v>0.26</v>
      </c>
      <c r="N64">
        <f>VLOOKUP(B64,Parameters!T55:U145,2)</f>
        <v>0.375</v>
      </c>
      <c r="P64">
        <f>VLOOKUP(B64,Parameters!T55:U145,2)</f>
        <v>0.375</v>
      </c>
      <c r="R64" s="78">
        <f>VLOOKUP(B64,Parameters!W55:X145,2)</f>
        <v>0.1</v>
      </c>
      <c r="S64" s="108"/>
      <c r="T64" s="102">
        <f t="shared" ca="1" si="10"/>
        <v>8.3331621981123719E-3</v>
      </c>
      <c r="V64" s="94">
        <f t="shared" ca="1" si="11"/>
        <v>2.1598133664668115E-5</v>
      </c>
      <c r="X64" s="34">
        <f t="shared" ca="1" si="12"/>
        <v>1.1883901572969052E-3</v>
      </c>
      <c r="Z64" s="94">
        <f t="shared" ca="1" si="13"/>
        <v>6.544461949810833E-4</v>
      </c>
      <c r="AB64" s="94">
        <f t="shared" ca="1" si="14"/>
        <v>6.544461949810833E-4</v>
      </c>
      <c r="AD64" s="110">
        <f t="shared" ca="1" si="15"/>
        <v>0.99033634727826148</v>
      </c>
      <c r="AE64" s="111"/>
      <c r="AF64" s="112">
        <f t="shared" ca="1" si="8"/>
        <v>1.0000000000000007</v>
      </c>
      <c r="AG64" s="108"/>
      <c r="AH64" s="131" t="e">
        <f>(#REF!/1000000)*(1-(F64+H64))</f>
        <v>#REF!</v>
      </c>
      <c r="AJ64" s="54">
        <f t="shared" ca="1" si="16"/>
        <v>3.9765073939213069</v>
      </c>
      <c r="AL64" s="138">
        <f t="shared" ca="1" si="17"/>
        <v>0.1207104443414269</v>
      </c>
      <c r="AO64" s="135" t="e">
        <f t="shared" ca="1" si="18"/>
        <v>#REF!</v>
      </c>
      <c r="AP64" s="108"/>
      <c r="AQ64" s="31">
        <f t="shared" ca="1" si="19"/>
        <v>8.309404219840855E-3</v>
      </c>
      <c r="AR64" s="31"/>
      <c r="AS64" s="31">
        <f t="shared" ca="1" si="9"/>
        <v>1.7278506931734494E-5</v>
      </c>
      <c r="AT64" s="31"/>
      <c r="AU64" s="31">
        <f t="shared" ca="1" si="20"/>
        <v>3.1807024651014953E-4</v>
      </c>
      <c r="AV64" s="31"/>
      <c r="AW64" s="31">
        <f t="shared" ca="1" si="21"/>
        <v>4.4528997143377272E-5</v>
      </c>
      <c r="AX64" s="31"/>
      <c r="AY64" s="31">
        <f t="shared" ca="1" si="22"/>
        <v>7.5729871319046949E-5</v>
      </c>
      <c r="AZ64" s="31"/>
      <c r="BA64" s="134">
        <f t="shared" ca="1" si="23"/>
        <v>1.9411274325661187E-3</v>
      </c>
    </row>
    <row r="65" spans="1:53">
      <c r="A65" s="78"/>
      <c r="B65">
        <v>67</v>
      </c>
      <c r="D65" s="78">
        <v>52</v>
      </c>
      <c r="E65" s="108"/>
      <c r="F65">
        <f>VLOOKUP(B65,Parameters!E56:F146,2)</f>
        <v>0.17519999999999999</v>
      </c>
      <c r="H65">
        <f>VLOOKUP(B65,Parameters!H56:I146,2)</f>
        <v>0.01</v>
      </c>
      <c r="J65">
        <f ca="1">(VLOOKUP(B65,Parameters!K56:L146,2))*(1-mda_efficacy)</f>
        <v>1.5000000000000013E-3</v>
      </c>
      <c r="L65">
        <f>VLOOKUP(B65,Parameters!N56:O146,2)</f>
        <v>0.26</v>
      </c>
      <c r="N65">
        <f>VLOOKUP(B65,Parameters!T56:U146,2)</f>
        <v>0.375</v>
      </c>
      <c r="P65">
        <f>VLOOKUP(B65,Parameters!T56:U146,2)</f>
        <v>0.375</v>
      </c>
      <c r="R65" s="78">
        <f>VLOOKUP(B65,Parameters!W56:X146,2)</f>
        <v>0.1</v>
      </c>
      <c r="S65" s="108"/>
      <c r="T65" s="102">
        <f t="shared" ca="1" si="10"/>
        <v>6.8606924377059156E-3</v>
      </c>
      <c r="V65" s="94">
        <f t="shared" ca="1" si="11"/>
        <v>1.7683295376688911E-5</v>
      </c>
      <c r="X65" s="34">
        <f t="shared" ca="1" si="12"/>
        <v>1.085451736471601E-3</v>
      </c>
      <c r="Z65" s="94">
        <f t="shared" ca="1" si="13"/>
        <v>5.9710087560722555E-4</v>
      </c>
      <c r="AB65" s="94">
        <f t="shared" ca="1" si="14"/>
        <v>5.9710087560722555E-4</v>
      </c>
      <c r="AD65" s="110">
        <f t="shared" ca="1" si="15"/>
        <v>0.99192742251570354</v>
      </c>
      <c r="AE65" s="111"/>
      <c r="AF65" s="112">
        <f t="shared" ca="1" si="8"/>
        <v>1.0000000000000007</v>
      </c>
      <c r="AG65" s="108"/>
      <c r="AH65" s="131" t="e">
        <f>(#REF!/1000000)*(1-(F65+H65))</f>
        <v>#REF!</v>
      </c>
      <c r="AJ65" s="54">
        <f t="shared" ca="1" si="16"/>
        <v>3.9765073939213069</v>
      </c>
      <c r="AL65" s="138">
        <f t="shared" ca="1" si="17"/>
        <v>0.11019879532244653</v>
      </c>
      <c r="AO65" s="135" t="e">
        <f t="shared" ca="1" si="18"/>
        <v>#REF!</v>
      </c>
      <c r="AP65" s="108"/>
      <c r="AQ65" s="31">
        <f t="shared" ca="1" si="19"/>
        <v>6.8411324941949764E-3</v>
      </c>
      <c r="AR65" s="31"/>
      <c r="AS65" s="31">
        <f t="shared" ca="1" si="9"/>
        <v>1.414663630135113E-5</v>
      </c>
      <c r="AT65" s="31"/>
      <c r="AU65" s="31">
        <f t="shared" ca="1" si="20"/>
        <v>2.9051898425319536E-4</v>
      </c>
      <c r="AV65" s="31"/>
      <c r="AW65" s="31">
        <f t="shared" ca="1" si="21"/>
        <v>4.0627179725585769E-5</v>
      </c>
      <c r="AX65" s="31"/>
      <c r="AY65" s="31">
        <f t="shared" ca="1" si="22"/>
        <v>6.9094102496130316E-5</v>
      </c>
      <c r="AZ65" s="31"/>
      <c r="BA65" s="134">
        <f t="shared" ca="1" si="23"/>
        <v>1.5600295428419512E-3</v>
      </c>
    </row>
    <row r="66" spans="1:53">
      <c r="A66" s="78"/>
      <c r="B66">
        <v>68</v>
      </c>
      <c r="D66" s="78">
        <v>53</v>
      </c>
      <c r="E66" s="108"/>
      <c r="F66">
        <f>VLOOKUP(B66,Parameters!E57:F147,2)</f>
        <v>0.17519999999999999</v>
      </c>
      <c r="H66">
        <f>VLOOKUP(B66,Parameters!H57:I147,2)</f>
        <v>0.01</v>
      </c>
      <c r="J66">
        <f ca="1">(VLOOKUP(B66,Parameters!K57:L147,2))*(1-mda_efficacy)</f>
        <v>1.5000000000000013E-3</v>
      </c>
      <c r="L66">
        <f>VLOOKUP(B66,Parameters!N57:O147,2)</f>
        <v>0.26</v>
      </c>
      <c r="N66">
        <f>VLOOKUP(B66,Parameters!T57:U147,2)</f>
        <v>0.375</v>
      </c>
      <c r="P66">
        <f>VLOOKUP(B66,Parameters!T57:U147,2)</f>
        <v>0.375</v>
      </c>
      <c r="R66" s="78">
        <f>VLOOKUP(B66,Parameters!W57:X147,2)</f>
        <v>0.1</v>
      </c>
      <c r="S66" s="108"/>
      <c r="T66" s="102">
        <f t="shared" ca="1" si="10"/>
        <v>5.6484080839632805E-3</v>
      </c>
      <c r="V66" s="94">
        <f t="shared" ca="1" si="11"/>
        <v>1.4535029546964221E-5</v>
      </c>
      <c r="X66" s="34">
        <f t="shared" ca="1" si="12"/>
        <v>9.8981410154986129E-4</v>
      </c>
      <c r="Z66" s="94">
        <f t="shared" ca="1" si="13"/>
        <v>5.4402202381276124E-4</v>
      </c>
      <c r="AB66" s="94">
        <f t="shared" ca="1" si="14"/>
        <v>5.4402202381276124E-4</v>
      </c>
      <c r="AD66" s="110">
        <f t="shared" ca="1" si="15"/>
        <v>0.99324901283886469</v>
      </c>
      <c r="AE66" s="111"/>
      <c r="AF66" s="112">
        <f t="shared" ca="1" si="8"/>
        <v>1.0000000000000004</v>
      </c>
      <c r="AG66" s="108"/>
      <c r="AH66" s="131" t="e">
        <f>(#REF!/1000000)*(1-(F66+H66))</f>
        <v>#REF!</v>
      </c>
      <c r="AJ66" s="54">
        <f t="shared" ca="1" si="16"/>
        <v>3.9765073939213069</v>
      </c>
      <c r="AL66" s="138">
        <f t="shared" ca="1" si="17"/>
        <v>0.10044956783950378</v>
      </c>
      <c r="AO66" s="135" t="e">
        <f t="shared" ca="1" si="18"/>
        <v>#REF!</v>
      </c>
      <c r="AP66" s="108"/>
      <c r="AQ66" s="31">
        <f t="shared" ca="1" si="19"/>
        <v>5.6323043824707238E-3</v>
      </c>
      <c r="AR66" s="31"/>
      <c r="AS66" s="31">
        <f t="shared" ca="1" si="9"/>
        <v>1.1628023637571377E-5</v>
      </c>
      <c r="AT66" s="31"/>
      <c r="AU66" s="31">
        <f t="shared" ca="1" si="20"/>
        <v>2.6492176272756681E-4</v>
      </c>
      <c r="AV66" s="31"/>
      <c r="AW66" s="31">
        <f t="shared" ca="1" si="21"/>
        <v>3.7015655878315536E-5</v>
      </c>
      <c r="AX66" s="31"/>
      <c r="AY66" s="31">
        <f t="shared" ca="1" si="22"/>
        <v>6.2952032075392774E-5</v>
      </c>
      <c r="AZ66" s="31"/>
      <c r="BA66" s="134">
        <f t="shared" ca="1" si="23"/>
        <v>1.2543433142304678E-3</v>
      </c>
    </row>
    <row r="67" spans="1:53">
      <c r="A67" s="78"/>
      <c r="B67">
        <v>69</v>
      </c>
      <c r="D67" s="78">
        <v>54</v>
      </c>
      <c r="E67" s="108"/>
      <c r="F67">
        <f>VLOOKUP(B67,Parameters!E58:F148,2)</f>
        <v>0.17519999999999999</v>
      </c>
      <c r="H67">
        <f>VLOOKUP(B67,Parameters!H58:I148,2)</f>
        <v>0.01</v>
      </c>
      <c r="J67">
        <f ca="1">(VLOOKUP(B67,Parameters!K58:L148,2))*(1-mda_efficacy)</f>
        <v>1.5000000000000013E-3</v>
      </c>
      <c r="L67">
        <f>VLOOKUP(B67,Parameters!N58:O148,2)</f>
        <v>0.26</v>
      </c>
      <c r="N67">
        <f>VLOOKUP(B67,Parameters!T58:U148,2)</f>
        <v>0.375</v>
      </c>
      <c r="P67">
        <f>VLOOKUP(B67,Parameters!T58:U148,2)</f>
        <v>0.375</v>
      </c>
      <c r="R67" s="78">
        <f>VLOOKUP(B67,Parameters!W58:X148,2)</f>
        <v>0.1</v>
      </c>
      <c r="S67" s="108"/>
      <c r="T67" s="102">
        <f t="shared" ca="1" si="10"/>
        <v>4.6503343755269688E-3</v>
      </c>
      <c r="V67" s="94">
        <f t="shared" ca="1" si="11"/>
        <v>1.1961019217216339E-5</v>
      </c>
      <c r="X67" s="34">
        <f t="shared" ca="1" si="12"/>
        <v>9.014154469732668E-4</v>
      </c>
      <c r="Z67" s="94">
        <f t="shared" ca="1" si="13"/>
        <v>4.9507045751159677E-4</v>
      </c>
      <c r="AB67" s="94">
        <f t="shared" ca="1" si="14"/>
        <v>4.9507045751159677E-4</v>
      </c>
      <c r="AD67" s="110">
        <f t="shared" ca="1" si="15"/>
        <v>0.99434756369023314</v>
      </c>
      <c r="AE67" s="111"/>
      <c r="AF67" s="112">
        <f t="shared" ca="1" si="8"/>
        <v>1.0000000000000004</v>
      </c>
      <c r="AG67" s="108"/>
      <c r="AH67" s="131" t="e">
        <f>(#REF!/1000000)*(1-(F67+H67))</f>
        <v>#REF!</v>
      </c>
      <c r="AJ67" s="54">
        <f t="shared" ca="1" si="16"/>
        <v>3.9765073939213069</v>
      </c>
      <c r="AL67" s="138">
        <f t="shared" ca="1" si="17"/>
        <v>9.1447571320703358E-2</v>
      </c>
      <c r="AO67" s="135" t="e">
        <f t="shared" ca="1" si="18"/>
        <v>#REF!</v>
      </c>
      <c r="AP67" s="108"/>
      <c r="AQ67" s="31">
        <f t="shared" ca="1" si="19"/>
        <v>4.637076198088147E-3</v>
      </c>
      <c r="AR67" s="31"/>
      <c r="AS67" s="31">
        <f t="shared" ca="1" si="9"/>
        <v>9.5688153737730712E-6</v>
      </c>
      <c r="AT67" s="31"/>
      <c r="AU67" s="31">
        <f t="shared" ca="1" si="20"/>
        <v>2.4126203979928421E-4</v>
      </c>
      <c r="AV67" s="31"/>
      <c r="AW67" s="31">
        <f t="shared" ca="1" si="21"/>
        <v>3.3684955550763926E-5</v>
      </c>
      <c r="AX67" s="31"/>
      <c r="AY67" s="31">
        <f t="shared" ca="1" si="22"/>
        <v>5.7287554467787251E-5</v>
      </c>
      <c r="AZ67" s="31"/>
      <c r="BA67" s="134">
        <f t="shared" ca="1" si="23"/>
        <v>1.009070446818298E-3</v>
      </c>
    </row>
    <row r="68" spans="1:53">
      <c r="A68" s="78"/>
      <c r="B68">
        <v>70</v>
      </c>
      <c r="D68" s="78">
        <v>55</v>
      </c>
      <c r="E68" s="108"/>
      <c r="F68">
        <f>VLOOKUP(B68,Parameters!E59:F149,2)</f>
        <v>0.28660000000000002</v>
      </c>
      <c r="H68">
        <f>VLOOKUP(B68,Parameters!H59:I149,2)</f>
        <v>0.01</v>
      </c>
      <c r="J68">
        <f ca="1">(VLOOKUP(B68,Parameters!K59:L149,2))*(1-mda_efficacy)</f>
        <v>1.5000000000000013E-3</v>
      </c>
      <c r="L68">
        <f>VLOOKUP(B68,Parameters!N59:O149,2)</f>
        <v>0.26</v>
      </c>
      <c r="N68">
        <f>VLOOKUP(B68,Parameters!T59:U149,2)</f>
        <v>0.375</v>
      </c>
      <c r="P68">
        <f>VLOOKUP(B68,Parameters!T59:U149,2)</f>
        <v>0.375</v>
      </c>
      <c r="R68" s="78">
        <f>VLOOKUP(B68,Parameters!W59:X149,2)</f>
        <v>0.1</v>
      </c>
      <c r="S68" s="108"/>
      <c r="T68" s="102">
        <f t="shared" ca="1" si="10"/>
        <v>3.8286202913713537E-3</v>
      </c>
      <c r="V68" s="94">
        <f t="shared" ca="1" si="11"/>
        <v>9.8461461754223797E-6</v>
      </c>
      <c r="X68" s="34">
        <f t="shared" ca="1" si="12"/>
        <v>8.1997611989061082E-4</v>
      </c>
      <c r="Z68" s="94">
        <f t="shared" ca="1" si="13"/>
        <v>4.5004879396689319E-4</v>
      </c>
      <c r="AB68" s="94">
        <f t="shared" ca="1" si="14"/>
        <v>4.5004879396689319E-4</v>
      </c>
      <c r="AD68" s="110">
        <f t="shared" ca="1" si="15"/>
        <v>0.99526143597451988</v>
      </c>
      <c r="AE68" s="111"/>
      <c r="AF68" s="112">
        <f t="shared" ca="1" si="8"/>
        <v>1.0000000000000004</v>
      </c>
      <c r="AG68" s="108"/>
      <c r="AH68" s="131" t="e">
        <f>(#REF!/1000000)*(1-(F68+H68))</f>
        <v>#REF!</v>
      </c>
      <c r="AJ68" s="54">
        <f t="shared" ca="1" si="16"/>
        <v>3.9765073939213069</v>
      </c>
      <c r="AL68" s="138">
        <f t="shared" ca="1" si="17"/>
        <v>8.3160723158841293E-2</v>
      </c>
      <c r="AO68" s="135" t="e">
        <f t="shared" ca="1" si="18"/>
        <v>#REF!</v>
      </c>
      <c r="AP68" s="108"/>
      <c r="AQ68" s="31">
        <f t="shared" ca="1" si="19"/>
        <v>3.8177048338859719E-3</v>
      </c>
      <c r="AR68" s="31"/>
      <c r="AS68" s="31">
        <f t="shared" ca="1" si="9"/>
        <v>7.8769169403379034E-6</v>
      </c>
      <c r="AT68" s="31"/>
      <c r="AU68" s="31">
        <f t="shared" ca="1" si="20"/>
        <v>2.1946496694257137E-4</v>
      </c>
      <c r="AV68" s="31"/>
      <c r="AW68" s="31">
        <f t="shared" ca="1" si="21"/>
        <v>3.0621648677339223E-5</v>
      </c>
      <c r="AX68" s="31"/>
      <c r="AY68" s="31">
        <f t="shared" ca="1" si="22"/>
        <v>5.2077829339950911E-5</v>
      </c>
      <c r="AZ68" s="31"/>
      <c r="BA68" s="134">
        <f t="shared" ca="1" si="23"/>
        <v>8.1220494075362893E-4</v>
      </c>
    </row>
    <row r="69" spans="1:53">
      <c r="A69" s="78"/>
      <c r="B69">
        <v>71</v>
      </c>
      <c r="D69" s="78">
        <v>56</v>
      </c>
      <c r="E69" s="108"/>
      <c r="F69">
        <f>VLOOKUP(B69,Parameters!E60:F150,2)</f>
        <v>0.28660000000000002</v>
      </c>
      <c r="H69">
        <f>VLOOKUP(B69,Parameters!H60:I150,2)</f>
        <v>0.01</v>
      </c>
      <c r="J69">
        <f ca="1">(VLOOKUP(B69,Parameters!K60:L150,2))*(1-mda_efficacy)</f>
        <v>1.5000000000000013E-3</v>
      </c>
      <c r="L69">
        <f>VLOOKUP(B69,Parameters!N60:O150,2)</f>
        <v>0.26</v>
      </c>
      <c r="N69">
        <f>VLOOKUP(B69,Parameters!T60:U150,2)</f>
        <v>0.375</v>
      </c>
      <c r="P69">
        <f>VLOOKUP(B69,Parameters!T60:U150,2)</f>
        <v>0.375</v>
      </c>
      <c r="R69" s="78">
        <f>VLOOKUP(B69,Parameters!W60:X150,2)</f>
        <v>0.1</v>
      </c>
      <c r="S69" s="108"/>
      <c r="T69" s="102">
        <f t="shared" ca="1" si="10"/>
        <v>2.7255947854272666E-3</v>
      </c>
      <c r="V69" s="94">
        <f t="shared" ca="1" si="11"/>
        <v>8.1060055191584064E-6</v>
      </c>
      <c r="X69" s="34">
        <f t="shared" ca="1" si="12"/>
        <v>7.4514050805098348E-4</v>
      </c>
      <c r="Z69" s="94">
        <f t="shared" ca="1" si="13"/>
        <v>4.0873621938598728E-4</v>
      </c>
      <c r="AB69" s="94">
        <f t="shared" ca="1" si="14"/>
        <v>4.0873621938598728E-4</v>
      </c>
      <c r="AD69" s="110">
        <f t="shared" ca="1" si="15"/>
        <v>0.99644882677028213</v>
      </c>
      <c r="AE69" s="111"/>
      <c r="AF69" s="112">
        <f t="shared" ca="1" si="8"/>
        <v>1.0000000000000004</v>
      </c>
      <c r="AG69" s="108"/>
      <c r="AH69" s="131" t="e">
        <f>(#REF!/1000000)*(1-(F69+H69))</f>
        <v>#REF!</v>
      </c>
      <c r="AJ69" s="54">
        <f t="shared" ca="1" si="16"/>
        <v>3.9765073939213069</v>
      </c>
      <c r="AL69" s="138">
        <f t="shared" ca="1" si="17"/>
        <v>7.5550784846268121E-2</v>
      </c>
      <c r="AO69" s="135" t="e">
        <f t="shared" ca="1" si="18"/>
        <v>#REF!</v>
      </c>
      <c r="AP69" s="108"/>
      <c r="AQ69" s="31">
        <f t="shared" ca="1" si="19"/>
        <v>2.7178240712434232E-3</v>
      </c>
      <c r="AR69" s="31"/>
      <c r="AS69" s="31">
        <f t="shared" ca="1" si="9"/>
        <v>6.4848044153267258E-6</v>
      </c>
      <c r="AT69" s="31"/>
      <c r="AU69" s="31">
        <f t="shared" ca="1" si="20"/>
        <v>1.9943536525038802E-4</v>
      </c>
      <c r="AV69" s="31"/>
      <c r="AW69" s="31">
        <f t="shared" ca="1" si="21"/>
        <v>2.7810710926296304E-5</v>
      </c>
      <c r="AX69" s="31"/>
      <c r="AY69" s="31">
        <f t="shared" ca="1" si="22"/>
        <v>4.7297305011345158E-5</v>
      </c>
      <c r="AZ69" s="31"/>
      <c r="BA69" s="134">
        <f t="shared" ca="1" si="23"/>
        <v>5.7288900412379759E-4</v>
      </c>
    </row>
    <row r="70" spans="1:53">
      <c r="A70" s="78"/>
      <c r="B70">
        <v>72</v>
      </c>
      <c r="D70" s="78">
        <v>57</v>
      </c>
      <c r="E70" s="108"/>
      <c r="F70">
        <f>VLOOKUP(B70,Parameters!E61:F151,2)</f>
        <v>0.28660000000000002</v>
      </c>
      <c r="H70">
        <f>VLOOKUP(B70,Parameters!H61:I151,2)</f>
        <v>0.01</v>
      </c>
      <c r="J70">
        <f ca="1">(VLOOKUP(B70,Parameters!K61:L151,2))*(1-mda_efficacy)</f>
        <v>1.5000000000000013E-3</v>
      </c>
      <c r="L70">
        <f>VLOOKUP(B70,Parameters!N61:O151,2)</f>
        <v>0.26</v>
      </c>
      <c r="N70">
        <f>VLOOKUP(B70,Parameters!T61:U151,2)</f>
        <v>0.375</v>
      </c>
      <c r="P70">
        <f>VLOOKUP(B70,Parameters!T61:U151,2)</f>
        <v>0.375</v>
      </c>
      <c r="R70" s="78">
        <f>VLOOKUP(B70,Parameters!W61:X151,2)</f>
        <v>0.1</v>
      </c>
      <c r="S70" s="108"/>
      <c r="T70" s="102">
        <f t="shared" ca="1" si="10"/>
        <v>1.9403509277456711E-3</v>
      </c>
      <c r="V70" s="94">
        <f t="shared" ca="1" si="11"/>
        <v>6.0338335027389205E-6</v>
      </c>
      <c r="X70" s="34">
        <f t="shared" ca="1" si="12"/>
        <v>6.7652232342186019E-4</v>
      </c>
      <c r="Z70" s="94">
        <f t="shared" ca="1" si="13"/>
        <v>3.7090234951707294E-4</v>
      </c>
      <c r="AB70" s="94">
        <f t="shared" ca="1" si="14"/>
        <v>3.7090234951707294E-4</v>
      </c>
      <c r="AD70" s="110">
        <f t="shared" ca="1" si="15"/>
        <v>0.99731181053971807</v>
      </c>
      <c r="AE70" s="111"/>
      <c r="AF70" s="112">
        <f t="shared" ca="1" si="8"/>
        <v>1.0000000000000007</v>
      </c>
      <c r="AG70" s="108"/>
      <c r="AH70" s="131" t="e">
        <f>(#REF!/1000000)*(1-(F70+H70))</f>
        <v>#REF!</v>
      </c>
      <c r="AJ70" s="54">
        <f t="shared" ca="1" si="16"/>
        <v>3.9765073939213069</v>
      </c>
      <c r="AL70" s="138">
        <f t="shared" ca="1" si="17"/>
        <v>6.8577022698120452E-2</v>
      </c>
      <c r="AO70" s="135" t="e">
        <f t="shared" ca="1" si="18"/>
        <v>#REF!</v>
      </c>
      <c r="AP70" s="108"/>
      <c r="AQ70" s="31">
        <f t="shared" ca="1" si="19"/>
        <v>1.9348189563181931E-3</v>
      </c>
      <c r="AR70" s="31"/>
      <c r="AS70" s="31">
        <f t="shared" ca="1" si="9"/>
        <v>4.8270668021911368E-6</v>
      </c>
      <c r="AT70" s="31"/>
      <c r="AU70" s="31">
        <f t="shared" ca="1" si="20"/>
        <v>1.810698455041559E-4</v>
      </c>
      <c r="AV70" s="31"/>
      <c r="AW70" s="31">
        <f t="shared" ca="1" si="21"/>
        <v>2.5236466784859297E-5</v>
      </c>
      <c r="AX70" s="31"/>
      <c r="AY70" s="31">
        <f t="shared" ca="1" si="22"/>
        <v>4.2919322346540655E-5</v>
      </c>
      <c r="AZ70" s="31"/>
      <c r="BA70" s="134">
        <f t="shared" ca="1" si="23"/>
        <v>4.0597425144307705E-4</v>
      </c>
    </row>
    <row r="71" spans="1:53">
      <c r="A71" s="78"/>
      <c r="B71">
        <v>73</v>
      </c>
      <c r="D71" s="78">
        <v>58</v>
      </c>
      <c r="E71" s="108"/>
      <c r="F71">
        <f>VLOOKUP(B71,Parameters!E62:F152,2)</f>
        <v>0.28660000000000002</v>
      </c>
      <c r="H71">
        <f>VLOOKUP(B71,Parameters!H62:I152,2)</f>
        <v>0.01</v>
      </c>
      <c r="J71">
        <f ca="1">(VLOOKUP(B71,Parameters!K62:L152,2))*(1-mda_efficacy)</f>
        <v>1.5000000000000013E-3</v>
      </c>
      <c r="L71">
        <f>VLOOKUP(B71,Parameters!N62:O152,2)</f>
        <v>0.26</v>
      </c>
      <c r="N71">
        <f>VLOOKUP(B71,Parameters!T62:U152,2)</f>
        <v>0.375</v>
      </c>
      <c r="P71">
        <f>VLOOKUP(B71,Parameters!T62:U152,2)</f>
        <v>0.375</v>
      </c>
      <c r="R71" s="78">
        <f>VLOOKUP(B71,Parameters!W62:X152,2)</f>
        <v>0.1</v>
      </c>
      <c r="S71" s="108"/>
      <c r="T71" s="102">
        <f t="shared" ca="1" si="10"/>
        <v>1.3813358254621433E-3</v>
      </c>
      <c r="V71" s="94">
        <f t="shared" ca="1" si="11"/>
        <v>4.3586464322758498E-6</v>
      </c>
      <c r="X71" s="34">
        <f t="shared" ca="1" si="12"/>
        <v>6.1355767341388242E-4</v>
      </c>
      <c r="Z71" s="94">
        <f t="shared" ca="1" si="13"/>
        <v>3.3607480212889272E-4</v>
      </c>
      <c r="AB71" s="94">
        <f t="shared" ca="1" si="14"/>
        <v>3.3607480212889272E-4</v>
      </c>
      <c r="AD71" s="110">
        <f t="shared" ca="1" si="15"/>
        <v>0.99794215592384838</v>
      </c>
      <c r="AE71" s="111"/>
      <c r="AF71" s="112">
        <f t="shared" ca="1" si="8"/>
        <v>1.0000000000000007</v>
      </c>
      <c r="AG71" s="108"/>
      <c r="AH71" s="131" t="e">
        <f>(#REF!/1000000)*(1-(F71+H71))</f>
        <v>#REF!</v>
      </c>
      <c r="AJ71" s="54">
        <f t="shared" ca="1" si="16"/>
        <v>3.9765073939213069</v>
      </c>
      <c r="AL71" s="138">
        <f t="shared" ca="1" si="17"/>
        <v>6.2168440516053497E-2</v>
      </c>
      <c r="AO71" s="135" t="e">
        <f t="shared" ca="1" si="18"/>
        <v>#REF!</v>
      </c>
      <c r="AP71" s="108"/>
      <c r="AQ71" s="31">
        <f t="shared" ca="1" si="19"/>
        <v>1.3773976150029217E-3</v>
      </c>
      <c r="AR71" s="31"/>
      <c r="AS71" s="31">
        <f t="shared" ca="1" si="9"/>
        <v>3.4869171458206799E-6</v>
      </c>
      <c r="AT71" s="31"/>
      <c r="AU71" s="31">
        <f t="shared" ca="1" si="20"/>
        <v>1.6421748298121454E-4</v>
      </c>
      <c r="AV71" s="31"/>
      <c r="AW71" s="31">
        <f t="shared" ca="1" si="21"/>
        <v>2.286677502096427E-5</v>
      </c>
      <c r="AX71" s="31"/>
      <c r="AY71" s="31">
        <f t="shared" ca="1" si="22"/>
        <v>3.8889219181006725E-5</v>
      </c>
      <c r="AZ71" s="31"/>
      <c r="BA71" s="134">
        <f t="shared" ca="1" si="23"/>
        <v>2.8934665692765757E-4</v>
      </c>
    </row>
    <row r="72" spans="1:53">
      <c r="A72" s="78"/>
      <c r="B72">
        <v>74</v>
      </c>
      <c r="D72" s="78">
        <v>59</v>
      </c>
      <c r="E72" s="108"/>
      <c r="F72">
        <f>VLOOKUP(B72,Parameters!E63:F153,2)</f>
        <v>0.28660000000000002</v>
      </c>
      <c r="H72">
        <f>VLOOKUP(B72,Parameters!H63:I153,2)</f>
        <v>0.01</v>
      </c>
      <c r="J72">
        <f ca="1">(VLOOKUP(B72,Parameters!K63:L153,2))*(1-mda_efficacy)</f>
        <v>1.5000000000000013E-3</v>
      </c>
      <c r="L72">
        <f>VLOOKUP(B72,Parameters!N63:O153,2)</f>
        <v>0.26</v>
      </c>
      <c r="N72">
        <f>VLOOKUP(B72,Parameters!T63:U153,2)</f>
        <v>0.375</v>
      </c>
      <c r="P72">
        <f>VLOOKUP(B72,Parameters!T63:U153,2)</f>
        <v>0.375</v>
      </c>
      <c r="R72" s="78">
        <f>VLOOKUP(B72,Parameters!W63:X153,2)</f>
        <v>0.1</v>
      </c>
      <c r="S72" s="108"/>
      <c r="T72" s="102">
        <f t="shared" ca="1" si="10"/>
        <v>9.8337297414649973E-4</v>
      </c>
      <c r="V72" s="94">
        <f t="shared" ca="1" si="11"/>
        <v>3.1180788819394199E-6</v>
      </c>
      <c r="X72" s="34">
        <f t="shared" ca="1" si="12"/>
        <v>5.5565667158506476E-4</v>
      </c>
      <c r="Z72" s="94">
        <f t="shared" ca="1" si="13"/>
        <v>3.0410181432810688E-4</v>
      </c>
      <c r="AB72" s="94">
        <f t="shared" ca="1" si="14"/>
        <v>3.0410181432810688E-4</v>
      </c>
      <c r="AD72" s="110">
        <f t="shared" ca="1" si="15"/>
        <v>0.99840530531831584</v>
      </c>
      <c r="AE72" s="111"/>
      <c r="AF72" s="112">
        <f t="shared" ca="1" si="8"/>
        <v>1.0000000000000004</v>
      </c>
      <c r="AG72" s="108"/>
      <c r="AH72" s="131" t="e">
        <f>(#REF!/1000000)*(1-(F72+H72))</f>
        <v>#REF!</v>
      </c>
      <c r="AJ72" s="54">
        <f t="shared" ca="1" si="16"/>
        <v>3.9765073939213069</v>
      </c>
      <c r="AL72" s="138">
        <f t="shared" ca="1" si="17"/>
        <v>5.6279792491987217E-2</v>
      </c>
      <c r="AO72" s="135" t="e">
        <f t="shared" ca="1" si="18"/>
        <v>#REF!</v>
      </c>
      <c r="AP72" s="108"/>
      <c r="AQ72" s="31">
        <f t="shared" ca="1" si="19"/>
        <v>9.8056936212057976E-4</v>
      </c>
      <c r="AR72" s="31"/>
      <c r="AS72" s="31">
        <f t="shared" ca="1" si="9"/>
        <v>2.4944631055515361E-6</v>
      </c>
      <c r="AT72" s="31"/>
      <c r="AU72" s="31">
        <f t="shared" ca="1" si="20"/>
        <v>1.4872039575628603E-4</v>
      </c>
      <c r="AV72" s="31"/>
      <c r="AW72" s="31">
        <f t="shared" ca="1" si="21"/>
        <v>2.0691309576493952E-5</v>
      </c>
      <c r="AX72" s="31"/>
      <c r="AY72" s="31">
        <f t="shared" ca="1" si="22"/>
        <v>3.5189434125477515E-5</v>
      </c>
      <c r="AZ72" s="31"/>
      <c r="BA72" s="134">
        <f t="shared" ca="1" si="23"/>
        <v>2.0763362569092451E-4</v>
      </c>
    </row>
    <row r="73" spans="1:53">
      <c r="A73" s="78"/>
      <c r="B73">
        <v>75</v>
      </c>
      <c r="D73" s="78">
        <v>60</v>
      </c>
      <c r="E73" s="108"/>
      <c r="F73">
        <f>VLOOKUP(B73,Parameters!E64:F154,2)</f>
        <v>0.2903</v>
      </c>
      <c r="H73">
        <f>VLOOKUP(B73,Parameters!H64:I154,2)</f>
        <v>0.01</v>
      </c>
      <c r="J73">
        <f ca="1">(VLOOKUP(B73,Parameters!K64:L154,2))*(1-mda_efficacy)</f>
        <v>1.5000000000000013E-3</v>
      </c>
      <c r="L73">
        <f>VLOOKUP(B73,Parameters!N64:O154,2)</f>
        <v>0.26</v>
      </c>
      <c r="N73">
        <f>VLOOKUP(B73,Parameters!T64:U154,2)</f>
        <v>0.375</v>
      </c>
      <c r="P73">
        <f>VLOOKUP(B73,Parameters!T64:U154,2)</f>
        <v>0.375</v>
      </c>
      <c r="R73" s="78">
        <f>VLOOKUP(B73,Parameters!W64:X154,2)</f>
        <v>0.1</v>
      </c>
      <c r="S73" s="108"/>
      <c r="T73" s="102">
        <f t="shared" ca="1" si="10"/>
        <v>7.0006322029489312E-4</v>
      </c>
      <c r="V73" s="94">
        <f t="shared" ca="1" si="11"/>
        <v>2.223398392885212E-6</v>
      </c>
      <c r="X73" s="34">
        <f t="shared" ca="1" si="12"/>
        <v>5.0257869415068056E-4</v>
      </c>
      <c r="Z73" s="94">
        <f t="shared" ca="1" si="13"/>
        <v>2.7486091247602349E-4</v>
      </c>
      <c r="AB73" s="94">
        <f t="shared" ca="1" si="14"/>
        <v>2.7486091247602349E-4</v>
      </c>
      <c r="AD73" s="110">
        <f t="shared" ca="1" si="15"/>
        <v>0.99874799155636063</v>
      </c>
      <c r="AE73" s="111"/>
      <c r="AF73" s="112">
        <f t="shared" ca="1" si="8"/>
        <v>1.0000000000000004</v>
      </c>
      <c r="AG73" s="108"/>
      <c r="AH73" s="131" t="e">
        <f>(#REF!/1000000)*(1-(F73+H73))</f>
        <v>#REF!</v>
      </c>
      <c r="AJ73" s="54">
        <f t="shared" ca="1" si="16"/>
        <v>3.9765073939213069</v>
      </c>
      <c r="AL73" s="138">
        <f t="shared" ca="1" si="17"/>
        <v>5.0887488179691159E-2</v>
      </c>
      <c r="AO73" s="135" t="e">
        <f t="shared" ca="1" si="18"/>
        <v>#REF!</v>
      </c>
      <c r="AP73" s="108"/>
      <c r="AQ73" s="31">
        <f t="shared" ca="1" si="19"/>
        <v>6.9806732889364075E-4</v>
      </c>
      <c r="AR73" s="31"/>
      <c r="AS73" s="31">
        <f t="shared" ca="1" si="9"/>
        <v>1.7787187143081696E-6</v>
      </c>
      <c r="AT73" s="31"/>
      <c r="AU73" s="31">
        <f t="shared" ca="1" si="20"/>
        <v>1.3451418135510362E-4</v>
      </c>
      <c r="AV73" s="31"/>
      <c r="AW73" s="31">
        <f t="shared" ca="1" si="21"/>
        <v>1.8701737255611513E-5</v>
      </c>
      <c r="AX73" s="31"/>
      <c r="AY73" s="31">
        <f t="shared" ca="1" si="22"/>
        <v>3.1805795024977944E-5</v>
      </c>
      <c r="AZ73" s="31"/>
      <c r="BA73" s="134">
        <f t="shared" ca="1" si="23"/>
        <v>1.5019133937179308E-4</v>
      </c>
    </row>
    <row r="74" spans="1:53">
      <c r="A74" s="78"/>
      <c r="B74">
        <v>76</v>
      </c>
      <c r="D74" s="78">
        <v>61</v>
      </c>
      <c r="E74" s="108"/>
      <c r="F74">
        <f>VLOOKUP(B74,Parameters!E65:F155,2)</f>
        <v>0.2903</v>
      </c>
      <c r="H74">
        <f>VLOOKUP(B74,Parameters!H65:I155,2)</f>
        <v>0.01</v>
      </c>
      <c r="J74">
        <f ca="1">(VLOOKUP(B74,Parameters!K65:L155,2))*(1-mda_efficacy)</f>
        <v>1.5000000000000013E-3</v>
      </c>
      <c r="L74">
        <f>VLOOKUP(B74,Parameters!N65:O155,2)</f>
        <v>0.26</v>
      </c>
      <c r="N74">
        <f>VLOOKUP(B74,Parameters!T65:U155,2)</f>
        <v>0.375</v>
      </c>
      <c r="P74">
        <f>VLOOKUP(B74,Parameters!T65:U155,2)</f>
        <v>0.375</v>
      </c>
      <c r="R74" s="78">
        <f>VLOOKUP(B74,Parameters!W65:X155,2)</f>
        <v>0.1</v>
      </c>
      <c r="S74" s="108"/>
      <c r="T74" s="102">
        <f t="shared" ca="1" si="10"/>
        <v>4.9578477261284326E-4</v>
      </c>
      <c r="V74" s="94">
        <f t="shared" ca="1" si="11"/>
        <v>1.5837104447347913E-6</v>
      </c>
      <c r="X74" s="34">
        <f t="shared" ca="1" si="12"/>
        <v>4.5409858916758885E-4</v>
      </c>
      <c r="Z74" s="94">
        <f t="shared" ca="1" si="13"/>
        <v>2.4820859562575307E-4</v>
      </c>
      <c r="AB74" s="94">
        <f t="shared" ca="1" si="14"/>
        <v>2.4820859562575307E-4</v>
      </c>
      <c r="AD74" s="110">
        <f t="shared" ca="1" si="15"/>
        <v>0.99900621432569126</v>
      </c>
      <c r="AE74" s="111"/>
      <c r="AF74" s="112">
        <f t="shared" ca="1" si="8"/>
        <v>1.0000000000000004</v>
      </c>
      <c r="AG74" s="108"/>
      <c r="AH74" s="131" t="e">
        <f>(#REF!/1000000)*(1-(F74+H74))</f>
        <v>#REF!</v>
      </c>
      <c r="AJ74" s="54">
        <f t="shared" ca="1" si="16"/>
        <v>3.9765073939213069</v>
      </c>
      <c r="AL74" s="138">
        <f t="shared" si="17"/>
        <v>0</v>
      </c>
      <c r="AO74" s="135" t="e">
        <f t="shared" ca="1" si="18"/>
        <v>#REF!</v>
      </c>
      <c r="AP74" s="108"/>
      <c r="AQ74" s="31">
        <f t="shared" ca="1" si="19"/>
        <v>4.9437128232247634E-4</v>
      </c>
      <c r="AR74" s="31"/>
      <c r="AS74" s="31">
        <f t="shared" ca="1" si="9"/>
        <v>1.2669683557878332E-6</v>
      </c>
      <c r="AT74" s="31"/>
      <c r="AU74" s="31">
        <f t="shared" ca="1" si="20"/>
        <v>1.2153857831082714E-4</v>
      </c>
      <c r="AV74" s="31"/>
      <c r="AW74" s="31">
        <f t="shared" ca="1" si="21"/>
        <v>1.6888294149071055E-5</v>
      </c>
      <c r="AX74" s="31"/>
      <c r="AY74" s="31">
        <f t="shared" ca="1" si="22"/>
        <v>2.8721696529327303E-5</v>
      </c>
      <c r="AZ74" s="31"/>
      <c r="BA74" s="134">
        <f t="shared" ca="1" si="23"/>
        <v>1.0922024749933711E-4</v>
      </c>
    </row>
    <row r="75" spans="1:53">
      <c r="A75" s="78"/>
      <c r="B75">
        <v>77</v>
      </c>
      <c r="D75" s="78">
        <v>62</v>
      </c>
      <c r="E75" s="108"/>
      <c r="F75">
        <f>VLOOKUP(B75,Parameters!E66:F156,2)</f>
        <v>0.2903</v>
      </c>
      <c r="H75">
        <f>VLOOKUP(B75,Parameters!H66:I156,2)</f>
        <v>0.01</v>
      </c>
      <c r="J75">
        <f ca="1">(VLOOKUP(B75,Parameters!K66:L156,2))*(1-mda_efficacy)</f>
        <v>1.5000000000000013E-3</v>
      </c>
      <c r="L75">
        <f>VLOOKUP(B75,Parameters!N66:O156,2)</f>
        <v>0.26</v>
      </c>
      <c r="N75">
        <f>VLOOKUP(B75,Parameters!T66:U156,2)</f>
        <v>0.375</v>
      </c>
      <c r="P75">
        <f>VLOOKUP(B75,Parameters!T66:U156,2)</f>
        <v>0.375</v>
      </c>
      <c r="R75" s="78">
        <f>VLOOKUP(B75,Parameters!W66:X156,2)</f>
        <v>0.1</v>
      </c>
      <c r="S75" s="108"/>
      <c r="T75" s="102">
        <f t="shared" ca="1" si="10"/>
        <v>3.5111477596441563E-4</v>
      </c>
      <c r="V75" s="94">
        <f t="shared" ca="1" si="11"/>
        <v>1.1237676656556154E-6</v>
      </c>
      <c r="X75" s="34">
        <f t="shared" ca="1" si="12"/>
        <v>4.0995594749812357E-4</v>
      </c>
      <c r="Z75" s="94">
        <f t="shared" ca="1" si="13"/>
        <v>2.239816274799533E-4</v>
      </c>
      <c r="AB75" s="94">
        <f t="shared" ca="1" si="14"/>
        <v>2.239816274799533E-4</v>
      </c>
      <c r="AD75" s="110">
        <f t="shared" ca="1" si="15"/>
        <v>0.99919979820141036</v>
      </c>
      <c r="AE75" s="111"/>
      <c r="AF75" s="112">
        <f t="shared" ca="1" si="8"/>
        <v>1.0000000000000004</v>
      </c>
      <c r="AG75" s="108"/>
      <c r="AH75" s="131" t="e">
        <f>(#REF!/1000000)*(1-(F75+H75))</f>
        <v>#REF!</v>
      </c>
      <c r="AJ75" s="54">
        <f t="shared" ca="1" si="16"/>
        <v>3.9765073939213069</v>
      </c>
      <c r="AL75" s="138">
        <f t="shared" si="17"/>
        <v>0</v>
      </c>
      <c r="AO75" s="135" t="e">
        <f t="shared" ca="1" si="18"/>
        <v>#REF!</v>
      </c>
      <c r="AP75" s="108"/>
      <c r="AQ75" s="31">
        <f t="shared" ca="1" si="19"/>
        <v>3.501137421407778E-4</v>
      </c>
      <c r="AR75" s="31"/>
      <c r="AS75" s="31">
        <f t="shared" ca="1" si="9"/>
        <v>8.9901413252449234E-7</v>
      </c>
      <c r="AT75" s="31"/>
      <c r="AU75" s="31">
        <f t="shared" ca="1" si="20"/>
        <v>1.0972388863908478E-4</v>
      </c>
      <c r="AV75" s="31"/>
      <c r="AW75" s="31">
        <f t="shared" ca="1" si="21"/>
        <v>1.5239873539966295E-5</v>
      </c>
      <c r="AX75" s="31"/>
      <c r="AY75" s="31">
        <f t="shared" ca="1" si="22"/>
        <v>2.5918249593273077E-5</v>
      </c>
      <c r="AZ75" s="31"/>
      <c r="BA75" s="134">
        <f t="shared" ca="1" si="23"/>
        <v>8.0298001549116232E-5</v>
      </c>
    </row>
    <row r="76" spans="1:53">
      <c r="A76" s="78"/>
      <c r="B76">
        <v>78</v>
      </c>
      <c r="D76" s="78">
        <v>63</v>
      </c>
      <c r="E76" s="108"/>
      <c r="F76">
        <f>VLOOKUP(B76,Parameters!E67:F157,2)</f>
        <v>0.2903</v>
      </c>
      <c r="H76">
        <f>VLOOKUP(B76,Parameters!H67:I157,2)</f>
        <v>0.01</v>
      </c>
      <c r="J76">
        <f ca="1">(VLOOKUP(B76,Parameters!K67:L157,2))*(1-mda_efficacy)</f>
        <v>1.5000000000000013E-3</v>
      </c>
      <c r="L76">
        <f>VLOOKUP(B76,Parameters!N67:O157,2)</f>
        <v>0.26</v>
      </c>
      <c r="N76">
        <f>VLOOKUP(B76,Parameters!T67:U157,2)</f>
        <v>0.375</v>
      </c>
      <c r="P76">
        <f>VLOOKUP(B76,Parameters!T67:U157,2)</f>
        <v>0.375</v>
      </c>
      <c r="R76" s="78">
        <f>VLOOKUP(B76,Parameters!W67:X157,2)</f>
        <v>0.1</v>
      </c>
      <c r="S76" s="108"/>
      <c r="T76" s="102">
        <f t="shared" ca="1" si="10"/>
        <v>2.4865948433799916E-4</v>
      </c>
      <c r="V76" s="94">
        <f t="shared" ca="1" si="11"/>
        <v>7.9637640370397159E-7</v>
      </c>
      <c r="X76" s="34">
        <f t="shared" ca="1" si="12"/>
        <v>3.6986186493499339E-4</v>
      </c>
      <c r="Z76" s="94">
        <f t="shared" ca="1" si="13"/>
        <v>2.0200487760657881E-4</v>
      </c>
      <c r="AB76" s="94">
        <f t="shared" ca="1" si="14"/>
        <v>2.0200487760657881E-4</v>
      </c>
      <c r="AD76" s="110">
        <f t="shared" ca="1" si="15"/>
        <v>0.99934653438404542</v>
      </c>
      <c r="AE76" s="111"/>
      <c r="AF76" s="112">
        <f t="shared" ca="1" si="8"/>
        <v>1.0000000000000002</v>
      </c>
      <c r="AG76" s="108"/>
      <c r="AH76" s="131" t="e">
        <f>(#REF!/1000000)*(1-(F76+H76))</f>
        <v>#REF!</v>
      </c>
      <c r="AJ76" s="54">
        <f t="shared" ca="1" si="16"/>
        <v>3.9765073939213069</v>
      </c>
      <c r="AL76" s="138">
        <f t="shared" si="17"/>
        <v>0</v>
      </c>
      <c r="AO76" s="135" t="e">
        <f t="shared" ca="1" si="18"/>
        <v>#REF!</v>
      </c>
      <c r="AP76" s="108"/>
      <c r="AQ76" s="31">
        <f t="shared" ca="1" si="19"/>
        <v>2.4795055218409883E-4</v>
      </c>
      <c r="AR76" s="31"/>
      <c r="AS76" s="31">
        <f t="shared" ca="1" si="9"/>
        <v>6.3710112296317731E-7</v>
      </c>
      <c r="AT76" s="31"/>
      <c r="AU76" s="31">
        <f t="shared" ca="1" si="20"/>
        <v>9.8992787707165015E-5</v>
      </c>
      <c r="AV76" s="31"/>
      <c r="AW76" s="31">
        <f t="shared" ca="1" si="21"/>
        <v>1.3744559425777738E-5</v>
      </c>
      <c r="AX76" s="31"/>
      <c r="AY76" s="31">
        <f t="shared" ca="1" si="22"/>
        <v>2.3375188830318165E-5</v>
      </c>
      <c r="AZ76" s="31"/>
      <c r="BA76" s="134">
        <f t="shared" ca="1" si="23"/>
        <v>5.9755411786066095E-5</v>
      </c>
    </row>
    <row r="77" spans="1:53">
      <c r="A77" s="78"/>
      <c r="B77">
        <v>79</v>
      </c>
      <c r="D77" s="78">
        <v>64</v>
      </c>
      <c r="E77" s="108"/>
      <c r="F77">
        <f>VLOOKUP(B77,Parameters!E68:F158,2)</f>
        <v>0.2903</v>
      </c>
      <c r="H77">
        <f>VLOOKUP(B77,Parameters!H68:I158,2)</f>
        <v>0.01</v>
      </c>
      <c r="J77">
        <f ca="1">(VLOOKUP(B77,Parameters!K68:L158,2))*(1-mda_efficacy)</f>
        <v>1.5000000000000013E-3</v>
      </c>
      <c r="L77">
        <f>VLOOKUP(B77,Parameters!N68:O158,2)</f>
        <v>0.26</v>
      </c>
      <c r="N77">
        <f>VLOOKUP(B77,Parameters!T68:U158,2)</f>
        <v>0.375</v>
      </c>
      <c r="P77">
        <f>VLOOKUP(B77,Parameters!T68:U158,2)</f>
        <v>0.375</v>
      </c>
      <c r="R77" s="78">
        <f>VLOOKUP(B77,Parameters!W68:X158,2)</f>
        <v>0.1</v>
      </c>
      <c r="S77" s="108"/>
      <c r="T77" s="102">
        <f t="shared" ca="1" si="10"/>
        <v>1.7610064680817101E-4</v>
      </c>
      <c r="V77" s="94">
        <f t="shared" ca="1" si="11"/>
        <v>5.6411956339595228E-7</v>
      </c>
      <c r="X77" s="34">
        <f t="shared" ca="1" si="12"/>
        <v>3.3351510591581805E-4</v>
      </c>
      <c r="Z77" s="94">
        <f t="shared" ca="1" si="13"/>
        <v>1.8210303099730992E-4</v>
      </c>
      <c r="AB77" s="94">
        <f t="shared" ca="1" si="14"/>
        <v>1.8210303099730992E-4</v>
      </c>
      <c r="AD77" s="110">
        <f t="shared" ca="1" si="15"/>
        <v>0.99945912917163404</v>
      </c>
      <c r="AE77" s="111"/>
      <c r="AF77" s="112">
        <f t="shared" ca="1" si="8"/>
        <v>1.0000000000000002</v>
      </c>
      <c r="AG77" s="108"/>
      <c r="AH77" s="131" t="e">
        <f>(#REF!/1000000)*(1-(F77+H77))</f>
        <v>#REF!</v>
      </c>
      <c r="AJ77" s="54">
        <f t="shared" ref="AJ77:AJ103" ca="1" si="24">(ccc_adl*L77)+(ccc_hydrocele*P77)+(ccc_le*N77)</f>
        <v>3.9765073939213069</v>
      </c>
      <c r="AL77" s="138">
        <f t="shared" ref="AL77:AL103" si="25">IF(study_perspective=1,0,IF(age&lt;15,0,IF(age&gt;75,0,min_daily_wage*adl_episode_duration*annual_adl_episodes*X77 + prod_loss_hydrocele*min_annual_wage*Z77+prod_loss_lymphedema*min_annual_wage*AB77)))</f>
        <v>0</v>
      </c>
      <c r="AO77" s="135" t="e">
        <f t="shared" ref="AO77:AO103" ca="1" si="26">IF(study_perspective=1,((AH77+AJ77)/(1+discount_cost)^cycle),((AH77+AJ77+AL77+hh_costs_adl+hh_costs_hydrocele+hh_costs_lymphedema)/(1+discount_cost)^cycle))</f>
        <v>#REF!</v>
      </c>
      <c r="AP77" s="108"/>
      <c r="AQ77" s="31">
        <f t="shared" ref="AQ77:AQ103" ca="1" si="27">util_healthy*T77*1</f>
        <v>1.7559858105677879E-4</v>
      </c>
      <c r="AR77" s="31"/>
      <c r="AS77" s="31">
        <f t="shared" ca="1" si="9"/>
        <v>4.5129565071676184E-7</v>
      </c>
      <c r="AT77" s="31"/>
      <c r="AU77" s="31">
        <f t="shared" ref="AU77:AU103" ca="1" si="28">util_adl*X77</f>
        <v>8.9264650419853425E-5</v>
      </c>
      <c r="AV77" s="31"/>
      <c r="AW77" s="31">
        <f t="shared" ref="AW77:AW103" ca="1" si="29">util_lymphedema*AB77</f>
        <v>1.2390423245281367E-5</v>
      </c>
      <c r="AX77" s="31"/>
      <c r="AY77" s="31">
        <f t="shared" ref="AY77:AY103" ca="1" si="30">util_hydrocele*Z77</f>
        <v>2.1072227495544251E-5</v>
      </c>
      <c r="AZ77" s="31"/>
      <c r="BA77" s="134">
        <f t="shared" ref="BA77:BA103" ca="1" si="31">(AQ77+AS77+AU77+AW77+AY77)/((1+discount_effects)^cycle)</f>
        <v>4.5057287135717871E-5</v>
      </c>
    </row>
    <row r="78" spans="1:53">
      <c r="A78" s="78"/>
      <c r="B78">
        <v>80</v>
      </c>
      <c r="D78" s="78">
        <v>65</v>
      </c>
      <c r="E78" s="108"/>
      <c r="F78">
        <f>VLOOKUP(B78,Parameters!E69:F159,2)</f>
        <v>0.44719999999999999</v>
      </c>
      <c r="H78">
        <f>VLOOKUP(B78,Parameters!H69:I159,2)</f>
        <v>0.01</v>
      </c>
      <c r="J78">
        <f ca="1">(VLOOKUP(B78,Parameters!K69:L159,2))*(1-mda_efficacy)</f>
        <v>1.5000000000000013E-3</v>
      </c>
      <c r="L78">
        <f>VLOOKUP(B78,Parameters!N69:O159,2)</f>
        <v>0.26</v>
      </c>
      <c r="N78">
        <f>VLOOKUP(B78,Parameters!T69:U159,2)</f>
        <v>0.375</v>
      </c>
      <c r="P78">
        <f>VLOOKUP(B78,Parameters!T69:U159,2)</f>
        <v>0.375</v>
      </c>
      <c r="R78" s="78">
        <f>VLOOKUP(B78,Parameters!W69:X159,2)</f>
        <v>0.1</v>
      </c>
      <c r="S78" s="108"/>
      <c r="T78" s="102">
        <f t="shared" ca="1" si="10"/>
        <v>1.247144780695467E-4</v>
      </c>
      <c r="V78" s="94">
        <f t="shared" ca="1" si="11"/>
        <v>3.9953966542728529E-7</v>
      </c>
      <c r="X78" s="34">
        <f t="shared" ca="1" si="12"/>
        <v>3.006166722320443E-4</v>
      </c>
      <c r="Z78" s="94">
        <f t="shared" ca="1" si="13"/>
        <v>1.6410427273385239E-4</v>
      </c>
      <c r="AB78" s="94">
        <f t="shared" ca="1" si="14"/>
        <v>1.6410427273385239E-4</v>
      </c>
      <c r="AD78" s="110">
        <f t="shared" ca="1" si="15"/>
        <v>0.99954667743679759</v>
      </c>
      <c r="AE78" s="111"/>
      <c r="AF78" s="112">
        <f t="shared" ref="AF78:AF103" ca="1" si="32">T78+V78+Z78+AB78+AD78</f>
        <v>1.0000000000000002</v>
      </c>
      <c r="AG78" s="108"/>
      <c r="AH78" s="131" t="e">
        <f>(#REF!/1000000)*(1-(F78+H78))</f>
        <v>#REF!</v>
      </c>
      <c r="AJ78" s="54">
        <f t="shared" ca="1" si="24"/>
        <v>3.9765073939213069</v>
      </c>
      <c r="AL78" s="138">
        <f t="shared" si="25"/>
        <v>0</v>
      </c>
      <c r="AO78" s="135" t="e">
        <f t="shared" ca="1" si="26"/>
        <v>#REF!</v>
      </c>
      <c r="AP78" s="108"/>
      <c r="AQ78" s="31">
        <f t="shared" ca="1" si="27"/>
        <v>1.2435891510441074E-4</v>
      </c>
      <c r="AR78" s="31"/>
      <c r="AS78" s="31">
        <f t="shared" ref="AS78:AS103" ca="1" si="33">0.8*V78*1</f>
        <v>3.1963173234182824E-7</v>
      </c>
      <c r="AT78" s="31"/>
      <c r="AU78" s="31">
        <f t="shared" ca="1" si="28"/>
        <v>8.0459450505208384E-5</v>
      </c>
      <c r="AV78" s="31"/>
      <c r="AW78" s="31">
        <f t="shared" ca="1" si="29"/>
        <v>1.1165774585935117E-5</v>
      </c>
      <c r="AX78" s="31"/>
      <c r="AY78" s="31">
        <f t="shared" ca="1" si="30"/>
        <v>1.8989483860318946E-5</v>
      </c>
      <c r="AZ78" s="31"/>
      <c r="BA78" s="134">
        <f t="shared" ca="1" si="31"/>
        <v>3.4450051329813566E-5</v>
      </c>
    </row>
    <row r="79" spans="1:53">
      <c r="A79" s="78"/>
      <c r="B79">
        <v>81</v>
      </c>
      <c r="D79" s="78">
        <v>66</v>
      </c>
      <c r="E79" s="108"/>
      <c r="F79">
        <f>VLOOKUP(B79,Parameters!E70:F160,2)</f>
        <v>0.44719999999999999</v>
      </c>
      <c r="H79">
        <f>VLOOKUP(B79,Parameters!H70:I160,2)</f>
        <v>0.01</v>
      </c>
      <c r="J79">
        <f ca="1">(VLOOKUP(B79,Parameters!K70:L160,2))*(1-mda_efficacy)</f>
        <v>1.5000000000000013E-3</v>
      </c>
      <c r="L79">
        <f>VLOOKUP(B79,Parameters!N70:O160,2)</f>
        <v>0.26</v>
      </c>
      <c r="N79">
        <f>VLOOKUP(B79,Parameters!T70:U160,2)</f>
        <v>0.375</v>
      </c>
      <c r="P79">
        <f>VLOOKUP(B79,Parameters!T70:U160,2)</f>
        <v>0.375</v>
      </c>
      <c r="R79" s="78">
        <f>VLOOKUP(B79,Parameters!W70:X160,2)</f>
        <v>0.1</v>
      </c>
      <c r="S79" s="108"/>
      <c r="T79" s="102">
        <f t="shared" ref="T79:T103" ca="1" si="34">T78 -T78*F78 - T78*J78</f>
        <v>6.875509175974111E-5</v>
      </c>
      <c r="V79" s="94">
        <f t="shared" ref="V79:V103" ca="1" si="35">V78+T78*J78-V78*N78-V78*P78-V78*H78</f>
        <v>2.8296123680686868E-7</v>
      </c>
      <c r="X79" s="34">
        <f t="shared" ref="X79:X103" ca="1" si="36">V78*L78+ (0.7*Z78) +(0.95*AB78)</f>
        <v>2.7087593032386749E-4</v>
      </c>
      <c r="Z79" s="94">
        <f t="shared" ref="Z79:Z103" ca="1" si="37">Z78+V78*P78-Z78*R78</f>
        <v>1.4784367283500238E-4</v>
      </c>
      <c r="AB79" s="94">
        <f t="shared" ref="AB79:AB103" ca="1" si="38">AB78+V78*N78-AB78*R78</f>
        <v>1.4784367283500238E-4</v>
      </c>
      <c r="AD79" s="110">
        <f t="shared" ref="AD79:AD103" ca="1" si="39">AD78+T78*F78+V78*H78+Z78*R78 +AB78*R78</f>
        <v>0.99963527460133383</v>
      </c>
      <c r="AE79" s="111"/>
      <c r="AF79" s="112">
        <f t="shared" ca="1" si="32"/>
        <v>1.0000000000000004</v>
      </c>
      <c r="AG79" s="108"/>
      <c r="AH79" s="131" t="e">
        <f>(#REF!/1000000)*(1-(F79+H79))</f>
        <v>#REF!</v>
      </c>
      <c r="AJ79" s="54">
        <f t="shared" ca="1" si="24"/>
        <v>3.9765073939213069</v>
      </c>
      <c r="AL79" s="138">
        <f t="shared" si="25"/>
        <v>0</v>
      </c>
      <c r="AO79" s="135" t="e">
        <f t="shared" ca="1" si="26"/>
        <v>#REF!</v>
      </c>
      <c r="AP79" s="108"/>
      <c r="AQ79" s="31">
        <f t="shared" ca="1" si="27"/>
        <v>6.8559069897061655E-5</v>
      </c>
      <c r="AR79" s="31"/>
      <c r="AS79" s="31">
        <f t="shared" ca="1" si="33"/>
        <v>2.2636898944549496E-7</v>
      </c>
      <c r="AT79" s="31"/>
      <c r="AU79" s="31">
        <f t="shared" ca="1" si="28"/>
        <v>7.2499400472780221E-5</v>
      </c>
      <c r="AV79" s="31"/>
      <c r="AW79" s="31">
        <f t="shared" ca="1" si="29"/>
        <v>1.0059391491345619E-5</v>
      </c>
      <c r="AX79" s="31"/>
      <c r="AY79" s="31">
        <f t="shared" ca="1" si="30"/>
        <v>1.7107872893131624E-5</v>
      </c>
      <c r="AZ79" s="31"/>
      <c r="BA79" s="134">
        <f t="shared" ca="1" si="31"/>
        <v>2.3945262842598556E-5</v>
      </c>
    </row>
    <row r="80" spans="1:53">
      <c r="A80" s="78"/>
      <c r="B80">
        <v>82</v>
      </c>
      <c r="D80" s="78">
        <v>67</v>
      </c>
      <c r="E80" s="108"/>
      <c r="F80">
        <f>VLOOKUP(B80,Parameters!E71:F161,2)</f>
        <v>0.44719999999999999</v>
      </c>
      <c r="H80">
        <f>VLOOKUP(B80,Parameters!H71:I161,2)</f>
        <v>0.01</v>
      </c>
      <c r="J80">
        <f ca="1">(VLOOKUP(B80,Parameters!K71:L161,2))*(1-mda_efficacy)</f>
        <v>1.5000000000000013E-3</v>
      </c>
      <c r="L80">
        <f>VLOOKUP(B80,Parameters!N71:O161,2)</f>
        <v>0.26</v>
      </c>
      <c r="N80">
        <f>VLOOKUP(B80,Parameters!T71:U161,2)</f>
        <v>0.375</v>
      </c>
      <c r="P80">
        <f>VLOOKUP(B80,Parameters!T71:U161,2)</f>
        <v>0.375</v>
      </c>
      <c r="R80" s="78">
        <f>VLOOKUP(B80,Parameters!W71:X161,2)</f>
        <v>0.1</v>
      </c>
      <c r="S80" s="108"/>
      <c r="T80" s="102">
        <f t="shared" ca="1" si="34"/>
        <v>3.7904682087145278E-5</v>
      </c>
      <c r="V80" s="94">
        <f t="shared" ca="1" si="35"/>
        <v>1.7104333447326023E-7</v>
      </c>
      <c r="X80" s="34">
        <f t="shared" ca="1" si="36"/>
        <v>2.440156300993237E-4</v>
      </c>
      <c r="Z80" s="94">
        <f t="shared" ca="1" si="37"/>
        <v>1.331654160153047E-4</v>
      </c>
      <c r="AB80" s="94">
        <f t="shared" ca="1" si="38"/>
        <v>1.331654160153047E-4</v>
      </c>
      <c r="AD80" s="110">
        <f t="shared" ca="1" si="39"/>
        <v>0.99969559344254821</v>
      </c>
      <c r="AE80" s="111"/>
      <c r="AF80" s="112">
        <f t="shared" ca="1" si="32"/>
        <v>1.0000000000000004</v>
      </c>
      <c r="AG80" s="108"/>
      <c r="AH80" s="131" t="e">
        <f>(#REF!/1000000)*(1-(F80+H80))</f>
        <v>#REF!</v>
      </c>
      <c r="AJ80" s="54">
        <f t="shared" ca="1" si="24"/>
        <v>3.9765073939213069</v>
      </c>
      <c r="AL80" s="138">
        <f t="shared" si="25"/>
        <v>0</v>
      </c>
      <c r="AO80" s="135" t="e">
        <f t="shared" ca="1" si="26"/>
        <v>#REF!</v>
      </c>
      <c r="AP80" s="108"/>
      <c r="AQ80" s="31">
        <f t="shared" ca="1" si="27"/>
        <v>3.779661523425009E-5</v>
      </c>
      <c r="AR80" s="31"/>
      <c r="AS80" s="31">
        <f t="shared" ca="1" si="33"/>
        <v>1.3683466757860818E-7</v>
      </c>
      <c r="AT80" s="31"/>
      <c r="AU80" s="31">
        <f t="shared" ca="1" si="28"/>
        <v>6.5310294890493937E-5</v>
      </c>
      <c r="AV80" s="31"/>
      <c r="AW80" s="31">
        <f t="shared" ca="1" si="29"/>
        <v>9.060672175676027E-6</v>
      </c>
      <c r="AX80" s="31"/>
      <c r="AY80" s="31">
        <f t="shared" ca="1" si="30"/>
        <v>1.5409364278262592E-5</v>
      </c>
      <c r="AZ80" s="31"/>
      <c r="BA80" s="134">
        <f t="shared" ca="1" si="31"/>
        <v>1.7625591809059347E-5</v>
      </c>
    </row>
    <row r="81" spans="1:53">
      <c r="A81" s="78"/>
      <c r="B81">
        <v>83</v>
      </c>
      <c r="D81" s="78">
        <v>68</v>
      </c>
      <c r="E81" s="108"/>
      <c r="F81">
        <f>VLOOKUP(B81,Parameters!E72:F162,2)</f>
        <v>0.44719999999999999</v>
      </c>
      <c r="H81">
        <f>VLOOKUP(B81,Parameters!H72:I162,2)</f>
        <v>0.01</v>
      </c>
      <c r="J81">
        <f ca="1">(VLOOKUP(B81,Parameters!K72:L162,2))*(1-mda_efficacy)</f>
        <v>1.5000000000000013E-3</v>
      </c>
      <c r="L81">
        <f>VLOOKUP(B81,Parameters!N72:O162,2)</f>
        <v>0.26</v>
      </c>
      <c r="N81">
        <f>VLOOKUP(B81,Parameters!T72:U162,2)</f>
        <v>0.375</v>
      </c>
      <c r="P81">
        <f>VLOOKUP(B81,Parameters!T72:U162,2)</f>
        <v>0.375</v>
      </c>
      <c r="R81" s="78">
        <f>VLOOKUP(B81,Parameters!W72:X162,2)</f>
        <v>0.1</v>
      </c>
      <c r="S81" s="108"/>
      <c r="T81" s="102">
        <f t="shared" ca="1" si="34"/>
        <v>2.0896851234643192E-5</v>
      </c>
      <c r="V81" s="94">
        <f t="shared" ca="1" si="35"/>
        <v>9.7907423404300397E-8</v>
      </c>
      <c r="X81" s="34">
        <f t="shared" ca="1" si="36"/>
        <v>2.1976740769221581E-4</v>
      </c>
      <c r="Z81" s="94">
        <f t="shared" ca="1" si="37"/>
        <v>1.1991301566420171E-4</v>
      </c>
      <c r="AB81" s="94">
        <f t="shared" ca="1" si="38"/>
        <v>1.1991301566420171E-4</v>
      </c>
      <c r="AD81" s="110">
        <f t="shared" ca="1" si="39"/>
        <v>0.99973917921001398</v>
      </c>
      <c r="AE81" s="111"/>
      <c r="AF81" s="112">
        <f t="shared" ca="1" si="32"/>
        <v>1.0000000000000004</v>
      </c>
      <c r="AG81" s="108"/>
      <c r="AH81" s="131" t="e">
        <f>(#REF!/1000000)*(1-(F81+H81))</f>
        <v>#REF!</v>
      </c>
      <c r="AJ81" s="54">
        <f t="shared" ca="1" si="24"/>
        <v>3.9765073939213069</v>
      </c>
      <c r="AL81" s="138">
        <f t="shared" si="25"/>
        <v>0</v>
      </c>
      <c r="AO81" s="135" t="e">
        <f t="shared" ca="1" si="26"/>
        <v>#REF!</v>
      </c>
      <c r="AP81" s="108"/>
      <c r="AQ81" s="31">
        <f t="shared" ca="1" si="27"/>
        <v>2.0837273978642078E-5</v>
      </c>
      <c r="AR81" s="31"/>
      <c r="AS81" s="31">
        <f t="shared" ca="1" si="33"/>
        <v>7.8325938723440328E-8</v>
      </c>
      <c r="AT81" s="31"/>
      <c r="AU81" s="31">
        <f t="shared" ca="1" si="28"/>
        <v>5.8820306706811237E-5</v>
      </c>
      <c r="AV81" s="31"/>
      <c r="AW81" s="31">
        <f t="shared" ca="1" si="29"/>
        <v>8.1589691756391573E-6</v>
      </c>
      <c r="AX81" s="31"/>
      <c r="AY81" s="31">
        <f t="shared" ca="1" si="30"/>
        <v>1.387585001696181E-5</v>
      </c>
      <c r="AZ81" s="31"/>
      <c r="BA81" s="134">
        <f t="shared" ca="1" si="31"/>
        <v>1.3636144411599593E-5</v>
      </c>
    </row>
    <row r="82" spans="1:53">
      <c r="A82" s="78"/>
      <c r="B82">
        <v>84</v>
      </c>
      <c r="D82" s="78">
        <v>69</v>
      </c>
      <c r="E82" s="108"/>
      <c r="F82">
        <f>VLOOKUP(B82,Parameters!E73:F163,2)</f>
        <v>0.44719999999999999</v>
      </c>
      <c r="H82">
        <f>VLOOKUP(B82,Parameters!H73:I163,2)</f>
        <v>0.01</v>
      </c>
      <c r="J82">
        <f ca="1">(VLOOKUP(B82,Parameters!K73:L163,2))*(1-mda_efficacy)</f>
        <v>1.5000000000000013E-3</v>
      </c>
      <c r="L82">
        <f>VLOOKUP(B82,Parameters!N73:O163,2)</f>
        <v>0.26</v>
      </c>
      <c r="N82">
        <f>VLOOKUP(B82,Parameters!T73:U163,2)</f>
        <v>0.375</v>
      </c>
      <c r="P82">
        <f>VLOOKUP(B82,Parameters!T73:U163,2)</f>
        <v>0.375</v>
      </c>
      <c r="R82" s="78">
        <f>VLOOKUP(B82,Parameters!W73:X163,2)</f>
        <v>0.1</v>
      </c>
      <c r="S82" s="108"/>
      <c r="T82" s="102">
        <f t="shared" ca="1" si="34"/>
        <v>1.1520434085658792E-5</v>
      </c>
      <c r="V82" s="94">
        <f t="shared" ca="1" si="35"/>
        <v>5.4843058468996904E-8</v>
      </c>
      <c r="X82" s="34">
        <f t="shared" ca="1" si="36"/>
        <v>1.9788193177601793E-4</v>
      </c>
      <c r="Z82" s="94">
        <f t="shared" ca="1" si="37"/>
        <v>1.0795842938155815E-4</v>
      </c>
      <c r="AB82" s="94">
        <f t="shared" ca="1" si="38"/>
        <v>1.0795842938155815E-4</v>
      </c>
      <c r="AD82" s="110">
        <f t="shared" ca="1" si="39"/>
        <v>0.99977250786409311</v>
      </c>
      <c r="AE82" s="111"/>
      <c r="AF82" s="112">
        <f t="shared" ca="1" si="32"/>
        <v>1.0000000000000004</v>
      </c>
      <c r="AG82" s="108"/>
      <c r="AH82" s="131" t="e">
        <f>(#REF!/1000000)*(1-(F82+H82))</f>
        <v>#REF!</v>
      </c>
      <c r="AJ82" s="54">
        <f t="shared" ca="1" si="24"/>
        <v>3.9765073939213069</v>
      </c>
      <c r="AL82" s="138">
        <f t="shared" si="25"/>
        <v>0</v>
      </c>
      <c r="AO82" s="135" t="e">
        <f t="shared" ca="1" si="26"/>
        <v>#REF!</v>
      </c>
      <c r="AP82" s="108"/>
      <c r="AQ82" s="31">
        <f t="shared" ca="1" si="27"/>
        <v>1.1487589144425377E-5</v>
      </c>
      <c r="AR82" s="31"/>
      <c r="AS82" s="31">
        <f t="shared" ca="1" si="33"/>
        <v>4.3874446775197528E-8</v>
      </c>
      <c r="AT82" s="31"/>
      <c r="AU82" s="31">
        <f t="shared" ca="1" si="28"/>
        <v>5.2962702891334796E-5</v>
      </c>
      <c r="AV82" s="31"/>
      <c r="AW82" s="31">
        <f t="shared" ca="1" si="29"/>
        <v>7.3455703928018935E-6</v>
      </c>
      <c r="AX82" s="31"/>
      <c r="AY82" s="31">
        <f t="shared" ca="1" si="30"/>
        <v>1.2492513559664189E-5</v>
      </c>
      <c r="AZ82" s="31"/>
      <c r="BA82" s="134">
        <f t="shared" ca="1" si="31"/>
        <v>1.0970468761752581E-5</v>
      </c>
    </row>
    <row r="83" spans="1:53">
      <c r="A83" s="78"/>
      <c r="B83">
        <v>85</v>
      </c>
      <c r="D83" s="78">
        <v>70</v>
      </c>
      <c r="E83" s="108"/>
      <c r="F83">
        <f>VLOOKUP(B83,Parameters!E74:F164,2)</f>
        <v>0.47620000000000001</v>
      </c>
      <c r="H83">
        <f>VLOOKUP(B83,Parameters!H74:I164,2)</f>
        <v>0.01</v>
      </c>
      <c r="J83">
        <f ca="1">(VLOOKUP(B83,Parameters!K74:L164,2))*(1-mda_efficacy)</f>
        <v>1.5000000000000013E-3</v>
      </c>
      <c r="L83">
        <f>VLOOKUP(B83,Parameters!N74:O164,2)</f>
        <v>0.26</v>
      </c>
      <c r="N83">
        <f>VLOOKUP(B83,Parameters!T74:U164,2)</f>
        <v>0.375</v>
      </c>
      <c r="P83">
        <f>VLOOKUP(B83,Parameters!T74:U164,2)</f>
        <v>0.375</v>
      </c>
      <c r="R83" s="78">
        <f>VLOOKUP(B83,Parameters!W74:X164,2)</f>
        <v>0.1</v>
      </c>
      <c r="S83" s="108"/>
      <c r="T83" s="102">
        <f t="shared" ca="1" si="34"/>
        <v>6.3512153114236923E-6</v>
      </c>
      <c r="V83" s="94">
        <f t="shared" ca="1" si="35"/>
        <v>3.0442985161047475E-8</v>
      </c>
      <c r="X83" s="34">
        <f t="shared" ca="1" si="36"/>
        <v>1.7814566767477289E-4</v>
      </c>
      <c r="Z83" s="94">
        <f t="shared" ca="1" si="37"/>
        <v>9.7183152590328212E-5</v>
      </c>
      <c r="AB83" s="94">
        <f t="shared" ca="1" si="38"/>
        <v>9.7183152590328212E-5</v>
      </c>
      <c r="AD83" s="110">
        <f t="shared" ca="1" si="39"/>
        <v>0.9997992520365232</v>
      </c>
      <c r="AE83" s="111"/>
      <c r="AF83" s="112">
        <f t="shared" ca="1" si="32"/>
        <v>1.0000000000000004</v>
      </c>
      <c r="AG83" s="108"/>
      <c r="AH83" s="131" t="e">
        <f>(#REF!/1000000)*(1-(F83+H83))</f>
        <v>#REF!</v>
      </c>
      <c r="AJ83" s="54">
        <f t="shared" ca="1" si="24"/>
        <v>3.9765073939213069</v>
      </c>
      <c r="AL83" s="138">
        <f t="shared" si="25"/>
        <v>0</v>
      </c>
      <c r="AO83" s="135" t="e">
        <f t="shared" ca="1" si="26"/>
        <v>#REF!</v>
      </c>
      <c r="AP83" s="108"/>
      <c r="AQ83" s="31">
        <f t="shared" ca="1" si="27"/>
        <v>6.3331078953217107E-6</v>
      </c>
      <c r="AR83" s="31"/>
      <c r="AS83" s="31">
        <f t="shared" ca="1" si="33"/>
        <v>2.4354388128837982E-8</v>
      </c>
      <c r="AT83" s="31"/>
      <c r="AU83" s="31">
        <f t="shared" ca="1" si="28"/>
        <v>4.76803313155291E-5</v>
      </c>
      <c r="AV83" s="31"/>
      <c r="AW83" s="31">
        <f t="shared" ca="1" si="29"/>
        <v>6.6124126891809764E-6</v>
      </c>
      <c r="AX83" s="31"/>
      <c r="AY83" s="31">
        <f t="shared" ca="1" si="30"/>
        <v>1.1245642035183031E-5</v>
      </c>
      <c r="AZ83" s="31"/>
      <c r="BA83" s="134">
        <f t="shared" ca="1" si="31"/>
        <v>9.0802557977813665E-6</v>
      </c>
    </row>
    <row r="84" spans="1:53">
      <c r="A84" s="78"/>
      <c r="B84">
        <v>86</v>
      </c>
      <c r="D84" s="78">
        <v>71</v>
      </c>
      <c r="E84" s="108"/>
      <c r="F84">
        <f>VLOOKUP(B84,Parameters!E75:F165,2)</f>
        <v>0.47620000000000001</v>
      </c>
      <c r="H84">
        <f>VLOOKUP(B84,Parameters!H75:I165,2)</f>
        <v>0.01</v>
      </c>
      <c r="J84">
        <f ca="1">(VLOOKUP(B84,Parameters!K75:L165,2))*(1-mda_efficacy)</f>
        <v>1.5000000000000013E-3</v>
      </c>
      <c r="L84">
        <f>VLOOKUP(B84,Parameters!N75:O165,2)</f>
        <v>0.26</v>
      </c>
      <c r="N84">
        <f>VLOOKUP(B84,Parameters!T75:U165,2)</f>
        <v>0.375</v>
      </c>
      <c r="P84">
        <f>VLOOKUP(B84,Parameters!T75:U165,2)</f>
        <v>0.375</v>
      </c>
      <c r="R84" s="78">
        <f>VLOOKUP(B84,Parameters!W75:X165,2)</f>
        <v>0.1</v>
      </c>
      <c r="S84" s="108"/>
      <c r="T84" s="102">
        <f t="shared" ca="1" si="34"/>
        <v>3.3172397571565943E-6</v>
      </c>
      <c r="V84" s="94">
        <f t="shared" ca="1" si="35"/>
        <v>1.683313940578694E-8</v>
      </c>
      <c r="X84" s="34">
        <f t="shared" ca="1" si="36"/>
        <v>1.6036011695018341E-4</v>
      </c>
      <c r="Z84" s="94">
        <f t="shared" ca="1" si="37"/>
        <v>8.7476253450730781E-5</v>
      </c>
      <c r="AB84" s="94">
        <f t="shared" ca="1" si="38"/>
        <v>8.7476253450730781E-5</v>
      </c>
      <c r="AD84" s="110">
        <f t="shared" ca="1" si="39"/>
        <v>0.99982171342020232</v>
      </c>
      <c r="AE84" s="111"/>
      <c r="AF84" s="112">
        <f t="shared" ca="1" si="32"/>
        <v>1.0000000000000004</v>
      </c>
      <c r="AG84" s="108"/>
      <c r="AH84" s="131" t="e">
        <f>(#REF!/1000000)*(1-(F84+H84))</f>
        <v>#REF!</v>
      </c>
      <c r="AJ84" s="54">
        <f t="shared" ca="1" si="24"/>
        <v>3.9765073939213069</v>
      </c>
      <c r="AL84" s="138">
        <f t="shared" si="25"/>
        <v>0</v>
      </c>
      <c r="AO84" s="135" t="e">
        <f t="shared" ca="1" si="26"/>
        <v>#REF!</v>
      </c>
      <c r="AP84" s="108"/>
      <c r="AQ84" s="31">
        <f t="shared" ca="1" si="27"/>
        <v>3.3077822537265292E-6</v>
      </c>
      <c r="AR84" s="31"/>
      <c r="AS84" s="31">
        <f t="shared" ca="1" si="33"/>
        <v>1.3466511524629553E-8</v>
      </c>
      <c r="AT84" s="31"/>
      <c r="AU84" s="31">
        <f t="shared" ca="1" si="28"/>
        <v>4.2920064269766628E-5</v>
      </c>
      <c r="AV84" s="31"/>
      <c r="AW84" s="31">
        <f t="shared" ca="1" si="29"/>
        <v>5.9519481813681086E-6</v>
      </c>
      <c r="AX84" s="31"/>
      <c r="AY84" s="31">
        <f t="shared" ca="1" si="30"/>
        <v>1.0122398858912552E-5</v>
      </c>
      <c r="AZ84" s="31"/>
      <c r="BA84" s="134">
        <f t="shared" ca="1" si="31"/>
        <v>7.6410711836270693E-6</v>
      </c>
    </row>
    <row r="85" spans="1:53">
      <c r="A85" s="78"/>
      <c r="B85">
        <v>87</v>
      </c>
      <c r="D85" s="78">
        <v>72</v>
      </c>
      <c r="E85" s="108"/>
      <c r="F85">
        <f>VLOOKUP(B85,Parameters!E76:F166,2)</f>
        <v>0.47620000000000001</v>
      </c>
      <c r="H85">
        <f>VLOOKUP(B85,Parameters!H76:I166,2)</f>
        <v>0.01</v>
      </c>
      <c r="J85">
        <f ca="1">(VLOOKUP(B85,Parameters!K76:L166,2))*(1-mda_efficacy)</f>
        <v>1.5000000000000013E-3</v>
      </c>
      <c r="L85">
        <f>VLOOKUP(B85,Parameters!N76:O166,2)</f>
        <v>0.26</v>
      </c>
      <c r="N85">
        <f>VLOOKUP(B85,Parameters!T76:U166,2)</f>
        <v>0.375</v>
      </c>
      <c r="P85">
        <f>VLOOKUP(B85,Parameters!T76:U166,2)</f>
        <v>0.375</v>
      </c>
      <c r="R85" s="78">
        <f>VLOOKUP(B85,Parameters!W76:X166,2)</f>
        <v>0.1</v>
      </c>
      <c r="S85" s="108"/>
      <c r="T85" s="102">
        <f t="shared" ca="1" si="34"/>
        <v>1.7325943251628893E-6</v>
      </c>
      <c r="V85" s="94">
        <f t="shared" ca="1" si="35"/>
        <v>9.0158130931237628E-9</v>
      </c>
      <c r="X85" s="34">
        <f t="shared" ca="1" si="36"/>
        <v>1.4434019480995128E-4</v>
      </c>
      <c r="Z85" s="94">
        <f t="shared" ca="1" si="37"/>
        <v>7.8734940532934868E-5</v>
      </c>
      <c r="AB85" s="94">
        <f t="shared" ca="1" si="38"/>
        <v>7.8734940532934868E-5</v>
      </c>
      <c r="AD85" s="110">
        <f t="shared" ca="1" si="39"/>
        <v>0.99984078850879621</v>
      </c>
      <c r="AE85" s="111"/>
      <c r="AF85" s="112">
        <f t="shared" ca="1" si="32"/>
        <v>1.0000000000000004</v>
      </c>
      <c r="AG85" s="108"/>
      <c r="AH85" s="131" t="e">
        <f>(#REF!/1000000)*(1-(F85+H85))</f>
        <v>#REF!</v>
      </c>
      <c r="AJ85" s="54">
        <f t="shared" ca="1" si="24"/>
        <v>3.9765073939213069</v>
      </c>
      <c r="AL85" s="138">
        <f t="shared" si="25"/>
        <v>0</v>
      </c>
      <c r="AO85" s="135" t="e">
        <f t="shared" ca="1" si="26"/>
        <v>#REF!</v>
      </c>
      <c r="AP85" s="108"/>
      <c r="AQ85" s="31">
        <f t="shared" ca="1" si="27"/>
        <v>1.7276546711213663E-6</v>
      </c>
      <c r="AR85" s="31"/>
      <c r="AS85" s="31">
        <f t="shared" ca="1" si="33"/>
        <v>7.2126504744990103E-9</v>
      </c>
      <c r="AT85" s="31"/>
      <c r="AU85" s="31">
        <f t="shared" ca="1" si="28"/>
        <v>3.8632364179918107E-5</v>
      </c>
      <c r="AV85" s="31"/>
      <c r="AW85" s="31">
        <f t="shared" ca="1" si="29"/>
        <v>5.3571828653941161E-6</v>
      </c>
      <c r="AX85" s="31"/>
      <c r="AY85" s="31">
        <f t="shared" ca="1" si="30"/>
        <v>9.1108894216190209E-6</v>
      </c>
      <c r="AZ85" s="31"/>
      <c r="BA85" s="134">
        <f t="shared" ca="1" si="31"/>
        <v>6.5279989371877252E-6</v>
      </c>
    </row>
    <row r="86" spans="1:53">
      <c r="A86" s="78"/>
      <c r="B86">
        <v>88</v>
      </c>
      <c r="D86" s="78">
        <v>73</v>
      </c>
      <c r="E86" s="108"/>
      <c r="F86">
        <f>VLOOKUP(B86,Parameters!E77:F167,2)</f>
        <v>0.47620000000000001</v>
      </c>
      <c r="H86">
        <f>VLOOKUP(B86,Parameters!H77:I167,2)</f>
        <v>0.01</v>
      </c>
      <c r="J86">
        <f ca="1">(VLOOKUP(B86,Parameters!K77:L167,2))*(1-mda_efficacy)</f>
        <v>1.5000000000000013E-3</v>
      </c>
      <c r="L86">
        <f>VLOOKUP(B86,Parameters!N77:O167,2)</f>
        <v>0.26</v>
      </c>
      <c r="N86">
        <f>VLOOKUP(B86,Parameters!T77:U167,2)</f>
        <v>0.375</v>
      </c>
      <c r="P86">
        <f>VLOOKUP(B86,Parameters!T77:U167,2)</f>
        <v>0.375</v>
      </c>
      <c r="R86" s="78">
        <f>VLOOKUP(B86,Parameters!W77:X167,2)</f>
        <v>0.1</v>
      </c>
      <c r="S86" s="108"/>
      <c r="T86" s="102">
        <f t="shared" ca="1" si="34"/>
        <v>9.0493401603257705E-7</v>
      </c>
      <c r="V86" s="94">
        <f t="shared" ca="1" si="35"/>
        <v>4.7626866300940388E-9</v>
      </c>
      <c r="X86" s="34">
        <f t="shared" ca="1" si="36"/>
        <v>1.2991499599074674E-4</v>
      </c>
      <c r="Z86" s="94">
        <f t="shared" ca="1" si="37"/>
        <v>7.0864827409551306E-5</v>
      </c>
      <c r="AB86" s="94">
        <f t="shared" ca="1" si="38"/>
        <v>7.0864827409551306E-5</v>
      </c>
      <c r="AD86" s="110">
        <f t="shared" ca="1" si="39"/>
        <v>0.99985736064847852</v>
      </c>
      <c r="AE86" s="111"/>
      <c r="AF86" s="112">
        <f t="shared" ca="1" si="32"/>
        <v>1.0000000000000002</v>
      </c>
      <c r="AG86" s="108"/>
      <c r="AH86" s="131" t="e">
        <f>(#REF!/1000000)*(1-(F86+H86))</f>
        <v>#REF!</v>
      </c>
      <c r="AJ86" s="54">
        <f t="shared" ca="1" si="24"/>
        <v>3.9765073939213069</v>
      </c>
      <c r="AL86" s="138">
        <f t="shared" si="25"/>
        <v>0</v>
      </c>
      <c r="AO86" s="135" t="e">
        <f t="shared" ca="1" si="26"/>
        <v>#REF!</v>
      </c>
      <c r="AP86" s="108"/>
      <c r="AQ86" s="31">
        <f t="shared" ca="1" si="27"/>
        <v>9.0235403472668963E-7</v>
      </c>
      <c r="AR86" s="31"/>
      <c r="AS86" s="31">
        <f t="shared" ca="1" si="33"/>
        <v>3.8101493040752313E-9</v>
      </c>
      <c r="AT86" s="31"/>
      <c r="AU86" s="31">
        <f t="shared" ca="1" si="28"/>
        <v>3.4771488594396078E-5</v>
      </c>
      <c r="AV86" s="31"/>
      <c r="AW86" s="31">
        <f t="shared" ca="1" si="29"/>
        <v>4.8216946197953589E-6</v>
      </c>
      <c r="AX86" s="31"/>
      <c r="AY86" s="31">
        <f t="shared" ca="1" si="30"/>
        <v>8.2001917070155976E-6</v>
      </c>
      <c r="AZ86" s="31"/>
      <c r="BA86" s="134">
        <f t="shared" ca="1" si="31"/>
        <v>5.6286915165737625E-6</v>
      </c>
    </row>
    <row r="87" spans="1:53">
      <c r="A87" s="78"/>
      <c r="B87">
        <v>89</v>
      </c>
      <c r="D87" s="78">
        <v>74</v>
      </c>
      <c r="E87" s="108"/>
      <c r="F87">
        <f>VLOOKUP(B87,Parameters!E78:F168,2)</f>
        <v>0.47620000000000001</v>
      </c>
      <c r="H87">
        <f>VLOOKUP(B87,Parameters!H78:I168,2)</f>
        <v>0.01</v>
      </c>
      <c r="J87">
        <f ca="1">(VLOOKUP(B87,Parameters!K78:L168,2))*(1-mda_efficacy)</f>
        <v>1.5000000000000013E-3</v>
      </c>
      <c r="L87">
        <f>VLOOKUP(B87,Parameters!N78:O168,2)</f>
        <v>0.26</v>
      </c>
      <c r="N87">
        <f>VLOOKUP(B87,Parameters!T78:U168,2)</f>
        <v>0.375</v>
      </c>
      <c r="P87">
        <f>VLOOKUP(B87,Parameters!T78:U168,2)</f>
        <v>0.375</v>
      </c>
      <c r="R87" s="78">
        <f>VLOOKUP(B87,Parameters!W78:X168,2)</f>
        <v>0.1</v>
      </c>
      <c r="S87" s="108"/>
      <c r="T87" s="102">
        <f t="shared" ca="1" si="34"/>
        <v>4.7264703657381499E-7</v>
      </c>
      <c r="V87" s="94">
        <f t="shared" ca="1" si="35"/>
        <v>2.5004458152714361E-9</v>
      </c>
      <c r="X87" s="34">
        <f t="shared" ca="1" si="36"/>
        <v>1.1692820352428348E-4</v>
      </c>
      <c r="Z87" s="94">
        <f t="shared" ca="1" si="37"/>
        <v>6.3780130676082466E-5</v>
      </c>
      <c r="AB87" s="94">
        <f t="shared" ca="1" si="38"/>
        <v>6.3780130676082466E-5</v>
      </c>
      <c r="AD87" s="110">
        <f t="shared" ca="1" si="39"/>
        <v>0.99987196459116578</v>
      </c>
      <c r="AE87" s="111"/>
      <c r="AF87" s="112">
        <f t="shared" ca="1" si="32"/>
        <v>1.0000000000000004</v>
      </c>
      <c r="AG87" s="108"/>
      <c r="AH87" s="131" t="e">
        <f>(#REF!/1000000)*(1-(F87+H87))</f>
        <v>#REF!</v>
      </c>
      <c r="AJ87" s="54">
        <f t="shared" ca="1" si="24"/>
        <v>3.9765073939213069</v>
      </c>
      <c r="AL87" s="138">
        <f t="shared" si="25"/>
        <v>0</v>
      </c>
      <c r="AO87" s="135" t="e">
        <f t="shared" ca="1" si="26"/>
        <v>#REF!</v>
      </c>
      <c r="AP87" s="108"/>
      <c r="AQ87" s="31">
        <f t="shared" ca="1" si="27"/>
        <v>4.7129951233774996E-7</v>
      </c>
      <c r="AR87" s="31"/>
      <c r="AS87" s="31">
        <f t="shared" ca="1" si="33"/>
        <v>2.0003566522171489E-9</v>
      </c>
      <c r="AT87" s="31"/>
      <c r="AU87" s="31">
        <f t="shared" ca="1" si="28"/>
        <v>3.12955995895765E-5</v>
      </c>
      <c r="AV87" s="31"/>
      <c r="AW87" s="31">
        <f t="shared" ca="1" si="29"/>
        <v>4.3396466790697705E-6</v>
      </c>
      <c r="AX87" s="31"/>
      <c r="AY87" s="31">
        <f t="shared" ca="1" si="30"/>
        <v>7.3803792058892427E-6</v>
      </c>
      <c r="AZ87" s="31"/>
      <c r="BA87" s="134">
        <f t="shared" ca="1" si="31"/>
        <v>4.8800474833034752E-6</v>
      </c>
    </row>
    <row r="88" spans="1:53">
      <c r="A88" s="78"/>
      <c r="B88">
        <v>90</v>
      </c>
      <c r="D88" s="78">
        <v>75</v>
      </c>
      <c r="E88" s="108"/>
      <c r="F88">
        <f>VLOOKUP(B88,Parameters!E79:F169,2)</f>
        <v>0.47620000000000001</v>
      </c>
      <c r="H88">
        <f>VLOOKUP(B88,Parameters!H79:I169,2)</f>
        <v>0.01</v>
      </c>
      <c r="J88">
        <f ca="1">(VLOOKUP(B88,Parameters!K79:L169,2))*(1-mda_efficacy)</f>
        <v>1.5000000000000013E-3</v>
      </c>
      <c r="L88">
        <f>VLOOKUP(B88,Parameters!N79:O169,2)</f>
        <v>0.26</v>
      </c>
      <c r="N88">
        <f>VLOOKUP(B88,Parameters!T79:U169,2)</f>
        <v>0.375</v>
      </c>
      <c r="P88">
        <f>VLOOKUP(B88,Parameters!T79:U169,2)</f>
        <v>0.375</v>
      </c>
      <c r="R88" s="78">
        <f>VLOOKUP(B88,Parameters!W79:X169,2)</f>
        <v>0.1</v>
      </c>
      <c r="S88" s="108"/>
      <c r="T88" s="102">
        <f t="shared" ca="1" si="34"/>
        <v>2.4686354720250353E-7</v>
      </c>
      <c r="V88" s="94">
        <f t="shared" ca="1" si="35"/>
        <v>1.3090775505258675E-9</v>
      </c>
      <c r="X88" s="34">
        <f t="shared" ca="1" si="36"/>
        <v>1.0523786573144803E-4</v>
      </c>
      <c r="Z88" s="94">
        <f t="shared" ca="1" si="37"/>
        <v>5.7403055275654949E-5</v>
      </c>
      <c r="AB88" s="94">
        <f t="shared" ca="1" si="38"/>
        <v>5.7403055275654949E-5</v>
      </c>
      <c r="AD88" s="110">
        <f t="shared" ca="1" si="39"/>
        <v>0.99988494571682418</v>
      </c>
      <c r="AE88" s="111"/>
      <c r="AF88" s="112">
        <f t="shared" ca="1" si="32"/>
        <v>1.0000000000000002</v>
      </c>
      <c r="AG88" s="108"/>
      <c r="AH88" s="131" t="e">
        <f>(#REF!/1000000)*(1-(F88+H88))</f>
        <v>#REF!</v>
      </c>
      <c r="AJ88" s="54">
        <f t="shared" ca="1" si="24"/>
        <v>3.9765073939213069</v>
      </c>
      <c r="AL88" s="138">
        <f t="shared" si="25"/>
        <v>0</v>
      </c>
      <c r="AO88" s="135" t="e">
        <f t="shared" ca="1" si="26"/>
        <v>#REF!</v>
      </c>
      <c r="AP88" s="108"/>
      <c r="AQ88" s="31">
        <f t="shared" ca="1" si="27"/>
        <v>2.461597352940068E-7</v>
      </c>
      <c r="AR88" s="31"/>
      <c r="AS88" s="31">
        <f t="shared" ca="1" si="33"/>
        <v>1.0472620404206941E-9</v>
      </c>
      <c r="AT88" s="31"/>
      <c r="AU88" s="31">
        <f t="shared" ca="1" si="28"/>
        <v>2.8166704082723945E-5</v>
      </c>
      <c r="AV88" s="31"/>
      <c r="AW88" s="31">
        <f t="shared" ca="1" si="29"/>
        <v>3.9057458107226839E-6</v>
      </c>
      <c r="AX88" s="31"/>
      <c r="AY88" s="31">
        <f t="shared" ca="1" si="30"/>
        <v>6.6424497883605878E-6</v>
      </c>
      <c r="AZ88" s="31"/>
      <c r="BA88" s="134">
        <f t="shared" ca="1" si="31"/>
        <v>4.2447349602656473E-6</v>
      </c>
    </row>
    <row r="89" spans="1:53">
      <c r="A89" s="78"/>
      <c r="B89">
        <v>91</v>
      </c>
      <c r="D89" s="78">
        <v>76</v>
      </c>
      <c r="E89" s="108"/>
      <c r="F89">
        <f>VLOOKUP(B89,Parameters!E80:F170,2)</f>
        <v>0.47620000000000001</v>
      </c>
      <c r="H89">
        <f>VLOOKUP(B89,Parameters!H80:I170,2)</f>
        <v>0.01</v>
      </c>
      <c r="J89">
        <f ca="1">(VLOOKUP(B89,Parameters!K80:L170,2))*(1-mda_efficacy)</f>
        <v>1.5000000000000013E-3</v>
      </c>
      <c r="L89">
        <f>VLOOKUP(B89,Parameters!N80:O170,2)</f>
        <v>0.26</v>
      </c>
      <c r="N89">
        <f>VLOOKUP(B89,Parameters!T80:U170,2)</f>
        <v>0.375</v>
      </c>
      <c r="P89">
        <f>VLOOKUP(B89,Parameters!T80:U170,2)</f>
        <v>0.375</v>
      </c>
      <c r="R89" s="78">
        <f>VLOOKUP(B89,Parameters!W80:X170,2)</f>
        <v>0.1</v>
      </c>
      <c r="S89" s="108"/>
      <c r="T89" s="102">
        <f t="shared" ca="1" si="34"/>
        <v>1.289368307038676E-7</v>
      </c>
      <c r="V89" s="94">
        <f t="shared" ca="1" si="35"/>
        <v>6.8447393292996384E-10</v>
      </c>
      <c r="X89" s="34">
        <f t="shared" ca="1" si="36"/>
        <v>9.4715381564993797E-5</v>
      </c>
      <c r="Z89" s="94">
        <f t="shared" ca="1" si="37"/>
        <v>5.1663240652170903E-5</v>
      </c>
      <c r="AB89" s="94">
        <f t="shared" ca="1" si="38"/>
        <v>5.1663240652170903E-5</v>
      </c>
      <c r="AD89" s="110">
        <f t="shared" ca="1" si="39"/>
        <v>0.99989654389739124</v>
      </c>
      <c r="AE89" s="111"/>
      <c r="AF89" s="112">
        <f t="shared" ca="1" si="32"/>
        <v>1.0000000000000002</v>
      </c>
      <c r="AG89" s="108"/>
      <c r="AH89" s="131" t="e">
        <f>(#REF!/1000000)*(1-(F89+H89))</f>
        <v>#REF!</v>
      </c>
      <c r="AJ89" s="54">
        <f t="shared" ca="1" si="24"/>
        <v>3.9765073939213069</v>
      </c>
      <c r="AL89" s="138">
        <f t="shared" si="25"/>
        <v>0</v>
      </c>
      <c r="AO89" s="135" t="e">
        <f t="shared" ca="1" si="26"/>
        <v>#REF!</v>
      </c>
      <c r="AP89" s="108"/>
      <c r="AQ89" s="31">
        <f t="shared" ca="1" si="27"/>
        <v>1.2856922974405974E-7</v>
      </c>
      <c r="AR89" s="31"/>
      <c r="AS89" s="31">
        <f t="shared" ca="1" si="33"/>
        <v>5.4757914634397111E-10</v>
      </c>
      <c r="AT89" s="31"/>
      <c r="AU89" s="31">
        <f t="shared" ca="1" si="28"/>
        <v>2.5350382260994935E-5</v>
      </c>
      <c r="AV89" s="31"/>
      <c r="AW89" s="31">
        <f t="shared" ca="1" si="29"/>
        <v>3.5152046311226959E-6</v>
      </c>
      <c r="AX89" s="31"/>
      <c r="AY89" s="31">
        <f t="shared" ca="1" si="30"/>
        <v>5.9782616149627807E-6</v>
      </c>
      <c r="AZ89" s="31"/>
      <c r="BA89" s="134">
        <f t="shared" ca="1" si="31"/>
        <v>3.6991622426906077E-6</v>
      </c>
    </row>
    <row r="90" spans="1:53">
      <c r="A90" s="78"/>
      <c r="B90">
        <v>92</v>
      </c>
      <c r="D90" s="78">
        <v>77</v>
      </c>
      <c r="E90" s="108"/>
      <c r="F90">
        <f>VLOOKUP(B90,Parameters!E81:F171,2)</f>
        <v>0.47620000000000001</v>
      </c>
      <c r="H90">
        <f>VLOOKUP(B90,Parameters!H81:I171,2)</f>
        <v>0.01</v>
      </c>
      <c r="J90">
        <f ca="1">(VLOOKUP(B90,Parameters!K81:L171,2))*(1-mda_efficacy)</f>
        <v>1.5000000000000013E-3</v>
      </c>
      <c r="L90">
        <f>VLOOKUP(B90,Parameters!N81:O171,2)</f>
        <v>0.26</v>
      </c>
      <c r="N90">
        <f>VLOOKUP(B90,Parameters!T81:U171,2)</f>
        <v>0.375</v>
      </c>
      <c r="P90">
        <f>VLOOKUP(B90,Parameters!T81:U171,2)</f>
        <v>0.375</v>
      </c>
      <c r="R90" s="78">
        <f>VLOOKUP(B90,Parameters!W81:X171,2)</f>
        <v>0.1</v>
      </c>
      <c r="S90" s="108"/>
      <c r="T90" s="102">
        <f t="shared" ca="1" si="34"/>
        <v>6.7343706676630051E-8</v>
      </c>
      <c r="V90" s="94">
        <f t="shared" ca="1" si="35"/>
        <v>3.5767898995899288E-10</v>
      </c>
      <c r="X90" s="34">
        <f t="shared" ca="1" si="36"/>
        <v>8.524452503930454E-5</v>
      </c>
      <c r="Z90" s="94">
        <f t="shared" ca="1" si="37"/>
        <v>4.6497173264678665E-5</v>
      </c>
      <c r="AB90" s="94">
        <f t="shared" ca="1" si="38"/>
        <v>4.6497173264678665E-5</v>
      </c>
      <c r="AD90" s="110">
        <f t="shared" ca="1" si="39"/>
        <v>0.99990693795208518</v>
      </c>
      <c r="AE90" s="111"/>
      <c r="AF90" s="112">
        <f t="shared" ca="1" si="32"/>
        <v>1.0000000000000002</v>
      </c>
      <c r="AG90" s="108"/>
      <c r="AH90" s="131" t="e">
        <f>(#REF!/1000000)*(1-(F90+H90))</f>
        <v>#REF!</v>
      </c>
      <c r="AJ90" s="54">
        <f t="shared" ca="1" si="24"/>
        <v>3.9765073939213069</v>
      </c>
      <c r="AL90" s="138">
        <f t="shared" si="25"/>
        <v>0</v>
      </c>
      <c r="AO90" s="135" t="e">
        <f t="shared" ca="1" si="26"/>
        <v>#REF!</v>
      </c>
      <c r="AP90" s="108"/>
      <c r="AQ90" s="31">
        <f t="shared" ca="1" si="27"/>
        <v>6.7151708695322402E-8</v>
      </c>
      <c r="AR90" s="31"/>
      <c r="AS90" s="31">
        <f t="shared" ca="1" si="33"/>
        <v>2.8614319196719432E-10</v>
      </c>
      <c r="AT90" s="31"/>
      <c r="AU90" s="31">
        <f t="shared" ca="1" si="28"/>
        <v>2.2815526472017187E-5</v>
      </c>
      <c r="AV90" s="31"/>
      <c r="AW90" s="31">
        <f t="shared" ca="1" si="29"/>
        <v>3.1637016325503142E-6</v>
      </c>
      <c r="AX90" s="31"/>
      <c r="AY90" s="31">
        <f t="shared" ca="1" si="30"/>
        <v>5.3804651551764712E-6</v>
      </c>
      <c r="AZ90" s="31"/>
      <c r="BA90" s="134">
        <f t="shared" ca="1" si="31"/>
        <v>3.2272932905476987E-6</v>
      </c>
    </row>
    <row r="91" spans="1:53">
      <c r="A91" s="78"/>
      <c r="B91">
        <v>93</v>
      </c>
      <c r="D91" s="78">
        <v>78</v>
      </c>
      <c r="E91" s="108"/>
      <c r="F91">
        <f>VLOOKUP(B91,Parameters!E82:F172,2)</f>
        <v>0.47620000000000001</v>
      </c>
      <c r="H91">
        <f>VLOOKUP(B91,Parameters!H82:I172,2)</f>
        <v>0.01</v>
      </c>
      <c r="J91">
        <f ca="1">(VLOOKUP(B91,Parameters!K82:L172,2))*(1-mda_efficacy)</f>
        <v>1.5000000000000013E-3</v>
      </c>
      <c r="L91">
        <f>VLOOKUP(B91,Parameters!N82:O172,2)</f>
        <v>0.26</v>
      </c>
      <c r="N91">
        <f>VLOOKUP(B91,Parameters!T82:U172,2)</f>
        <v>0.375</v>
      </c>
      <c r="P91">
        <f>VLOOKUP(B91,Parameters!T82:U172,2)</f>
        <v>0.375</v>
      </c>
      <c r="R91" s="78">
        <f>VLOOKUP(B91,Parameters!W82:X172,2)</f>
        <v>0.1</v>
      </c>
      <c r="S91" s="108"/>
      <c r="T91" s="102">
        <f t="shared" ca="1" si="34"/>
        <v>3.5173617997203877E-8</v>
      </c>
      <c r="V91" s="94">
        <f t="shared" ca="1" si="35"/>
        <v>1.8685851760510343E-10</v>
      </c>
      <c r="X91" s="34">
        <f t="shared" ca="1" si="36"/>
        <v>7.672042888325718E-5</v>
      </c>
      <c r="Z91" s="94">
        <f t="shared" ca="1" si="37"/>
        <v>4.1847590067832033E-5</v>
      </c>
      <c r="AB91" s="94">
        <f t="shared" ca="1" si="38"/>
        <v>4.1847590067832033E-5</v>
      </c>
      <c r="AD91" s="110">
        <f t="shared" ca="1" si="39"/>
        <v>0.99991626945938816</v>
      </c>
      <c r="AE91" s="111"/>
      <c r="AF91" s="112">
        <f t="shared" ca="1" si="32"/>
        <v>1.0000000000000004</v>
      </c>
      <c r="AG91" s="108"/>
      <c r="AH91" s="131" t="e">
        <f>(#REF!/1000000)*(1-(F91+H91))</f>
        <v>#REF!</v>
      </c>
      <c r="AJ91" s="54">
        <f t="shared" ca="1" si="24"/>
        <v>3.9765073939213069</v>
      </c>
      <c r="AL91" s="138">
        <f t="shared" si="25"/>
        <v>0</v>
      </c>
      <c r="AO91" s="135" t="e">
        <f t="shared" ca="1" si="26"/>
        <v>#REF!</v>
      </c>
      <c r="AP91" s="108"/>
      <c r="AQ91" s="31">
        <f t="shared" ca="1" si="27"/>
        <v>3.5073337451566893E-8</v>
      </c>
      <c r="AR91" s="31"/>
      <c r="AS91" s="31">
        <f t="shared" ca="1" si="33"/>
        <v>1.4948681408408276E-10</v>
      </c>
      <c r="AT91" s="31"/>
      <c r="AU91" s="31">
        <f t="shared" ca="1" si="28"/>
        <v>2.053406920061299E-5</v>
      </c>
      <c r="AV91" s="31"/>
      <c r="AW91" s="31">
        <f t="shared" ca="1" si="29"/>
        <v>2.847340595572686E-6</v>
      </c>
      <c r="AX91" s="31"/>
      <c r="AY91" s="31">
        <f t="shared" ca="1" si="30"/>
        <v>4.8424341605970369E-6</v>
      </c>
      <c r="AZ91" s="31"/>
      <c r="BA91" s="134">
        <f t="shared" ca="1" si="31"/>
        <v>2.8174374869307877E-6</v>
      </c>
    </row>
    <row r="92" spans="1:53">
      <c r="A92" s="78"/>
      <c r="B92">
        <v>94</v>
      </c>
      <c r="D92" s="78">
        <v>79</v>
      </c>
      <c r="E92" s="108"/>
      <c r="F92">
        <f>VLOOKUP(B92,Parameters!E83:F173,2)</f>
        <v>0.47620000000000001</v>
      </c>
      <c r="H92">
        <f>VLOOKUP(B92,Parameters!H83:I173,2)</f>
        <v>0.01</v>
      </c>
      <c r="J92">
        <f ca="1">(VLOOKUP(B92,Parameters!K83:L173,2))*(1-mda_efficacy)</f>
        <v>1.5000000000000013E-3</v>
      </c>
      <c r="L92">
        <f>VLOOKUP(B92,Parameters!N83:O173,2)</f>
        <v>0.26</v>
      </c>
      <c r="N92">
        <f>VLOOKUP(B92,Parameters!T83:U173,2)</f>
        <v>0.375</v>
      </c>
      <c r="P92">
        <f>VLOOKUP(B92,Parameters!T83:U173,2)</f>
        <v>0.375</v>
      </c>
      <c r="R92" s="78">
        <f>VLOOKUP(B92,Parameters!W83:X173,2)</f>
        <v>0.1</v>
      </c>
      <c r="S92" s="108"/>
      <c r="T92" s="102">
        <f t="shared" ca="1" si="34"/>
        <v>1.8371180679939582E-8</v>
      </c>
      <c r="V92" s="94">
        <f t="shared" ca="1" si="35"/>
        <v>9.7606471221030658E-11</v>
      </c>
      <c r="X92" s="34">
        <f t="shared" ca="1" si="36"/>
        <v>6.9048572195137429E-5</v>
      </c>
      <c r="Z92" s="94">
        <f t="shared" ca="1" si="37"/>
        <v>3.7662901132992932E-5</v>
      </c>
      <c r="AB92" s="94">
        <f t="shared" ca="1" si="38"/>
        <v>3.7662901132992932E-5</v>
      </c>
      <c r="AD92" s="110">
        <f t="shared" ca="1" si="39"/>
        <v>0.99992465572894718</v>
      </c>
      <c r="AE92" s="111"/>
      <c r="AF92" s="112">
        <f t="shared" ca="1" si="32"/>
        <v>1.0000000000000002</v>
      </c>
      <c r="AG92" s="108"/>
      <c r="AH92" s="131" t="e">
        <f>(#REF!/1000000)*(1-(F92+H92))</f>
        <v>#REF!</v>
      </c>
      <c r="AJ92" s="54">
        <f t="shared" ca="1" si="24"/>
        <v>3.9765073939213069</v>
      </c>
      <c r="AL92" s="138">
        <f t="shared" si="25"/>
        <v>0</v>
      </c>
      <c r="AO92" s="135" t="e">
        <f t="shared" ca="1" si="26"/>
        <v>#REF!</v>
      </c>
      <c r="AP92" s="108"/>
      <c r="AQ92" s="31">
        <f t="shared" ca="1" si="27"/>
        <v>1.8318804150953385E-8</v>
      </c>
      <c r="AR92" s="31"/>
      <c r="AS92" s="31">
        <f t="shared" ca="1" si="33"/>
        <v>7.8085176976824532E-11</v>
      </c>
      <c r="AT92" s="31"/>
      <c r="AU92" s="31">
        <f t="shared" ca="1" si="28"/>
        <v>1.8480712116664054E-5</v>
      </c>
      <c r="AV92" s="31"/>
      <c r="AW92" s="31">
        <f t="shared" ca="1" si="29"/>
        <v>2.5626113037616777E-6</v>
      </c>
      <c r="AX92" s="31"/>
      <c r="AY92" s="31">
        <f t="shared" ca="1" si="30"/>
        <v>4.3581988529797856E-6</v>
      </c>
      <c r="AZ92" s="31"/>
      <c r="BA92" s="134">
        <f t="shared" ca="1" si="31"/>
        <v>2.4605569053422522E-6</v>
      </c>
    </row>
    <row r="93" spans="1:53">
      <c r="A93" s="78"/>
      <c r="B93">
        <v>95</v>
      </c>
      <c r="D93" s="78">
        <v>80</v>
      </c>
      <c r="E93" s="108"/>
      <c r="F93">
        <f>VLOOKUP(B93,Parameters!E84:F174,2)</f>
        <v>0.47620000000000001</v>
      </c>
      <c r="H93">
        <f>VLOOKUP(B93,Parameters!H84:I174,2)</f>
        <v>0.01</v>
      </c>
      <c r="J93">
        <f ca="1">(VLOOKUP(B93,Parameters!K84:L174,2))*(1-mda_efficacy)</f>
        <v>1.5000000000000013E-3</v>
      </c>
      <c r="L93">
        <f>VLOOKUP(B93,Parameters!N84:O174,2)</f>
        <v>0.26</v>
      </c>
      <c r="N93">
        <f>VLOOKUP(B93,Parameters!T84:U174,2)</f>
        <v>0.375</v>
      </c>
      <c r="P93">
        <f>VLOOKUP(B93,Parameters!T84:U174,2)</f>
        <v>0.375</v>
      </c>
      <c r="R93" s="78">
        <f>VLOOKUP(B93,Parameters!W84:X174,2)</f>
        <v>0.1</v>
      </c>
      <c r="S93" s="108"/>
      <c r="T93" s="102">
        <f t="shared" ca="1" si="34"/>
        <v>9.5952676691324437E-9</v>
      </c>
      <c r="V93" s="94">
        <f t="shared" ca="1" si="35"/>
        <v>5.0982324112956759E-11</v>
      </c>
      <c r="X93" s="34">
        <f t="shared" ca="1" si="36"/>
        <v>6.2143812247120845E-5</v>
      </c>
      <c r="Z93" s="94">
        <f t="shared" ca="1" si="37"/>
        <v>3.3896647622120348E-5</v>
      </c>
      <c r="AB93" s="94">
        <f t="shared" ca="1" si="38"/>
        <v>3.3896647622120348E-5</v>
      </c>
      <c r="AD93" s="110">
        <f t="shared" ca="1" si="39"/>
        <v>0.99993219705850622</v>
      </c>
      <c r="AE93" s="111"/>
      <c r="AF93" s="112">
        <f t="shared" ca="1" si="32"/>
        <v>1.0000000000000004</v>
      </c>
      <c r="AG93" s="108"/>
      <c r="AH93" s="131" t="e">
        <f>(#REF!/1000000)*(1-(F93+H93))</f>
        <v>#REF!</v>
      </c>
      <c r="AJ93" s="54">
        <f t="shared" ca="1" si="24"/>
        <v>3.9765073939213069</v>
      </c>
      <c r="AL93" s="138">
        <f t="shared" si="25"/>
        <v>0</v>
      </c>
      <c r="AO93" s="135" t="e">
        <f t="shared" ca="1" si="26"/>
        <v>#REF!</v>
      </c>
      <c r="AP93" s="108"/>
      <c r="AQ93" s="31">
        <f t="shared" ca="1" si="27"/>
        <v>9.5679114080429533E-9</v>
      </c>
      <c r="AR93" s="31"/>
      <c r="AS93" s="31">
        <f t="shared" ca="1" si="33"/>
        <v>4.0785859290365407E-11</v>
      </c>
      <c r="AT93" s="31"/>
      <c r="AU93" s="31">
        <f t="shared" ca="1" si="28"/>
        <v>1.6632666939519131E-5</v>
      </c>
      <c r="AV93" s="31"/>
      <c r="AW93" s="31">
        <f t="shared" ca="1" si="29"/>
        <v>2.3063526638413595E-6</v>
      </c>
      <c r="AX93" s="31"/>
      <c r="AY93" s="31">
        <f t="shared" ca="1" si="30"/>
        <v>3.9223832031668419E-6</v>
      </c>
      <c r="AZ93" s="31"/>
      <c r="BA93" s="134">
        <f t="shared" ca="1" si="31"/>
        <v>2.1493512580085645E-6</v>
      </c>
    </row>
    <row r="94" spans="1:53">
      <c r="A94" s="78"/>
      <c r="B94">
        <v>96</v>
      </c>
      <c r="D94" s="78">
        <v>81</v>
      </c>
      <c r="E94" s="108"/>
      <c r="F94">
        <f>VLOOKUP(B94,Parameters!E85:F175,2)</f>
        <v>0.47620000000000001</v>
      </c>
      <c r="H94">
        <f>VLOOKUP(B94,Parameters!H85:I175,2)</f>
        <v>0.01</v>
      </c>
      <c r="J94">
        <f ca="1">(VLOOKUP(B94,Parameters!K85:L175,2))*(1-mda_efficacy)</f>
        <v>1.5000000000000013E-3</v>
      </c>
      <c r="L94">
        <f>VLOOKUP(B94,Parameters!N85:O175,2)</f>
        <v>0.26</v>
      </c>
      <c r="N94">
        <f>VLOOKUP(B94,Parameters!T85:U175,2)</f>
        <v>0.375</v>
      </c>
      <c r="P94">
        <f>VLOOKUP(B94,Parameters!T85:U175,2)</f>
        <v>0.375</v>
      </c>
      <c r="R94" s="78">
        <f>VLOOKUP(B94,Parameters!W85:X175,2)</f>
        <v>0.1</v>
      </c>
      <c r="S94" s="108"/>
      <c r="T94" s="102">
        <f t="shared" ca="1" si="34"/>
        <v>5.0116083035878749E-9</v>
      </c>
      <c r="V94" s="94">
        <f t="shared" ca="1" si="35"/>
        <v>2.6628659290808299E-11</v>
      </c>
      <c r="X94" s="34">
        <f t="shared" ca="1" si="36"/>
        <v>5.592948183190284E-5</v>
      </c>
      <c r="Z94" s="94">
        <f t="shared" ca="1" si="37"/>
        <v>3.0507001978279859E-5</v>
      </c>
      <c r="AB94" s="94">
        <f t="shared" ca="1" si="38"/>
        <v>3.0507001978279859E-5</v>
      </c>
      <c r="AD94" s="110">
        <f t="shared" ca="1" si="39"/>
        <v>0.99993898095780687</v>
      </c>
      <c r="AE94" s="111"/>
      <c r="AF94" s="112">
        <f t="shared" ca="1" si="32"/>
        <v>1.0000000000000004</v>
      </c>
      <c r="AG94" s="108"/>
      <c r="AH94" s="131" t="e">
        <f>(#REF!/1000000)*(1-(F94+H94))</f>
        <v>#REF!</v>
      </c>
      <c r="AJ94" s="54">
        <f t="shared" ca="1" si="24"/>
        <v>3.9765073939213069</v>
      </c>
      <c r="AL94" s="138">
        <f t="shared" si="25"/>
        <v>0</v>
      </c>
      <c r="AO94" s="135" t="e">
        <f t="shared" ca="1" si="26"/>
        <v>#REF!</v>
      </c>
      <c r="AP94" s="108"/>
      <c r="AQ94" s="31">
        <f t="shared" ca="1" si="27"/>
        <v>4.9973201284208343E-9</v>
      </c>
      <c r="AR94" s="31"/>
      <c r="AS94" s="31">
        <f t="shared" ca="1" si="33"/>
        <v>2.1302927432646641E-11</v>
      </c>
      <c r="AT94" s="31"/>
      <c r="AU94" s="31">
        <f t="shared" ca="1" si="28"/>
        <v>1.4969413844626591E-5</v>
      </c>
      <c r="AV94" s="31"/>
      <c r="AW94" s="31">
        <f t="shared" ca="1" si="29"/>
        <v>2.0757186982851881E-6</v>
      </c>
      <c r="AX94" s="31"/>
      <c r="AY94" s="31">
        <f t="shared" ca="1" si="30"/>
        <v>3.5301470951509211E-6</v>
      </c>
      <c r="AZ94" s="31"/>
      <c r="BA94" s="134">
        <f t="shared" ca="1" si="31"/>
        <v>1.8777443478261429E-6</v>
      </c>
    </row>
    <row r="95" spans="1:53">
      <c r="A95" s="78"/>
      <c r="B95">
        <v>97</v>
      </c>
      <c r="D95" s="78">
        <v>82</v>
      </c>
      <c r="E95" s="108"/>
      <c r="F95">
        <f>VLOOKUP(B95,Parameters!E86:F176,2)</f>
        <v>0.47620000000000001</v>
      </c>
      <c r="H95">
        <f>VLOOKUP(B95,Parameters!H86:I176,2)</f>
        <v>0.01</v>
      </c>
      <c r="J95">
        <f ca="1">(VLOOKUP(B95,Parameters!K86:L176,2))*(1-mda_efficacy)</f>
        <v>1.5000000000000013E-3</v>
      </c>
      <c r="L95">
        <f>VLOOKUP(B95,Parameters!N86:O176,2)</f>
        <v>0.26</v>
      </c>
      <c r="N95">
        <f>VLOOKUP(B95,Parameters!T86:U176,2)</f>
        <v>0.375</v>
      </c>
      <c r="P95">
        <f>VLOOKUP(B95,Parameters!T86:U176,2)</f>
        <v>0.375</v>
      </c>
      <c r="R95" s="78">
        <f>VLOOKUP(B95,Parameters!W86:X176,2)</f>
        <v>0.1</v>
      </c>
      <c r="S95" s="108"/>
      <c r="T95" s="102">
        <f t="shared" ca="1" si="34"/>
        <v>2.6175630169639473E-9</v>
      </c>
      <c r="V95" s="94">
        <f t="shared" ca="1" si="35"/>
        <v>1.3908290685175809E-11</v>
      </c>
      <c r="X95" s="34">
        <f t="shared" ca="1" si="36"/>
        <v>5.0336560187613182E-5</v>
      </c>
      <c r="Z95" s="94">
        <f t="shared" ca="1" si="37"/>
        <v>2.7456311766199109E-5</v>
      </c>
      <c r="AB95" s="94">
        <f t="shared" ca="1" si="38"/>
        <v>2.7456311766199109E-5</v>
      </c>
      <c r="AD95" s="110">
        <f t="shared" ca="1" si="39"/>
        <v>0.99994508474499655</v>
      </c>
      <c r="AE95" s="111"/>
      <c r="AF95" s="112">
        <f t="shared" ca="1" si="32"/>
        <v>1.0000000000000002</v>
      </c>
      <c r="AG95" s="108"/>
      <c r="AH95" s="131" t="e">
        <f>(#REF!/1000000)*(1-(F95+H95))</f>
        <v>#REF!</v>
      </c>
      <c r="AJ95" s="54">
        <f t="shared" ca="1" si="24"/>
        <v>3.9765073939213069</v>
      </c>
      <c r="AL95" s="138">
        <f t="shared" si="25"/>
        <v>0</v>
      </c>
      <c r="AO95" s="135" t="e">
        <f t="shared" ca="1" si="26"/>
        <v>#REF!</v>
      </c>
      <c r="AP95" s="108"/>
      <c r="AQ95" s="31">
        <f t="shared" ca="1" si="27"/>
        <v>2.6101003030742019E-9</v>
      </c>
      <c r="AR95" s="31"/>
      <c r="AS95" s="31">
        <f t="shared" ca="1" si="33"/>
        <v>1.1126632548140648E-11</v>
      </c>
      <c r="AT95" s="31"/>
      <c r="AU95" s="31">
        <f t="shared" ca="1" si="28"/>
        <v>1.3472479563247555E-5</v>
      </c>
      <c r="AV95" s="31"/>
      <c r="AW95" s="31">
        <f t="shared" ca="1" si="29"/>
        <v>1.8681475078942055E-6</v>
      </c>
      <c r="AX95" s="31"/>
      <c r="AY95" s="31">
        <f t="shared" ca="1" si="30"/>
        <v>3.177133541146181E-6</v>
      </c>
      <c r="AZ95" s="31"/>
      <c r="BA95" s="134">
        <f t="shared" ca="1" si="31"/>
        <v>1.6405803691588556E-6</v>
      </c>
    </row>
    <row r="96" spans="1:53">
      <c r="A96" s="78"/>
      <c r="B96">
        <v>98</v>
      </c>
      <c r="D96" s="78">
        <v>83</v>
      </c>
      <c r="E96" s="108"/>
      <c r="F96">
        <f>VLOOKUP(B96,Parameters!E87:F177,2)</f>
        <v>0.47620000000000001</v>
      </c>
      <c r="H96">
        <f>VLOOKUP(B96,Parameters!H87:I177,2)</f>
        <v>0.01</v>
      </c>
      <c r="J96">
        <f ca="1">(VLOOKUP(B96,Parameters!K87:L177,2))*(1-mda_efficacy)</f>
        <v>1.5000000000000013E-3</v>
      </c>
      <c r="L96">
        <f>VLOOKUP(B96,Parameters!N87:O177,2)</f>
        <v>0.26</v>
      </c>
      <c r="N96">
        <f>VLOOKUP(B96,Parameters!T87:U177,2)</f>
        <v>0.375</v>
      </c>
      <c r="P96">
        <f>VLOOKUP(B96,Parameters!T87:U177,2)</f>
        <v>0.375</v>
      </c>
      <c r="R96" s="78">
        <f>VLOOKUP(B96,Parameters!W87:X177,2)</f>
        <v>0.1</v>
      </c>
      <c r="S96" s="108"/>
      <c r="T96" s="102">
        <f t="shared" ca="1" si="34"/>
        <v>1.3671531637602696E-9</v>
      </c>
      <c r="V96" s="94">
        <f t="shared" ca="1" si="35"/>
        <v>7.2643342898881198E-12</v>
      </c>
      <c r="X96" s="34">
        <f t="shared" ca="1" si="36"/>
        <v>4.5302918030384101E-5</v>
      </c>
      <c r="Z96" s="94">
        <f t="shared" ca="1" si="37"/>
        <v>2.4710685805188204E-5</v>
      </c>
      <c r="AB96" s="94">
        <f t="shared" ca="1" si="38"/>
        <v>2.4710685805188204E-5</v>
      </c>
      <c r="AD96" s="110">
        <f t="shared" ca="1" si="39"/>
        <v>0.99995057725397241</v>
      </c>
      <c r="AE96" s="111"/>
      <c r="AF96" s="112">
        <f t="shared" ca="1" si="32"/>
        <v>1.0000000000000002</v>
      </c>
      <c r="AG96" s="108"/>
      <c r="AH96" s="131" t="e">
        <f>(#REF!/1000000)*(1-(F96+H96))</f>
        <v>#REF!</v>
      </c>
      <c r="AJ96" s="54">
        <f t="shared" ca="1" si="24"/>
        <v>3.9765073939213069</v>
      </c>
      <c r="AL96" s="138">
        <f t="shared" si="25"/>
        <v>0</v>
      </c>
      <c r="AO96" s="135" t="e">
        <f t="shared" ca="1" si="26"/>
        <v>#REF!</v>
      </c>
      <c r="AP96" s="108"/>
      <c r="AQ96" s="31">
        <f t="shared" ca="1" si="27"/>
        <v>1.3632553882956556E-9</v>
      </c>
      <c r="AR96" s="31"/>
      <c r="AS96" s="31">
        <f t="shared" ca="1" si="33"/>
        <v>5.8114674319104965E-12</v>
      </c>
      <c r="AT96" s="31"/>
      <c r="AU96" s="31">
        <f t="shared" ca="1" si="28"/>
        <v>1.2125235316934153E-5</v>
      </c>
      <c r="AV96" s="31"/>
      <c r="AW96" s="31">
        <f t="shared" ca="1" si="29"/>
        <v>1.6813331119786314E-6</v>
      </c>
      <c r="AX96" s="31"/>
      <c r="AY96" s="31">
        <f t="shared" ca="1" si="30"/>
        <v>2.8594207905607789E-6</v>
      </c>
      <c r="AZ96" s="31"/>
      <c r="BA96" s="134">
        <f t="shared" ca="1" si="31"/>
        <v>1.4334320833671006E-6</v>
      </c>
    </row>
    <row r="97" spans="1:53">
      <c r="A97" s="78"/>
      <c r="B97">
        <v>99</v>
      </c>
      <c r="D97" s="78">
        <v>84</v>
      </c>
      <c r="E97" s="108"/>
      <c r="F97">
        <f>VLOOKUP(B97,Parameters!E88:F178,2)</f>
        <v>0.47620000000000001</v>
      </c>
      <c r="H97">
        <f>VLOOKUP(B97,Parameters!H88:I178,2)</f>
        <v>0.01</v>
      </c>
      <c r="J97">
        <f ca="1">(VLOOKUP(B97,Parameters!K88:L178,2))*(1-mda_efficacy)</f>
        <v>1.5000000000000013E-3</v>
      </c>
      <c r="L97">
        <f>VLOOKUP(B97,Parameters!N88:O178,2)</f>
        <v>0.26</v>
      </c>
      <c r="N97">
        <f>VLOOKUP(B97,Parameters!T88:U178,2)</f>
        <v>0.375</v>
      </c>
      <c r="P97">
        <f>VLOOKUP(B97,Parameters!T88:U178,2)</f>
        <v>0.375</v>
      </c>
      <c r="R97" s="78">
        <f>VLOOKUP(B97,Parameters!W88:X178,2)</f>
        <v>0.1</v>
      </c>
      <c r="S97" s="108"/>
      <c r="T97" s="102">
        <f t="shared" ca="1" si="34"/>
        <v>7.1406409743198881E-10</v>
      </c>
      <c r="V97" s="94">
        <f t="shared" ca="1" si="35"/>
        <v>3.7941699752135545E-12</v>
      </c>
      <c r="X97" s="34">
        <f t="shared" ca="1" si="36"/>
        <v>4.077263346728745E-5</v>
      </c>
      <c r="Z97" s="94">
        <f t="shared" ca="1" si="37"/>
        <v>2.2239619948794742E-5</v>
      </c>
      <c r="AB97" s="94">
        <f t="shared" ca="1" si="38"/>
        <v>2.2239619948794742E-5</v>
      </c>
      <c r="AD97" s="110">
        <f t="shared" ca="1" si="39"/>
        <v>0.99995552004224442</v>
      </c>
      <c r="AE97" s="111"/>
      <c r="AF97" s="112">
        <f t="shared" ca="1" si="32"/>
        <v>1.0000000000000002</v>
      </c>
      <c r="AG97" s="108"/>
      <c r="AH97" s="131" t="e">
        <f>(#REF!/1000000)*(1-(F97+H97))</f>
        <v>#REF!</v>
      </c>
      <c r="AJ97" s="54">
        <f t="shared" ca="1" si="24"/>
        <v>3.9765073939213069</v>
      </c>
      <c r="AL97" s="138">
        <f t="shared" si="25"/>
        <v>0</v>
      </c>
      <c r="AO97" s="135" t="e">
        <f t="shared" ca="1" si="26"/>
        <v>#REF!</v>
      </c>
      <c r="AP97" s="108"/>
      <c r="AQ97" s="31">
        <f t="shared" ca="1" si="27"/>
        <v>7.1202828930682089E-10</v>
      </c>
      <c r="AR97" s="31"/>
      <c r="AS97" s="31">
        <f t="shared" ca="1" si="33"/>
        <v>3.0353359801708437E-12</v>
      </c>
      <c r="AT97" s="31"/>
      <c r="AU97" s="31">
        <f t="shared" ca="1" si="28"/>
        <v>1.0912713722996655E-5</v>
      </c>
      <c r="AV97" s="31"/>
      <c r="AW97" s="31">
        <f t="shared" ca="1" si="29"/>
        <v>1.5131999861322474E-6</v>
      </c>
      <c r="AX97" s="31"/>
      <c r="AY97" s="31">
        <f t="shared" ca="1" si="30"/>
        <v>2.5734790267294884E-6</v>
      </c>
      <c r="AZ97" s="31"/>
      <c r="BA97" s="134">
        <f t="shared" ca="1" si="31"/>
        <v>1.2524704982635818E-6</v>
      </c>
    </row>
    <row r="98" spans="1:53">
      <c r="A98" s="78"/>
      <c r="B98">
        <v>100</v>
      </c>
      <c r="D98" s="78">
        <v>85</v>
      </c>
      <c r="E98" s="108"/>
      <c r="F98">
        <f>VLOOKUP(B98,Parameters!E89:F179,2)</f>
        <v>0.47620000000000001</v>
      </c>
      <c r="H98">
        <f>VLOOKUP(B98,Parameters!H89:I179,2)</f>
        <v>0.01</v>
      </c>
      <c r="J98">
        <f ca="1">(VLOOKUP(B98,Parameters!K89:L179,2))*(1-mda_efficacy)</f>
        <v>1.5000000000000013E-3</v>
      </c>
      <c r="L98">
        <f>VLOOKUP(B98,Parameters!N89:O179,2)</f>
        <v>0.26</v>
      </c>
      <c r="N98">
        <f>VLOOKUP(B98,Parameters!T89:U179,2)</f>
        <v>0.375</v>
      </c>
      <c r="P98">
        <f>VLOOKUP(B98,Parameters!T89:U179,2)</f>
        <v>0.375</v>
      </c>
      <c r="R98" s="78">
        <f>VLOOKUP(B98,Parameters!W89:X179,2)</f>
        <v>0.1</v>
      </c>
      <c r="S98" s="108"/>
      <c r="T98" s="102">
        <f t="shared" ca="1" si="34"/>
        <v>3.7295567808872776E-10</v>
      </c>
      <c r="V98" s="94">
        <f t="shared" ca="1" si="35"/>
        <v>1.9816969401992375E-12</v>
      </c>
      <c r="X98" s="34">
        <f t="shared" ca="1" si="36"/>
        <v>3.669537390199552E-5</v>
      </c>
      <c r="Z98" s="94">
        <f t="shared" ca="1" si="37"/>
        <v>2.001565937672901E-5</v>
      </c>
      <c r="AB98" s="94">
        <f t="shared" ca="1" si="38"/>
        <v>2.001565937672901E-5</v>
      </c>
      <c r="AD98" s="110">
        <f t="shared" ca="1" si="39"/>
        <v>0.99995996830630951</v>
      </c>
      <c r="AE98" s="111"/>
      <c r="AF98" s="112">
        <f t="shared" ca="1" si="32"/>
        <v>1.0000000000000004</v>
      </c>
      <c r="AG98" s="108"/>
      <c r="AH98" s="131" t="e">
        <f>(#REF!/1000000)*(1-(F98+H98))</f>
        <v>#REF!</v>
      </c>
      <c r="AJ98" s="54">
        <f t="shared" ca="1" si="24"/>
        <v>3.9765073939213069</v>
      </c>
      <c r="AL98" s="138">
        <f t="shared" si="25"/>
        <v>0</v>
      </c>
      <c r="AO98" s="135" t="e">
        <f t="shared" ca="1" si="26"/>
        <v>#REF!</v>
      </c>
      <c r="AP98" s="108"/>
      <c r="AQ98" s="31">
        <f t="shared" ca="1" si="27"/>
        <v>3.7189237550495259E-10</v>
      </c>
      <c r="AR98" s="31"/>
      <c r="AS98" s="31">
        <f t="shared" ca="1" si="33"/>
        <v>1.5853575521593901E-12</v>
      </c>
      <c r="AT98" s="31"/>
      <c r="AU98" s="31">
        <f t="shared" ca="1" si="28"/>
        <v>9.8214433627909823E-6</v>
      </c>
      <c r="AV98" s="31"/>
      <c r="AW98" s="31">
        <f t="shared" ca="1" si="29"/>
        <v>1.3618800843283089E-6</v>
      </c>
      <c r="AX98" s="31"/>
      <c r="AY98" s="31">
        <f t="shared" ca="1" si="30"/>
        <v>2.3161312886988011E-6</v>
      </c>
      <c r="AZ98" s="31"/>
      <c r="BA98" s="134">
        <f t="shared" ca="1" si="31"/>
        <v>1.0943699066286706E-6</v>
      </c>
    </row>
    <row r="99" spans="1:53">
      <c r="A99" s="78"/>
      <c r="B99">
        <v>101</v>
      </c>
      <c r="D99" s="78">
        <v>86</v>
      </c>
      <c r="E99" s="108"/>
      <c r="F99">
        <f>VLOOKUP(B99,Parameters!E90:F180,2)</f>
        <v>0.47620000000000001</v>
      </c>
      <c r="H99">
        <f>VLOOKUP(B99,Parameters!H90:I180,2)</f>
        <v>0.01</v>
      </c>
      <c r="J99">
        <f ca="1">(VLOOKUP(B99,Parameters!K90:L180,2))*(1-mda_efficacy)</f>
        <v>1.5000000000000013E-3</v>
      </c>
      <c r="L99">
        <f>VLOOKUP(B99,Parameters!N90:O180,2)</f>
        <v>0.26</v>
      </c>
      <c r="N99">
        <f>VLOOKUP(B99,Parameters!T90:U180,2)</f>
        <v>0.375</v>
      </c>
      <c r="P99">
        <f>VLOOKUP(B99,Parameters!T90:U180,2)</f>
        <v>0.375</v>
      </c>
      <c r="R99" s="78">
        <f>VLOOKUP(B99,Parameters!W90:X180,2)</f>
        <v>0.1</v>
      </c>
      <c r="S99" s="108"/>
      <c r="T99" s="102">
        <f t="shared" ca="1" si="34"/>
        <v>1.9479475066574248E-10</v>
      </c>
      <c r="V99" s="94">
        <f t="shared" ca="1" si="35"/>
        <v>1.0350407827809092E-12</v>
      </c>
      <c r="X99" s="34">
        <f t="shared" ca="1" si="36"/>
        <v>3.3025838486844067E-5</v>
      </c>
      <c r="Z99" s="94">
        <f t="shared" ca="1" si="37"/>
        <v>1.8014094182192461E-5</v>
      </c>
      <c r="AB99" s="94">
        <f t="shared" ca="1" si="38"/>
        <v>1.8014094182192461E-5</v>
      </c>
      <c r="AD99" s="110">
        <f t="shared" ca="1" si="39"/>
        <v>0.99996397161580608</v>
      </c>
      <c r="AE99" s="111"/>
      <c r="AF99" s="112">
        <f t="shared" ca="1" si="32"/>
        <v>1.0000000000000002</v>
      </c>
      <c r="AG99" s="108"/>
      <c r="AH99" s="131" t="e">
        <f>(#REF!/1000000)*(1-(F99+H99))</f>
        <v>#REF!</v>
      </c>
      <c r="AJ99" s="54">
        <f t="shared" ca="1" si="24"/>
        <v>3.9765073939213069</v>
      </c>
      <c r="AL99" s="138">
        <f t="shared" si="25"/>
        <v>0</v>
      </c>
      <c r="AO99" s="135" t="e">
        <f t="shared" ca="1" si="26"/>
        <v>#REF!</v>
      </c>
      <c r="AP99" s="108"/>
      <c r="AQ99" s="31">
        <f t="shared" ca="1" si="27"/>
        <v>1.9423938772623669E-10</v>
      </c>
      <c r="AR99" s="31"/>
      <c r="AS99" s="31">
        <f t="shared" ca="1" si="33"/>
        <v>8.2803262622472739E-13</v>
      </c>
      <c r="AT99" s="31"/>
      <c r="AU99" s="31">
        <f t="shared" ca="1" si="28"/>
        <v>8.8392995551295549E-6</v>
      </c>
      <c r="AV99" s="31"/>
      <c r="AW99" s="31">
        <f t="shared" ca="1" si="29"/>
        <v>1.2256921264590184E-6</v>
      </c>
      <c r="AX99" s="31"/>
      <c r="AY99" s="31">
        <f t="shared" ca="1" si="30"/>
        <v>2.0845182458216594E-6</v>
      </c>
      <c r="AZ99" s="31"/>
      <c r="BA99" s="134">
        <f t="shared" ca="1" si="31"/>
        <v>9.5623449959952986E-7</v>
      </c>
    </row>
    <row r="100" spans="1:53">
      <c r="A100" s="78"/>
      <c r="B100">
        <v>102</v>
      </c>
      <c r="D100" s="78">
        <v>87</v>
      </c>
      <c r="E100" s="108"/>
      <c r="F100">
        <f>VLOOKUP(B100,Parameters!E91:F181,2)</f>
        <v>0.47620000000000001</v>
      </c>
      <c r="H100">
        <f>VLOOKUP(B100,Parameters!H91:I181,2)</f>
        <v>0.01</v>
      </c>
      <c r="J100">
        <f ca="1">(VLOOKUP(B100,Parameters!K91:L181,2))*(1-mda_efficacy)</f>
        <v>1.5000000000000013E-3</v>
      </c>
      <c r="L100">
        <f>VLOOKUP(B100,Parameters!N91:O181,2)</f>
        <v>0.26</v>
      </c>
      <c r="N100">
        <f>VLOOKUP(B100,Parameters!T91:U181,2)</f>
        <v>0.375</v>
      </c>
      <c r="P100">
        <f>VLOOKUP(B100,Parameters!T91:U181,2)</f>
        <v>0.375</v>
      </c>
      <c r="R100" s="78">
        <f>VLOOKUP(B100,Parameters!W91:X181,2)</f>
        <v>0.1</v>
      </c>
      <c r="S100" s="108"/>
      <c r="T100" s="102">
        <f t="shared" ca="1" si="34"/>
        <v>1.017412982727173E-10</v>
      </c>
      <c r="V100" s="94">
        <f t="shared" ca="1" si="35"/>
        <v>5.4060191386603227E-13</v>
      </c>
      <c r="X100" s="34">
        <f t="shared" ca="1" si="36"/>
        <v>2.9723255669728163E-5</v>
      </c>
      <c r="Z100" s="94">
        <f t="shared" ca="1" si="37"/>
        <v>1.6212685152113511E-5</v>
      </c>
      <c r="AB100" s="94">
        <f t="shared" ca="1" si="38"/>
        <v>1.6212685152113511E-5</v>
      </c>
      <c r="AD100" s="110">
        <f t="shared" ca="1" si="39"/>
        <v>0.99996757452741403</v>
      </c>
      <c r="AE100" s="111"/>
      <c r="AF100" s="112">
        <f t="shared" ca="1" si="32"/>
        <v>1.0000000000000002</v>
      </c>
      <c r="AG100" s="108"/>
      <c r="AH100" s="131" t="e">
        <f>(#REF!/1000000)*(1-(F100+H100))</f>
        <v>#REF!</v>
      </c>
      <c r="AJ100" s="54">
        <f t="shared" ca="1" si="24"/>
        <v>3.9765073939213069</v>
      </c>
      <c r="AL100" s="138">
        <f t="shared" si="25"/>
        <v>0</v>
      </c>
      <c r="AO100" s="135" t="e">
        <f t="shared" ca="1" si="26"/>
        <v>#REF!</v>
      </c>
      <c r="AP100" s="108"/>
      <c r="AQ100" s="31">
        <f t="shared" ca="1" si="27"/>
        <v>1.0145123220941343E-10</v>
      </c>
      <c r="AR100" s="31"/>
      <c r="AS100" s="31">
        <f t="shared" ca="1" si="33"/>
        <v>4.3248153109282586E-13</v>
      </c>
      <c r="AT100" s="31"/>
      <c r="AU100" s="31">
        <f t="shared" ca="1" si="28"/>
        <v>7.955369875713844E-6</v>
      </c>
      <c r="AV100" s="31"/>
      <c r="AW100" s="31">
        <f t="shared" ca="1" si="29"/>
        <v>1.1031229402224657E-6</v>
      </c>
      <c r="AX100" s="31"/>
      <c r="AY100" s="31">
        <f t="shared" ca="1" si="30"/>
        <v>1.8760664661535214E-6</v>
      </c>
      <c r="AZ100" s="31"/>
      <c r="BA100" s="134">
        <f t="shared" ca="1" si="31"/>
        <v>8.3553910513232705E-7</v>
      </c>
    </row>
    <row r="101" spans="1:53">
      <c r="A101" s="78"/>
      <c r="B101">
        <v>103</v>
      </c>
      <c r="D101" s="78">
        <v>88</v>
      </c>
      <c r="E101" s="108"/>
      <c r="F101">
        <f>VLOOKUP(B101,Parameters!E92:F182,2)</f>
        <v>0.47620000000000001</v>
      </c>
      <c r="H101">
        <f>VLOOKUP(B101,Parameters!H92:I182,2)</f>
        <v>0.01</v>
      </c>
      <c r="J101">
        <f ca="1">(VLOOKUP(B101,Parameters!K92:L182,2))*(1-mda_efficacy)</f>
        <v>1.5000000000000013E-3</v>
      </c>
      <c r="L101">
        <f>VLOOKUP(B101,Parameters!N92:O182,2)</f>
        <v>0.26</v>
      </c>
      <c r="N101">
        <f>VLOOKUP(B101,Parameters!T92:U182,2)</f>
        <v>0.375</v>
      </c>
      <c r="P101">
        <f>VLOOKUP(B101,Parameters!T92:U182,2)</f>
        <v>0.375</v>
      </c>
      <c r="R101" s="78">
        <f>VLOOKUP(B101,Parameters!W92:X182,2)</f>
        <v>0.1</v>
      </c>
      <c r="S101" s="108"/>
      <c r="T101" s="102">
        <f t="shared" ca="1" si="34"/>
        <v>5.3139480087840248E-11</v>
      </c>
      <c r="V101" s="94">
        <f t="shared" ca="1" si="35"/>
        <v>2.8235640673692384E-13</v>
      </c>
      <c r="X101" s="34">
        <f t="shared" ca="1" si="36"/>
        <v>2.6750930641543791E-5</v>
      </c>
      <c r="Z101" s="94">
        <f t="shared" ca="1" si="37"/>
        <v>1.4591416839627878E-5</v>
      </c>
      <c r="AB101" s="94">
        <f t="shared" ca="1" si="38"/>
        <v>1.4591416839627878E-5</v>
      </c>
      <c r="AD101" s="110">
        <f t="shared" ca="1" si="39"/>
        <v>0.99997081711289915</v>
      </c>
      <c r="AE101" s="111"/>
      <c r="AF101" s="112">
        <f t="shared" ca="1" si="32"/>
        <v>1.0000000000000002</v>
      </c>
      <c r="AG101" s="108"/>
      <c r="AH101" s="131" t="e">
        <f>(#REF!/1000000)*(1-(F101+H101))</f>
        <v>#REF!</v>
      </c>
      <c r="AJ101" s="54">
        <f t="shared" ca="1" si="24"/>
        <v>3.9765073939213069</v>
      </c>
      <c r="AL101" s="138">
        <f t="shared" si="25"/>
        <v>0</v>
      </c>
      <c r="AO101" s="135" t="e">
        <f t="shared" ca="1" si="26"/>
        <v>#REF!</v>
      </c>
      <c r="AP101" s="108"/>
      <c r="AQ101" s="31">
        <f t="shared" ca="1" si="27"/>
        <v>5.2987978582976635E-11</v>
      </c>
      <c r="AR101" s="31"/>
      <c r="AS101" s="31">
        <f t="shared" ca="1" si="33"/>
        <v>2.2588512538953908E-13</v>
      </c>
      <c r="AT101" s="31"/>
      <c r="AU101" s="31">
        <f t="shared" ca="1" si="28"/>
        <v>7.1598330323481077E-6</v>
      </c>
      <c r="AV101" s="31"/>
      <c r="AW101" s="31">
        <f t="shared" ca="1" si="29"/>
        <v>9.928106599938251E-7</v>
      </c>
      <c r="AX101" s="31"/>
      <c r="AY101" s="31">
        <f t="shared" ca="1" si="30"/>
        <v>1.6884598429967708E-6</v>
      </c>
      <c r="AZ101" s="31"/>
      <c r="BA101" s="134">
        <f t="shared" ca="1" si="31"/>
        <v>7.3007987188222245E-7</v>
      </c>
    </row>
    <row r="102" spans="1:53">
      <c r="A102" s="78"/>
      <c r="B102">
        <v>104</v>
      </c>
      <c r="D102" s="78">
        <v>89</v>
      </c>
      <c r="E102" s="108"/>
      <c r="F102">
        <f>VLOOKUP(B102,Parameters!E93:F183,2)</f>
        <v>0.47620000000000001</v>
      </c>
      <c r="H102">
        <f>VLOOKUP(B102,Parameters!H93:I183,2)</f>
        <v>0.01</v>
      </c>
      <c r="J102">
        <f ca="1">(VLOOKUP(B102,Parameters!K93:L183,2))*(1-mda_efficacy)</f>
        <v>1.5000000000000013E-3</v>
      </c>
      <c r="L102">
        <f>VLOOKUP(B102,Parameters!N93:O183,2)</f>
        <v>0.26</v>
      </c>
      <c r="N102">
        <f>VLOOKUP(B102,Parameters!T93:U183,2)</f>
        <v>0.375</v>
      </c>
      <c r="P102">
        <f>VLOOKUP(B102,Parameters!T93:U183,2)</f>
        <v>0.375</v>
      </c>
      <c r="R102" s="78">
        <f>VLOOKUP(B102,Parameters!W93:X183,2)</f>
        <v>0.1</v>
      </c>
      <c r="S102" s="108"/>
      <c r="T102" s="102">
        <f t="shared" ca="1" si="34"/>
        <v>2.7754750449878959E-11</v>
      </c>
      <c r="V102" s="94">
        <f t="shared" ca="1" si="35"/>
        <v>1.4747475774862216E-13</v>
      </c>
      <c r="X102" s="34">
        <f t="shared" ca="1" si="36"/>
        <v>2.4075837858798664E-5</v>
      </c>
      <c r="Z102" s="94">
        <f t="shared" ca="1" si="37"/>
        <v>1.3132275261548742E-5</v>
      </c>
      <c r="AB102" s="94">
        <f t="shared" ca="1" si="38"/>
        <v>1.3132275261548742E-5</v>
      </c>
      <c r="AD102" s="110">
        <f t="shared" ca="1" si="39"/>
        <v>0.99997373542157475</v>
      </c>
      <c r="AE102" s="111"/>
      <c r="AF102" s="112">
        <f t="shared" ca="1" si="32"/>
        <v>1</v>
      </c>
      <c r="AG102" s="108"/>
      <c r="AH102" s="131" t="e">
        <f>(#REF!/1000000)*(1-(F102+H102))</f>
        <v>#REF!</v>
      </c>
      <c r="AJ102" s="54">
        <f t="shared" ca="1" si="24"/>
        <v>3.9765073939213069</v>
      </c>
      <c r="AL102" s="138">
        <f t="shared" si="25"/>
        <v>0</v>
      </c>
      <c r="AO102" s="135" t="e">
        <f t="shared" ca="1" si="26"/>
        <v>#REF!</v>
      </c>
      <c r="AP102" s="108"/>
      <c r="AQ102" s="31">
        <f t="shared" ca="1" si="27"/>
        <v>2.7675621213888696E-11</v>
      </c>
      <c r="AR102" s="31"/>
      <c r="AS102" s="31">
        <f t="shared" ca="1" si="33"/>
        <v>1.1797980619889772E-13</v>
      </c>
      <c r="AT102" s="31"/>
      <c r="AU102" s="31">
        <f t="shared" ca="1" si="28"/>
        <v>6.4438498044319197E-6</v>
      </c>
      <c r="AV102" s="31"/>
      <c r="AW102" s="31">
        <f t="shared" ca="1" si="29"/>
        <v>8.9352960119884365E-7</v>
      </c>
      <c r="AX102" s="31"/>
      <c r="AY102" s="31">
        <f t="shared" ca="1" si="30"/>
        <v>1.5196138709495224E-6</v>
      </c>
      <c r="AZ102" s="31"/>
      <c r="BA102" s="134">
        <f t="shared" ca="1" si="31"/>
        <v>6.3793242782719815E-7</v>
      </c>
    </row>
    <row r="103" spans="1:53" ht="15" thickBot="1">
      <c r="A103" s="78"/>
      <c r="B103">
        <v>105</v>
      </c>
      <c r="D103" s="78">
        <v>90</v>
      </c>
      <c r="E103" s="108"/>
      <c r="F103">
        <f>VLOOKUP(B103,Parameters!E94:F184,2)</f>
        <v>0.47620000000000001</v>
      </c>
      <c r="H103">
        <f>VLOOKUP(B103,Parameters!H94:I184,2)</f>
        <v>0.01</v>
      </c>
      <c r="J103">
        <f ca="1">(VLOOKUP(B103,Parameters!K94:L184,2))*(1-mda_efficacy)</f>
        <v>1.5000000000000013E-3</v>
      </c>
      <c r="L103">
        <f>VLOOKUP(B103,Parameters!N94:O184,2)</f>
        <v>0.26</v>
      </c>
      <c r="N103">
        <f>VLOOKUP(B103,Parameters!T94:U184,2)</f>
        <v>0.375</v>
      </c>
      <c r="P103">
        <f>VLOOKUP(B103,Parameters!T94:U184,2)</f>
        <v>0.375</v>
      </c>
      <c r="R103" s="78">
        <f>VLOOKUP(B103,Parameters!W94:X184,2)</f>
        <v>0.1</v>
      </c>
      <c r="S103" s="108"/>
      <c r="T103" s="102">
        <f t="shared" ca="1" si="34"/>
        <v>1.449630615997178E-11</v>
      </c>
      <c r="V103" s="94">
        <f t="shared" ca="1" si="35"/>
        <v>7.7026067534487805E-14</v>
      </c>
      <c r="X103" s="34">
        <f t="shared" ca="1" si="36"/>
        <v>2.1668254219898858E-5</v>
      </c>
      <c r="Z103" s="94">
        <f t="shared" ca="1" si="37"/>
        <v>1.1819047790696901E-5</v>
      </c>
      <c r="AB103" s="94">
        <f t="shared" ca="1" si="38"/>
        <v>1.1819047790696901E-5</v>
      </c>
      <c r="AD103" s="110">
        <f t="shared" ca="1" si="39"/>
        <v>0.99997636188984529</v>
      </c>
      <c r="AE103" s="111"/>
      <c r="AF103" s="112">
        <f t="shared" ca="1" si="32"/>
        <v>1</v>
      </c>
      <c r="AG103" s="115"/>
      <c r="AH103" s="131" t="e">
        <f>(#REF!/1000000)*(1-(F103+H103))</f>
        <v>#REF!</v>
      </c>
      <c r="AJ103" s="54">
        <f t="shared" ca="1" si="24"/>
        <v>3.9765073939213069</v>
      </c>
      <c r="AL103" s="138">
        <f t="shared" si="25"/>
        <v>0</v>
      </c>
      <c r="AO103" s="135" t="e">
        <f t="shared" ca="1" si="26"/>
        <v>#REF!</v>
      </c>
      <c r="AP103" s="108"/>
      <c r="AQ103" s="31">
        <f t="shared" ca="1" si="27"/>
        <v>1.4454976960014066E-11</v>
      </c>
      <c r="AR103" s="31"/>
      <c r="AS103" s="31">
        <f t="shared" ca="1" si="33"/>
        <v>6.1620854027590244E-14</v>
      </c>
      <c r="AT103" s="31"/>
      <c r="AU103" s="31">
        <f t="shared" ca="1" si="28"/>
        <v>5.799464863327647E-6</v>
      </c>
      <c r="AV103" s="31"/>
      <c r="AW103" s="31">
        <f t="shared" ca="1" si="29"/>
        <v>8.0417664484181802E-7</v>
      </c>
      <c r="AX103" s="31"/>
      <c r="AY103" s="31">
        <f t="shared" ca="1" si="30"/>
        <v>1.3676524902540138E-6</v>
      </c>
      <c r="AZ103" s="31"/>
      <c r="BA103" s="134">
        <f t="shared" ca="1" si="31"/>
        <v>5.574159538937753E-7</v>
      </c>
    </row>
    <row r="104" spans="1:53">
      <c r="AL104" s="54"/>
    </row>
    <row r="105" spans="1:53">
      <c r="AL105" s="54"/>
    </row>
    <row r="106" spans="1:53">
      <c r="AL106" s="54"/>
    </row>
    <row r="107" spans="1:53">
      <c r="AL107" s="54"/>
    </row>
    <row r="108" spans="1:53">
      <c r="AL108" s="54"/>
    </row>
    <row r="109" spans="1:53">
      <c r="AL109" s="54"/>
    </row>
    <row r="110" spans="1:53">
      <c r="AL110" s="54"/>
    </row>
    <row r="111" spans="1:53">
      <c r="AL111" s="54"/>
    </row>
    <row r="112" spans="1:53">
      <c r="AL112" s="54"/>
    </row>
    <row r="113" spans="38:38">
      <c r="AL113" s="54"/>
    </row>
    <row r="114" spans="38:38">
      <c r="AL114" s="54"/>
    </row>
    <row r="115" spans="38:38">
      <c r="AL115" s="54"/>
    </row>
    <row r="116" spans="38:38">
      <c r="AL116" s="54"/>
    </row>
    <row r="117" spans="38:38">
      <c r="AL117" s="54"/>
    </row>
    <row r="118" spans="38:38">
      <c r="AL118" s="54"/>
    </row>
    <row r="119" spans="38:38">
      <c r="AL119" s="54"/>
    </row>
    <row r="120" spans="38:38">
      <c r="AL120" s="54"/>
    </row>
    <row r="121" spans="38:38">
      <c r="AL121" s="54"/>
    </row>
    <row r="122" spans="38:38">
      <c r="AL122" s="54"/>
    </row>
    <row r="123" spans="38:38">
      <c r="AL123" s="54"/>
    </row>
    <row r="124" spans="38:38">
      <c r="AL124" s="54"/>
    </row>
    <row r="125" spans="38:38">
      <c r="AL125" s="54"/>
    </row>
    <row r="126" spans="38:38">
      <c r="AL126" s="54"/>
    </row>
    <row r="127" spans="38:38">
      <c r="AL127" s="54"/>
    </row>
    <row r="128" spans="38:38">
      <c r="AL128" s="54"/>
    </row>
    <row r="129" spans="38:38">
      <c r="AL129" s="54"/>
    </row>
    <row r="130" spans="38:38">
      <c r="AL130" s="54"/>
    </row>
    <row r="131" spans="38:38">
      <c r="AL131" s="54"/>
    </row>
    <row r="132" spans="38:38">
      <c r="AL132" s="54"/>
    </row>
    <row r="133" spans="38:38">
      <c r="AL133" s="54"/>
    </row>
    <row r="134" spans="38:38">
      <c r="AL134" s="54"/>
    </row>
    <row r="135" spans="38:38">
      <c r="AL135" s="54"/>
    </row>
    <row r="136" spans="38:38">
      <c r="AL136" s="54"/>
    </row>
    <row r="137" spans="38:38">
      <c r="AL137" s="54"/>
    </row>
    <row r="138" spans="38:38">
      <c r="AL138" s="54"/>
    </row>
    <row r="139" spans="38:38">
      <c r="AL139" s="54"/>
    </row>
    <row r="140" spans="38:38">
      <c r="AL140" s="54"/>
    </row>
    <row r="141" spans="38:38">
      <c r="AL141" s="54"/>
    </row>
    <row r="142" spans="38:38">
      <c r="AL142" s="54"/>
    </row>
    <row r="143" spans="38:38">
      <c r="AL143" s="54"/>
    </row>
    <row r="144" spans="38:38">
      <c r="AL144" s="54"/>
    </row>
    <row r="145" spans="38:38">
      <c r="AL145" s="54"/>
    </row>
    <row r="146" spans="38:38">
      <c r="AL146" s="54"/>
    </row>
    <row r="147" spans="38:38">
      <c r="AL147" s="54"/>
    </row>
  </sheetData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2857B-4366-744A-88FA-959C83F74978}">
  <sheetPr codeName="Sheet13">
    <tabColor rgb="FFC00000"/>
  </sheetPr>
  <dimension ref="A8:BA104"/>
  <sheetViews>
    <sheetView topLeftCell="G1" workbookViewId="0">
      <pane ySplit="10" topLeftCell="A11" activePane="bottomLeft" state="frozen"/>
      <selection pane="bottomLeft" activeCell="AO9" sqref="AO9"/>
    </sheetView>
  </sheetViews>
  <sheetFormatPr baseColWidth="10" defaultRowHeight="14"/>
  <cols>
    <col min="2" max="2" width="7" customWidth="1"/>
    <col min="3" max="3" width="2.83203125" customWidth="1"/>
    <col min="4" max="4" width="8.83203125" customWidth="1"/>
    <col min="5" max="5" width="3.5" customWidth="1"/>
    <col min="6" max="6" width="14.6640625" customWidth="1"/>
    <col min="7" max="7" width="2.83203125" customWidth="1"/>
    <col min="9" max="9" width="2.83203125" customWidth="1"/>
    <col min="10" max="10" width="6.5" customWidth="1"/>
    <col min="11" max="11" width="2.83203125" customWidth="1"/>
    <col min="12" max="12" width="9.83203125" customWidth="1"/>
    <col min="13" max="13" width="2.83203125" customWidth="1"/>
    <col min="14" max="14" width="8.33203125" customWidth="1"/>
    <col min="15" max="15" width="2.83203125" customWidth="1"/>
    <col min="16" max="16" width="9.6640625" customWidth="1"/>
    <col min="17" max="17" width="2.83203125" customWidth="1"/>
    <col min="18" max="18" width="12.1640625" customWidth="1"/>
    <col min="19" max="19" width="2.83203125" customWidth="1"/>
    <col min="21" max="21" width="2.83203125" customWidth="1"/>
    <col min="23" max="23" width="2.83203125" customWidth="1"/>
    <col min="25" max="25" width="2.83203125" customWidth="1"/>
    <col min="27" max="27" width="2.83203125" customWidth="1"/>
    <col min="28" max="28" width="14.1640625" customWidth="1"/>
    <col min="29" max="29" width="2.83203125" customWidth="1"/>
    <col min="31" max="31" width="2.83203125" customWidth="1"/>
    <col min="33" max="33" width="2.83203125" customWidth="1"/>
    <col min="35" max="35" width="2.83203125" customWidth="1"/>
    <col min="37" max="37" width="2.83203125" customWidth="1"/>
    <col min="39" max="40" width="2.83203125" customWidth="1"/>
    <col min="42" max="42" width="2.83203125" customWidth="1"/>
    <col min="44" max="44" width="2.83203125" customWidth="1"/>
    <col min="46" max="46" width="2.83203125" customWidth="1"/>
    <col min="48" max="48" width="2.83203125" customWidth="1"/>
    <col min="49" max="49" width="16.33203125" customWidth="1"/>
    <col min="50" max="50" width="2.83203125" customWidth="1"/>
    <col min="52" max="52" width="2.83203125" customWidth="1"/>
    <col min="54" max="54" width="2.83203125" customWidth="1"/>
    <col min="56" max="56" width="2.83203125" customWidth="1"/>
  </cols>
  <sheetData>
    <row r="8" spans="1:53" ht="38" customHeight="1">
      <c r="B8" s="4"/>
      <c r="C8" s="4"/>
      <c r="D8" s="107"/>
      <c r="E8" s="113"/>
      <c r="F8" s="4"/>
      <c r="G8" s="4"/>
      <c r="H8" s="4"/>
      <c r="I8" s="4"/>
      <c r="J8" s="4"/>
      <c r="K8" s="4"/>
      <c r="L8" s="4"/>
      <c r="M8" s="4"/>
      <c r="N8" s="103"/>
      <c r="O8" s="4"/>
      <c r="P8" s="104"/>
      <c r="Q8" s="4"/>
      <c r="R8" s="109"/>
      <c r="S8" s="106"/>
      <c r="T8" s="4"/>
      <c r="U8" s="4"/>
      <c r="V8" s="4"/>
      <c r="W8" s="4"/>
      <c r="X8" s="4" t="s">
        <v>347</v>
      </c>
      <c r="Y8" s="4"/>
      <c r="Z8" s="4"/>
      <c r="AA8" s="4"/>
      <c r="AB8" s="4"/>
      <c r="AC8" s="4"/>
      <c r="AE8" s="4"/>
      <c r="AF8" s="4"/>
      <c r="AG8" s="116"/>
      <c r="AP8" s="108"/>
    </row>
    <row r="9" spans="1:53" ht="15" thickBot="1">
      <c r="A9" s="78"/>
      <c r="D9" s="78"/>
      <c r="E9" s="108"/>
      <c r="R9" s="78"/>
      <c r="S9" s="108"/>
      <c r="AD9" s="78"/>
      <c r="AE9" s="111"/>
      <c r="AF9" s="111"/>
      <c r="AG9" s="116"/>
      <c r="AO9" s="131" t="e">
        <f ca="1">SUM(AO13:AO102)</f>
        <v>#REF!</v>
      </c>
      <c r="AP9" s="115"/>
      <c r="AQ9" s="31">
        <f ca="1">SUM(AQ13:AQ103)</f>
        <v>13.256979836692276</v>
      </c>
      <c r="AS9" s="31">
        <f>SUM(AS13:AS103)</f>
        <v>0.42015422407075442</v>
      </c>
      <c r="AU9" s="31">
        <f ca="1">SUM(AU13:AU103)</f>
        <v>1.122733578294287E-2</v>
      </c>
      <c r="AW9" s="31">
        <f ca="1">SUM(AW13:AW103)</f>
        <v>0.13394162892240091</v>
      </c>
      <c r="AY9" s="31">
        <f ca="1">SUM(AY13:AY103)</f>
        <v>0.22779274120853552</v>
      </c>
      <c r="BA9" s="134">
        <f ca="1">SUM(BA13:BA102)</f>
        <v>10.709679770266204</v>
      </c>
    </row>
    <row r="10" spans="1:53">
      <c r="A10" s="78"/>
      <c r="D10" s="78"/>
      <c r="E10" s="108"/>
      <c r="R10" s="78"/>
      <c r="S10" s="108"/>
      <c r="AD10" s="78"/>
      <c r="AE10" s="111"/>
      <c r="AF10" s="78"/>
      <c r="AG10" s="108"/>
      <c r="AO10" s="78"/>
      <c r="AP10" s="108"/>
      <c r="BA10" s="78"/>
    </row>
    <row r="11" spans="1:53">
      <c r="A11" s="78"/>
      <c r="D11" s="78"/>
      <c r="E11" s="108"/>
      <c r="R11" s="78"/>
      <c r="S11" s="108"/>
      <c r="AD11" s="78"/>
      <c r="AE11" s="111"/>
      <c r="AF11" s="78"/>
      <c r="AG11" s="108"/>
      <c r="AO11" s="78"/>
      <c r="AP11" s="108"/>
      <c r="BA11" s="78"/>
    </row>
    <row r="12" spans="1:53">
      <c r="A12" s="78"/>
      <c r="D12" s="78"/>
      <c r="E12" s="108"/>
      <c r="R12" s="78"/>
      <c r="S12" s="108"/>
      <c r="AD12" s="78"/>
      <c r="AE12" s="111"/>
      <c r="AF12" s="78"/>
      <c r="AG12" s="108"/>
      <c r="AO12" s="78"/>
      <c r="AP12" s="108"/>
      <c r="BA12" s="78"/>
    </row>
    <row r="13" spans="1:53">
      <c r="A13" s="78"/>
      <c r="B13" cm="1">
        <f t="array" ref="B13:B103">start_age+cycle</f>
        <v>15</v>
      </c>
      <c r="D13" s="78">
        <v>0</v>
      </c>
      <c r="E13" s="108"/>
      <c r="F13">
        <f>VLOOKUP(B13,Parameters!E4:F94,2)</f>
        <v>2.7799999999999998E-2</v>
      </c>
      <c r="H13">
        <f>VLOOKUP(B13,Parameters!H4:I94,2)</f>
        <v>0</v>
      </c>
      <c r="J13">
        <f>VLOOKUP(B13,Parameters!K4:L94,2)</f>
        <v>0.03</v>
      </c>
      <c r="L13">
        <f>VLOOKUP(B13,Parameters!N4:O94,2)</f>
        <v>0.05</v>
      </c>
      <c r="N13">
        <f>VLOOKUP(B13,Parameters!T4:U94,2)</f>
        <v>0.375</v>
      </c>
      <c r="P13">
        <f>VLOOKUP(B13,Parameters!T4:U94,2)</f>
        <v>0.375</v>
      </c>
      <c r="R13" s="78">
        <f>VLOOKUP(B13,Parameters!W4:X94,2)</f>
        <v>0</v>
      </c>
      <c r="S13" s="108"/>
      <c r="T13" s="102">
        <v>1</v>
      </c>
      <c r="V13" s="94">
        <v>0</v>
      </c>
      <c r="W13" s="94"/>
      <c r="X13" s="94">
        <v>0</v>
      </c>
      <c r="Z13" s="94">
        <v>0</v>
      </c>
      <c r="AB13" s="94">
        <v>0</v>
      </c>
      <c r="AD13" s="110">
        <v>0</v>
      </c>
      <c r="AE13" s="111"/>
      <c r="AF13" s="112">
        <f>T13+V13+Z13+AB13+AD13</f>
        <v>1</v>
      </c>
      <c r="AG13" s="108"/>
      <c r="AH13" s="131" t="e">
        <f>(#REF!/1000000)*(1-(F13+H13))</f>
        <v>#REF!</v>
      </c>
      <c r="AJ13" s="54">
        <f t="shared" ref="AJ13:AJ44" ca="1" si="0">(ccc_adl*L13)+(ccc_hydrocele*P13)+(ccc_le*N13)</f>
        <v>3.3875383031223762</v>
      </c>
      <c r="AL13" s="138">
        <f t="shared" ref="AL13:AL44" ca="1" si="1">IF(study_perspective=1,0,IF(age&lt;15,0,IF(age&gt;75,0,min_daily_wage*adl_episode_duration*annual_adl_episodes*X13 + prod_loss_hydrocele*min_annual_wage*Z13+prod_loss_lymphedema*min_annual_wage*AB13)))</f>
        <v>0</v>
      </c>
      <c r="AO13" s="135" t="e">
        <f t="shared" ref="AO13:AO44" ca="1" si="2">IF(study_perspective=1,((AH13+AJ13)/(1+discount_cost)^cycle),((AH13+AJ13+AL13+hh_costs_adl+hh_costs_hydrocele+hh_costs_lymphedema)/(1+discount_cost)^cycle))</f>
        <v>#REF!</v>
      </c>
      <c r="AP13" s="108"/>
      <c r="AQ13" s="31">
        <f t="shared" ref="AQ13:AQ44" ca="1" si="3">util_healthy*T13*1</f>
        <v>0.99714898405830887</v>
      </c>
      <c r="AR13" s="31"/>
      <c r="AS13" s="31">
        <f>0.8*V13*1</f>
        <v>0</v>
      </c>
      <c r="AT13" s="31"/>
      <c r="AU13" s="31">
        <f t="shared" ref="AU13:AU44" ca="1" si="4">util_adl*X13</f>
        <v>0</v>
      </c>
      <c r="AV13" s="31"/>
      <c r="AW13" s="31">
        <f t="shared" ref="AW13:AW44" ca="1" si="5">util_lymphedema*AB13</f>
        <v>0</v>
      </c>
      <c r="AX13" s="31"/>
      <c r="AY13" s="31">
        <f t="shared" ref="AY13:AY44" ca="1" si="6">util_hydrocele*Z13</f>
        <v>0</v>
      </c>
      <c r="AZ13" s="31"/>
      <c r="BA13" s="134">
        <f t="shared" ref="BA13:BA44" ca="1" si="7">(AQ13+AS13+AU13+AW13+AY13)/((1+discount_effects)^cycle)</f>
        <v>0.99714898405830887</v>
      </c>
    </row>
    <row r="14" spans="1:53">
      <c r="A14" s="78"/>
      <c r="B14">
        <v>16</v>
      </c>
      <c r="D14" s="78">
        <v>1</v>
      </c>
      <c r="E14" s="108"/>
      <c r="F14">
        <f>VLOOKUP(B14,Parameters!E5:F95,2)</f>
        <v>2.7799999999999998E-2</v>
      </c>
      <c r="H14">
        <f>VLOOKUP(B14,Parameters!H5:I95,2)</f>
        <v>0</v>
      </c>
      <c r="J14">
        <f>VLOOKUP(B14,Parameters!K5:L95,2)</f>
        <v>0.03</v>
      </c>
      <c r="L14">
        <f>VLOOKUP(B14,Parameters!N5:O95,2)</f>
        <v>0.05</v>
      </c>
      <c r="N14">
        <f>VLOOKUP(B14,Parameters!T5:U95,2)</f>
        <v>0.375</v>
      </c>
      <c r="P14">
        <f>VLOOKUP(B14,Parameters!T5:U95,2)</f>
        <v>0.375</v>
      </c>
      <c r="R14" s="78">
        <f>VLOOKUP(B14,Parameters!W5:X95,2)</f>
        <v>0.1</v>
      </c>
      <c r="S14" s="108"/>
      <c r="T14" s="102">
        <f>T13 -T13*F13 - T13*J13</f>
        <v>0.94219999999999993</v>
      </c>
      <c r="V14" s="94">
        <f>V13+T13*J13-V13*N13-V13*P13-V13*H13</f>
        <v>0.03</v>
      </c>
      <c r="X14" s="34">
        <f>V13*L13</f>
        <v>0</v>
      </c>
      <c r="Z14" s="94">
        <f>Z13+V13*P13-Z13*R13</f>
        <v>0</v>
      </c>
      <c r="AB14" s="94">
        <f>AB13+V13*N13-AB13*R13</f>
        <v>0</v>
      </c>
      <c r="AD14" s="110">
        <f>AD13+T13*F13+V13*H13+Z13*R13 +AB13*R13</f>
        <v>2.7799999999999998E-2</v>
      </c>
      <c r="AE14" s="111"/>
      <c r="AF14" s="112">
        <f t="shared" ref="AF14:AF77" si="8">T14+V14+Z14+AB14+AD14</f>
        <v>1</v>
      </c>
      <c r="AG14" s="108"/>
      <c r="AH14" s="131" t="e">
        <f>(#REF!/1000000)*(1-(F14+H14))</f>
        <v>#REF!</v>
      </c>
      <c r="AJ14" s="54">
        <f t="shared" ca="1" si="0"/>
        <v>3.3875383031223762</v>
      </c>
      <c r="AL14" s="138">
        <f t="shared" ca="1" si="1"/>
        <v>0</v>
      </c>
      <c r="AO14" s="135" t="e">
        <f t="shared" ca="1" si="2"/>
        <v>#REF!</v>
      </c>
      <c r="AP14" s="108"/>
      <c r="AQ14" s="31">
        <f t="shared" ca="1" si="3"/>
        <v>0.93951377277973858</v>
      </c>
      <c r="AR14" s="31"/>
      <c r="AS14" s="31">
        <f t="shared" ref="AS14:AS77" si="9">0.8*V14*1</f>
        <v>2.4E-2</v>
      </c>
      <c r="AT14" s="31"/>
      <c r="AU14" s="31">
        <f t="shared" ca="1" si="4"/>
        <v>0</v>
      </c>
      <c r="AV14" s="31"/>
      <c r="AW14" s="31">
        <f t="shared" ca="1" si="5"/>
        <v>0</v>
      </c>
      <c r="AX14" s="31"/>
      <c r="AY14" s="31">
        <f t="shared" ca="1" si="6"/>
        <v>0</v>
      </c>
      <c r="AZ14" s="31"/>
      <c r="BA14" s="134">
        <f t="shared" ca="1" si="7"/>
        <v>0.93545026483469762</v>
      </c>
    </row>
    <row r="15" spans="1:53">
      <c r="A15" s="78"/>
      <c r="B15">
        <v>17</v>
      </c>
      <c r="D15" s="78">
        <v>2</v>
      </c>
      <c r="E15" s="108"/>
      <c r="F15">
        <f>VLOOKUP(B15,Parameters!E6:F96,2)</f>
        <v>2.7799999999999998E-2</v>
      </c>
      <c r="H15">
        <f>VLOOKUP(B15,Parameters!H6:I96,2)</f>
        <v>0.01</v>
      </c>
      <c r="J15">
        <f>VLOOKUP(B15,Parameters!K6:L96,2)</f>
        <v>0.03</v>
      </c>
      <c r="L15">
        <f>VLOOKUP(B15,Parameters!N6:O96,2)</f>
        <v>0.05</v>
      </c>
      <c r="N15">
        <f>VLOOKUP(B15,Parameters!T6:U96,2)</f>
        <v>0.375</v>
      </c>
      <c r="P15">
        <f>VLOOKUP(B15,Parameters!T6:U96,2)</f>
        <v>0.375</v>
      </c>
      <c r="R15" s="78">
        <f>VLOOKUP(B15,Parameters!W6:X96,2)</f>
        <v>0.1</v>
      </c>
      <c r="S15" s="108"/>
      <c r="T15" s="102">
        <f t="shared" ref="T15:T78" si="10">T14 -T14*F14 - T14*J14</f>
        <v>0.88774083999999986</v>
      </c>
      <c r="V15" s="94">
        <f t="shared" ref="V15:V78" si="11">V14+T14*J14-V14*N14-V14*P14-V14*H14</f>
        <v>3.5766000000000006E-2</v>
      </c>
      <c r="X15" s="34">
        <f t="shared" ref="X15:X78" si="12">V14*L14</f>
        <v>1.5E-3</v>
      </c>
      <c r="Z15" s="94">
        <f t="shared" ref="Z15:Z78" si="13">Z14+V14*P14-Z14*R14</f>
        <v>1.125E-2</v>
      </c>
      <c r="AB15" s="94">
        <f t="shared" ref="AB15:AB78" si="14">AB14+V14*N14-AB14*R14</f>
        <v>1.125E-2</v>
      </c>
      <c r="AD15" s="110">
        <f t="shared" ref="AD15:AD78" si="15">AD14+T14*F14+V14*H14+Z14*R14 +AB14*R14</f>
        <v>5.3993159999999998E-2</v>
      </c>
      <c r="AE15" s="111"/>
      <c r="AF15" s="112">
        <f t="shared" si="8"/>
        <v>0.99999999999999978</v>
      </c>
      <c r="AG15" s="108"/>
      <c r="AH15" s="131" t="e">
        <f>(#REF!/1000000)*(1-(F15+H15))</f>
        <v>#REF!</v>
      </c>
      <c r="AJ15" s="54">
        <f t="shared" ca="1" si="0"/>
        <v>3.3875383031223762</v>
      </c>
      <c r="AL15" s="138">
        <f t="shared" ca="1" si="1"/>
        <v>1.0359488071270011</v>
      </c>
      <c r="AO15" s="135" t="e">
        <f t="shared" ca="1" si="2"/>
        <v>#REF!</v>
      </c>
      <c r="AP15" s="108"/>
      <c r="AQ15" s="31">
        <f t="shared" ca="1" si="3"/>
        <v>0.88520987671306961</v>
      </c>
      <c r="AR15" s="31"/>
      <c r="AS15" s="31">
        <f t="shared" si="9"/>
        <v>2.8612800000000008E-2</v>
      </c>
      <c r="AT15" s="31"/>
      <c r="AU15" s="31">
        <f t="shared" ca="1" si="4"/>
        <v>4.0147199708422457E-4</v>
      </c>
      <c r="AV15" s="31"/>
      <c r="AW15" s="31">
        <f t="shared" ca="1" si="5"/>
        <v>7.6545821750476258E-4</v>
      </c>
      <c r="AX15" s="31"/>
      <c r="AY15" s="31">
        <f t="shared" ca="1" si="6"/>
        <v>1.3018045774777619E-3</v>
      </c>
      <c r="AZ15" s="31"/>
      <c r="BA15" s="134">
        <f t="shared" ca="1" si="7"/>
        <v>0.86369253605913499</v>
      </c>
    </row>
    <row r="16" spans="1:53">
      <c r="A16" s="78"/>
      <c r="B16">
        <v>18</v>
      </c>
      <c r="D16" s="78">
        <v>3</v>
      </c>
      <c r="E16" s="108"/>
      <c r="F16">
        <f>VLOOKUP(B16,Parameters!E7:F97,2)</f>
        <v>2.7799999999999998E-2</v>
      </c>
      <c r="H16">
        <f>VLOOKUP(B16,Parameters!H7:I97,2)</f>
        <v>0.01</v>
      </c>
      <c r="J16">
        <f>VLOOKUP(B16,Parameters!K7:L97,2)</f>
        <v>0.03</v>
      </c>
      <c r="L16">
        <f>VLOOKUP(B16,Parameters!N7:O97,2)</f>
        <v>0.05</v>
      </c>
      <c r="N16">
        <f>VLOOKUP(B16,Parameters!T7:U97,2)</f>
        <v>0.375</v>
      </c>
      <c r="P16">
        <f>VLOOKUP(B16,Parameters!T7:U97,2)</f>
        <v>0.375</v>
      </c>
      <c r="R16" s="78">
        <f>VLOOKUP(B16,Parameters!W7:X97,2)</f>
        <v>0.1</v>
      </c>
      <c r="S16" s="108"/>
      <c r="T16" s="102">
        <f t="shared" si="10"/>
        <v>0.83642941944799987</v>
      </c>
      <c r="V16" s="94">
        <f t="shared" si="11"/>
        <v>3.52160652E-2</v>
      </c>
      <c r="X16" s="34">
        <f t="shared" si="12"/>
        <v>1.7883000000000005E-3</v>
      </c>
      <c r="Z16" s="94">
        <f t="shared" si="13"/>
        <v>2.3537250000000003E-2</v>
      </c>
      <c r="AB16" s="94">
        <f t="shared" si="14"/>
        <v>2.3537250000000003E-2</v>
      </c>
      <c r="AD16" s="110">
        <f t="shared" si="15"/>
        <v>8.1280015351999996E-2</v>
      </c>
      <c r="AE16" s="111"/>
      <c r="AF16" s="112">
        <f t="shared" si="8"/>
        <v>0.99999999999999978</v>
      </c>
      <c r="AG16" s="108"/>
      <c r="AH16" s="131" t="e">
        <f>(#REF!/1000000)*(1-(F16+H16))</f>
        <v>#REF!</v>
      </c>
      <c r="AJ16" s="54">
        <f t="shared" ca="1" si="0"/>
        <v>3.3875383031223762</v>
      </c>
      <c r="AL16" s="138">
        <f t="shared" ca="1" si="1"/>
        <v>2.0933042959147685</v>
      </c>
      <c r="AO16" s="135" t="e">
        <f t="shared" ca="1" si="2"/>
        <v>#REF!</v>
      </c>
      <c r="AP16" s="108"/>
      <c r="AQ16" s="31">
        <f t="shared" ca="1" si="3"/>
        <v>0.83404474583905419</v>
      </c>
      <c r="AR16" s="31"/>
      <c r="AS16" s="31">
        <f t="shared" si="9"/>
        <v>2.8172852160000001E-2</v>
      </c>
      <c r="AT16" s="31"/>
      <c r="AU16" s="31">
        <f t="shared" ca="1" si="4"/>
        <v>4.7863491492381263E-4</v>
      </c>
      <c r="AV16" s="31"/>
      <c r="AW16" s="31">
        <f t="shared" ca="1" si="5"/>
        <v>1.6014916826634646E-3</v>
      </c>
      <c r="AX16" s="31"/>
      <c r="AY16" s="31">
        <f t="shared" ca="1" si="6"/>
        <v>2.7236355369989738E-3</v>
      </c>
      <c r="AZ16" s="31"/>
      <c r="BA16" s="134">
        <f t="shared" ca="1" si="7"/>
        <v>0.79344736620733303</v>
      </c>
    </row>
    <row r="17" spans="1:53">
      <c r="A17" s="78"/>
      <c r="B17">
        <v>19</v>
      </c>
      <c r="D17" s="78">
        <v>4</v>
      </c>
      <c r="E17" s="108"/>
      <c r="F17">
        <f>VLOOKUP(B17,Parameters!E8:F98,2)</f>
        <v>2.7799999999999998E-2</v>
      </c>
      <c r="H17">
        <f>VLOOKUP(B17,Parameters!H8:I98,2)</f>
        <v>0.01</v>
      </c>
      <c r="J17">
        <f>VLOOKUP(B17,Parameters!K8:L98,2)</f>
        <v>0.03</v>
      </c>
      <c r="L17">
        <f>VLOOKUP(B17,Parameters!N8:O98,2)</f>
        <v>0.05</v>
      </c>
      <c r="N17">
        <f>VLOOKUP(B17,Parameters!T8:U98,2)</f>
        <v>0.375</v>
      </c>
      <c r="P17">
        <f>VLOOKUP(B17,Parameters!T8:U98,2)</f>
        <v>0.375</v>
      </c>
      <c r="R17" s="78">
        <f>VLOOKUP(B17,Parameters!W8:X98,2)</f>
        <v>0.1</v>
      </c>
      <c r="S17" s="108"/>
      <c r="T17" s="102">
        <f t="shared" si="10"/>
        <v>0.78808379900390546</v>
      </c>
      <c r="V17" s="94">
        <f t="shared" si="11"/>
        <v>3.3544738231439997E-2</v>
      </c>
      <c r="X17" s="34">
        <f t="shared" si="12"/>
        <v>1.7608032600000001E-3</v>
      </c>
      <c r="Z17" s="94">
        <f t="shared" si="13"/>
        <v>3.4389549450000001E-2</v>
      </c>
      <c r="AB17" s="94">
        <f t="shared" si="14"/>
        <v>3.4389549450000001E-2</v>
      </c>
      <c r="AD17" s="110">
        <f t="shared" si="15"/>
        <v>0.10959236386465439</v>
      </c>
      <c r="AE17" s="111"/>
      <c r="AF17" s="112">
        <f t="shared" si="8"/>
        <v>0.99999999999999989</v>
      </c>
      <c r="AG17" s="108"/>
      <c r="AH17" s="131" t="e">
        <f>(#REF!/1000000)*(1-(F17+H17))</f>
        <v>#REF!</v>
      </c>
      <c r="AJ17" s="54">
        <f t="shared" ca="1" si="0"/>
        <v>3.3875383031223762</v>
      </c>
      <c r="AL17" s="138">
        <f t="shared" ca="1" si="1"/>
        <v>3.0116905736444153</v>
      </c>
      <c r="AO17" s="135" t="e">
        <f t="shared" ca="1" si="2"/>
        <v>#REF!</v>
      </c>
      <c r="AP17" s="108"/>
      <c r="AQ17" s="31">
        <f t="shared" ca="1" si="3"/>
        <v>0.78583695952955679</v>
      </c>
      <c r="AR17" s="31"/>
      <c r="AS17" s="31">
        <f t="shared" si="9"/>
        <v>2.6835790585151998E-2</v>
      </c>
      <c r="AT17" s="31"/>
      <c r="AU17" s="31">
        <f t="shared" ca="1" si="4"/>
        <v>4.7127546750974208E-4</v>
      </c>
      <c r="AV17" s="31"/>
      <c r="AW17" s="31">
        <f t="shared" ca="1" si="5"/>
        <v>2.3398900642479016E-3</v>
      </c>
      <c r="AX17" s="31"/>
      <c r="AY17" s="31">
        <f t="shared" ca="1" si="6"/>
        <v>3.9794198125695868E-3</v>
      </c>
      <c r="AZ17" s="31"/>
      <c r="BA17" s="134">
        <f t="shared" ca="1" si="7"/>
        <v>0.72808255979714276</v>
      </c>
    </row>
    <row r="18" spans="1:53">
      <c r="A18" s="78"/>
      <c r="B18">
        <v>20</v>
      </c>
      <c r="D18" s="78">
        <v>5</v>
      </c>
      <c r="E18" s="108"/>
      <c r="F18">
        <f>VLOOKUP(B18,Parameters!E9:F99,2)</f>
        <v>3.6200000000000003E-2</v>
      </c>
      <c r="H18">
        <f>VLOOKUP(B18,Parameters!H9:I99,2)</f>
        <v>0.01</v>
      </c>
      <c r="J18">
        <f>VLOOKUP(B18,Parameters!K9:L99,2)</f>
        <v>0.03</v>
      </c>
      <c r="L18">
        <f>VLOOKUP(B18,Parameters!N9:O99,2)</f>
        <v>5.5E-2</v>
      </c>
      <c r="N18">
        <f>VLOOKUP(B18,Parameters!T9:U99,2)</f>
        <v>0.375</v>
      </c>
      <c r="P18">
        <f>VLOOKUP(B18,Parameters!T9:U99,2)</f>
        <v>0.375</v>
      </c>
      <c r="R18" s="78">
        <f>VLOOKUP(B18,Parameters!W9:X99,2)</f>
        <v>0.1</v>
      </c>
      <c r="S18" s="108"/>
      <c r="T18" s="102">
        <f t="shared" si="10"/>
        <v>0.74253255542147967</v>
      </c>
      <c r="V18" s="94">
        <f t="shared" si="11"/>
        <v>3.1693251145662765E-2</v>
      </c>
      <c r="X18" s="34">
        <f t="shared" si="12"/>
        <v>1.6772369115719999E-3</v>
      </c>
      <c r="Z18" s="94">
        <f t="shared" si="13"/>
        <v>4.3529871341789997E-2</v>
      </c>
      <c r="AB18" s="94">
        <f t="shared" si="14"/>
        <v>4.3529871341789997E-2</v>
      </c>
      <c r="AD18" s="110">
        <f t="shared" si="15"/>
        <v>0.13871445074927732</v>
      </c>
      <c r="AE18" s="111"/>
      <c r="AF18" s="112">
        <f t="shared" si="8"/>
        <v>0.99999999999999978</v>
      </c>
      <c r="AG18" s="108"/>
      <c r="AH18" s="131" t="e">
        <f>(#REF!/1000000)*(1-(F18+H18))</f>
        <v>#REF!</v>
      </c>
      <c r="AJ18" s="54">
        <f t="shared" ca="1" si="0"/>
        <v>3.4015613767128268</v>
      </c>
      <c r="AL18" s="138">
        <f t="shared" ca="1" si="1"/>
        <v>3.7818830661967175</v>
      </c>
      <c r="AO18" s="135" t="e">
        <f t="shared" ca="1" si="2"/>
        <v>#REF!</v>
      </c>
      <c r="AP18" s="108"/>
      <c r="AQ18" s="31">
        <f t="shared" ca="1" si="3"/>
        <v>0.74041558326874835</v>
      </c>
      <c r="AR18" s="31"/>
      <c r="AS18" s="31">
        <f t="shared" si="9"/>
        <v>2.5354600916530214E-2</v>
      </c>
      <c r="AT18" s="31"/>
      <c r="AU18" s="31">
        <f t="shared" ca="1" si="4"/>
        <v>4.4890910164812513E-4</v>
      </c>
      <c r="AV18" s="31"/>
      <c r="AW18" s="31">
        <f t="shared" ca="1" si="5"/>
        <v>2.9618042422665087E-3</v>
      </c>
      <c r="AX18" s="31"/>
      <c r="AY18" s="31">
        <f t="shared" ca="1" si="6"/>
        <v>5.037100957312024E-3</v>
      </c>
      <c r="AZ18" s="31"/>
      <c r="BA18" s="134">
        <f t="shared" ca="1" si="7"/>
        <v>0.66784724652278482</v>
      </c>
    </row>
    <row r="19" spans="1:53">
      <c r="A19" s="78"/>
      <c r="B19">
        <v>21</v>
      </c>
      <c r="D19" s="78">
        <v>6</v>
      </c>
      <c r="E19" s="108"/>
      <c r="F19">
        <f>VLOOKUP(B19,Parameters!E10:F100,2)</f>
        <v>3.6200000000000003E-2</v>
      </c>
      <c r="H19">
        <f>VLOOKUP(B19,Parameters!H10:I100,2)</f>
        <v>0.01</v>
      </c>
      <c r="J19">
        <f>VLOOKUP(B19,Parameters!K10:L100,2)</f>
        <v>0.03</v>
      </c>
      <c r="L19">
        <f>VLOOKUP(B19,Parameters!N10:O100,2)</f>
        <v>5.5E-2</v>
      </c>
      <c r="N19">
        <f>VLOOKUP(B19,Parameters!T10:U100,2)</f>
        <v>0.375</v>
      </c>
      <c r="P19">
        <f>VLOOKUP(B19,Parameters!T10:U100,2)</f>
        <v>0.375</v>
      </c>
      <c r="R19" s="78">
        <f>VLOOKUP(B19,Parameters!W10:X100,2)</f>
        <v>0.1</v>
      </c>
      <c r="S19" s="108"/>
      <c r="T19" s="102">
        <f t="shared" si="10"/>
        <v>0.6933769002525777</v>
      </c>
      <c r="V19" s="94">
        <f t="shared" si="11"/>
        <v>2.9882356937603455E-2</v>
      </c>
      <c r="X19" s="34">
        <f t="shared" si="12"/>
        <v>1.743128813011452E-3</v>
      </c>
      <c r="Z19" s="94">
        <f t="shared" si="13"/>
        <v>5.1061853387234533E-2</v>
      </c>
      <c r="AB19" s="94">
        <f t="shared" si="14"/>
        <v>5.1061853387234533E-2</v>
      </c>
      <c r="AD19" s="110">
        <f t="shared" si="15"/>
        <v>0.17461703603534953</v>
      </c>
      <c r="AE19" s="111"/>
      <c r="AF19" s="112">
        <f t="shared" si="8"/>
        <v>0.99999999999999978</v>
      </c>
      <c r="AG19" s="108"/>
      <c r="AH19" s="131" t="e">
        <f>(#REF!/1000000)*(1-(F19+H19))</f>
        <v>#REF!</v>
      </c>
      <c r="AJ19" s="54">
        <f t="shared" ca="1" si="0"/>
        <v>3.4015613767128268</v>
      </c>
      <c r="AL19" s="138">
        <f t="shared" ca="1" si="1"/>
        <v>4.423949012388694</v>
      </c>
      <c r="AO19" s="135" t="e">
        <f t="shared" ca="1" si="2"/>
        <v>#REF!</v>
      </c>
      <c r="AP19" s="108"/>
      <c r="AQ19" s="31">
        <f t="shared" ca="1" si="3"/>
        <v>0.6914000716563572</v>
      </c>
      <c r="AR19" s="31"/>
      <c r="AS19" s="31">
        <f t="shared" si="9"/>
        <v>2.3905885550082766E-2</v>
      </c>
      <c r="AT19" s="31"/>
      <c r="AU19" s="31">
        <f t="shared" ca="1" si="4"/>
        <v>4.6654493715650761E-4</v>
      </c>
      <c r="AV19" s="31"/>
      <c r="AW19" s="31">
        <f t="shared" ca="1" si="5"/>
        <v>3.4742858023361842E-3</v>
      </c>
      <c r="AX19" s="31"/>
      <c r="AY19" s="31">
        <f t="shared" ca="1" si="6"/>
        <v>5.9086715088000254E-3</v>
      </c>
      <c r="AZ19" s="31"/>
      <c r="BA19" s="134">
        <f t="shared" ca="1" si="7"/>
        <v>0.60730628094154071</v>
      </c>
    </row>
    <row r="20" spans="1:53">
      <c r="A20" s="78"/>
      <c r="B20">
        <v>22</v>
      </c>
      <c r="D20" s="78">
        <v>7</v>
      </c>
      <c r="E20" s="108"/>
      <c r="F20">
        <f>VLOOKUP(B20,Parameters!E11:F101,2)</f>
        <v>3.6200000000000003E-2</v>
      </c>
      <c r="H20">
        <f>VLOOKUP(B20,Parameters!H11:I101,2)</f>
        <v>0.01</v>
      </c>
      <c r="J20">
        <f>VLOOKUP(B20,Parameters!K11:L101,2)</f>
        <v>0.03</v>
      </c>
      <c r="L20">
        <f>VLOOKUP(B20,Parameters!N11:O101,2)</f>
        <v>5.5E-2</v>
      </c>
      <c r="N20">
        <f>VLOOKUP(B20,Parameters!T11:U101,2)</f>
        <v>0.375</v>
      </c>
      <c r="P20">
        <f>VLOOKUP(B20,Parameters!T11:U101,2)</f>
        <v>0.375</v>
      </c>
      <c r="R20" s="78">
        <f>VLOOKUP(B20,Parameters!W11:X101,2)</f>
        <v>0.1</v>
      </c>
      <c r="S20" s="108"/>
      <c r="T20" s="102">
        <f t="shared" si="10"/>
        <v>0.64747534945585705</v>
      </c>
      <c r="V20" s="94">
        <f t="shared" si="11"/>
        <v>2.7973072672602156E-2</v>
      </c>
      <c r="X20" s="34">
        <f t="shared" si="12"/>
        <v>1.64352963156819E-3</v>
      </c>
      <c r="Z20" s="94">
        <f t="shared" si="13"/>
        <v>5.7161551900112378E-2</v>
      </c>
      <c r="AB20" s="94">
        <f t="shared" si="14"/>
        <v>5.7161551900112378E-2</v>
      </c>
      <c r="AD20" s="110">
        <f t="shared" si="15"/>
        <v>0.21022847407131576</v>
      </c>
      <c r="AE20" s="111"/>
      <c r="AF20" s="112">
        <f t="shared" si="8"/>
        <v>0.99999999999999978</v>
      </c>
      <c r="AG20" s="108"/>
      <c r="AH20" s="131" t="e">
        <f>(#REF!/1000000)*(1-(F20+H20))</f>
        <v>#REF!</v>
      </c>
      <c r="AJ20" s="54">
        <f t="shared" ca="1" si="0"/>
        <v>3.4015613767128268</v>
      </c>
      <c r="AL20" s="138">
        <f t="shared" ca="1" si="1"/>
        <v>4.9355227961503623</v>
      </c>
      <c r="AO20" s="135" t="e">
        <f t="shared" ca="1" si="2"/>
        <v>#REF!</v>
      </c>
      <c r="AP20" s="108"/>
      <c r="AQ20" s="31">
        <f t="shared" ca="1" si="3"/>
        <v>0.64562938691270633</v>
      </c>
      <c r="AR20" s="31"/>
      <c r="AS20" s="31">
        <f t="shared" si="9"/>
        <v>2.2378458138081727E-2</v>
      </c>
      <c r="AT20" s="31"/>
      <c r="AU20" s="31">
        <f t="shared" ca="1" si="4"/>
        <v>4.3988741563518737E-4</v>
      </c>
      <c r="AV20" s="31"/>
      <c r="AW20" s="31">
        <f t="shared" ca="1" si="5"/>
        <v>3.8893137446458664E-3</v>
      </c>
      <c r="AX20" s="31"/>
      <c r="AY20" s="31">
        <f t="shared" ca="1" si="6"/>
        <v>6.6145039928265743E-3</v>
      </c>
      <c r="AZ20" s="31"/>
      <c r="BA20" s="134">
        <f t="shared" ca="1" si="7"/>
        <v>0.55204974208419844</v>
      </c>
    </row>
    <row r="21" spans="1:53">
      <c r="A21" s="78"/>
      <c r="B21">
        <v>23</v>
      </c>
      <c r="D21" s="78">
        <v>8</v>
      </c>
      <c r="E21" s="108"/>
      <c r="F21">
        <f>VLOOKUP(B21,Parameters!E12:F102,2)</f>
        <v>3.6200000000000003E-2</v>
      </c>
      <c r="H21">
        <f>VLOOKUP(B21,Parameters!H12:I102,2)</f>
        <v>0.01</v>
      </c>
      <c r="J21">
        <f>VLOOKUP(B21,Parameters!K12:L102,2)</f>
        <v>0.03</v>
      </c>
      <c r="L21">
        <f>VLOOKUP(B21,Parameters!N12:O102,2)</f>
        <v>5.5E-2</v>
      </c>
      <c r="N21">
        <f>VLOOKUP(B21,Parameters!T12:U102,2)</f>
        <v>0.375</v>
      </c>
      <c r="P21">
        <f>VLOOKUP(B21,Parameters!T12:U102,2)</f>
        <v>0.375</v>
      </c>
      <c r="R21" s="78">
        <f>VLOOKUP(B21,Parameters!W12:X102,2)</f>
        <v>0.1</v>
      </c>
      <c r="S21" s="108"/>
      <c r="T21" s="102">
        <f t="shared" si="10"/>
        <v>0.60461248132187928</v>
      </c>
      <c r="V21" s="94">
        <f t="shared" si="11"/>
        <v>2.613779792510023E-2</v>
      </c>
      <c r="X21" s="34">
        <f t="shared" si="12"/>
        <v>1.5385189969931185E-3</v>
      </c>
      <c r="Z21" s="94">
        <f t="shared" si="13"/>
        <v>6.1935298962326947E-2</v>
      </c>
      <c r="AB21" s="94">
        <f t="shared" si="14"/>
        <v>6.1935298962326947E-2</v>
      </c>
      <c r="AD21" s="110">
        <f t="shared" si="15"/>
        <v>0.24537912282836627</v>
      </c>
      <c r="AE21" s="111"/>
      <c r="AF21" s="112">
        <f t="shared" si="8"/>
        <v>0.99999999999999967</v>
      </c>
      <c r="AG21" s="108"/>
      <c r="AH21" s="131" t="e">
        <f>(#REF!/1000000)*(1-(F21+H21))</f>
        <v>#REF!</v>
      </c>
      <c r="AJ21" s="54">
        <f t="shared" ca="1" si="0"/>
        <v>3.4015613767128268</v>
      </c>
      <c r="AL21" s="138">
        <f t="shared" ca="1" si="1"/>
        <v>5.3344051794077441</v>
      </c>
      <c r="AO21" s="135" t="e">
        <f t="shared" ca="1" si="2"/>
        <v>#REF!</v>
      </c>
      <c r="AP21" s="108"/>
      <c r="AQ21" s="31">
        <f t="shared" ca="1" si="3"/>
        <v>0.60288872149908512</v>
      </c>
      <c r="AR21" s="31"/>
      <c r="AS21" s="31">
        <f t="shared" si="9"/>
        <v>2.0910238340080184E-2</v>
      </c>
      <c r="AT21" s="31"/>
      <c r="AU21" s="31">
        <f t="shared" ca="1" si="4"/>
        <v>4.1178152951656358E-4</v>
      </c>
      <c r="AV21" s="31"/>
      <c r="AW21" s="31">
        <f t="shared" ca="1" si="5"/>
        <v>4.2141229817179871E-3</v>
      </c>
      <c r="AX21" s="31"/>
      <c r="AY21" s="31">
        <f t="shared" ca="1" si="6"/>
        <v>7.1669027285876357E-3</v>
      </c>
      <c r="AZ21" s="31"/>
      <c r="BA21" s="134">
        <f t="shared" ca="1" si="7"/>
        <v>0.50174201018606501</v>
      </c>
    </row>
    <row r="22" spans="1:53">
      <c r="A22" s="78"/>
      <c r="B22">
        <v>24</v>
      </c>
      <c r="D22" s="78">
        <v>9</v>
      </c>
      <c r="E22" s="108"/>
      <c r="F22">
        <f>VLOOKUP(B22,Parameters!E13:F103,2)</f>
        <v>3.6200000000000003E-2</v>
      </c>
      <c r="H22">
        <f>VLOOKUP(B22,Parameters!H13:I103,2)</f>
        <v>0.01</v>
      </c>
      <c r="J22">
        <f>VLOOKUP(B22,Parameters!K13:L103,2)</f>
        <v>0.03</v>
      </c>
      <c r="L22">
        <f>VLOOKUP(B22,Parameters!N13:O103,2)</f>
        <v>5.5E-2</v>
      </c>
      <c r="N22">
        <f>VLOOKUP(B22,Parameters!T13:U103,2)</f>
        <v>0.375</v>
      </c>
      <c r="P22">
        <f>VLOOKUP(B22,Parameters!T13:U103,2)</f>
        <v>0.375</v>
      </c>
      <c r="R22" s="78">
        <f>VLOOKUP(B22,Parameters!W13:X103,2)</f>
        <v>0.1</v>
      </c>
      <c r="S22" s="108"/>
      <c r="T22" s="102">
        <f t="shared" si="10"/>
        <v>0.56458713505837088</v>
      </c>
      <c r="V22" s="94">
        <f t="shared" si="11"/>
        <v>2.4411445941680432E-2</v>
      </c>
      <c r="X22" s="34">
        <f t="shared" si="12"/>
        <v>1.4375788858805127E-3</v>
      </c>
      <c r="Z22" s="94">
        <f t="shared" si="13"/>
        <v>6.5543443288006847E-2</v>
      </c>
      <c r="AB22" s="94">
        <f t="shared" si="14"/>
        <v>6.5543443288006847E-2</v>
      </c>
      <c r="AD22" s="110">
        <f t="shared" si="15"/>
        <v>0.27991453242393466</v>
      </c>
      <c r="AE22" s="111"/>
      <c r="AF22" s="112">
        <f t="shared" si="8"/>
        <v>0.99999999999999978</v>
      </c>
      <c r="AG22" s="108"/>
      <c r="AH22" s="131" t="e">
        <f>(#REF!/1000000)*(1-(F22+H22))</f>
        <v>#REF!</v>
      </c>
      <c r="AJ22" s="54">
        <f t="shared" ca="1" si="0"/>
        <v>3.4015613767128268</v>
      </c>
      <c r="AL22" s="138">
        <f t="shared" ca="1" si="1"/>
        <v>5.634708638813775</v>
      </c>
      <c r="AO22" s="135" t="e">
        <f t="shared" ca="1" si="2"/>
        <v>#REF!</v>
      </c>
      <c r="AP22" s="108"/>
      <c r="AQ22" s="31">
        <f t="shared" ca="1" si="3"/>
        <v>0.56297748813584569</v>
      </c>
      <c r="AR22" s="31"/>
      <c r="AS22" s="31">
        <f t="shared" si="9"/>
        <v>1.9529156753344348E-2</v>
      </c>
      <c r="AT22" s="31"/>
      <c r="AU22" s="31">
        <f t="shared" ca="1" si="4"/>
        <v>3.8476511085370932E-4</v>
      </c>
      <c r="AV22" s="31"/>
      <c r="AW22" s="31">
        <f t="shared" ca="1" si="5"/>
        <v>4.4596237571877528E-3</v>
      </c>
      <c r="AX22" s="31"/>
      <c r="AY22" s="31">
        <f t="shared" ca="1" si="6"/>
        <v>7.5844226218650139E-3</v>
      </c>
      <c r="AZ22" s="31"/>
      <c r="BA22" s="134">
        <f t="shared" ca="1" si="7"/>
        <v>0.45596848843343157</v>
      </c>
    </row>
    <row r="23" spans="1:53">
      <c r="A23" s="78"/>
      <c r="B23">
        <v>25</v>
      </c>
      <c r="D23" s="78">
        <v>10</v>
      </c>
      <c r="E23" s="108"/>
      <c r="F23">
        <f>VLOOKUP(B23,Parameters!E14:F104,2)</f>
        <v>4.9799999999999997E-2</v>
      </c>
      <c r="H23">
        <f>VLOOKUP(B23,Parameters!H14:I104,2)</f>
        <v>0.01</v>
      </c>
      <c r="J23">
        <f>VLOOKUP(B23,Parameters!K14:L104,2)</f>
        <v>0.03</v>
      </c>
      <c r="L23">
        <f>VLOOKUP(B23,Parameters!N14:O104,2)</f>
        <v>5.5E-2</v>
      </c>
      <c r="N23">
        <f>VLOOKUP(B23,Parameters!T14:U104,2)</f>
        <v>0.375</v>
      </c>
      <c r="P23">
        <f>VLOOKUP(B23,Parameters!T14:U104,2)</f>
        <v>0.375</v>
      </c>
      <c r="R23" s="78">
        <f>VLOOKUP(B23,Parameters!W14:X104,2)</f>
        <v>0.1</v>
      </c>
      <c r="S23" s="108"/>
      <c r="T23" s="102">
        <f t="shared" si="10"/>
        <v>0.52721146671750674</v>
      </c>
      <c r="V23" s="94">
        <f t="shared" si="11"/>
        <v>2.2796361077754426E-2</v>
      </c>
      <c r="X23" s="34">
        <f t="shared" si="12"/>
        <v>1.3426295267924238E-3</v>
      </c>
      <c r="Z23" s="94">
        <f t="shared" si="13"/>
        <v>6.8143391187336325E-2</v>
      </c>
      <c r="AB23" s="94">
        <f t="shared" si="14"/>
        <v>6.8143391187336325E-2</v>
      </c>
      <c r="AD23" s="110">
        <f t="shared" si="15"/>
        <v>0.31370538983006591</v>
      </c>
      <c r="AE23" s="111"/>
      <c r="AF23" s="112">
        <f t="shared" si="8"/>
        <v>0.99999999999999978</v>
      </c>
      <c r="AG23" s="108"/>
      <c r="AH23" s="131" t="e">
        <f>(#REF!/1000000)*(1-(F23+H23))</f>
        <v>#REF!</v>
      </c>
      <c r="AJ23" s="54">
        <f t="shared" ca="1" si="0"/>
        <v>3.4015613767128268</v>
      </c>
      <c r="AL23" s="138">
        <f t="shared" ca="1" si="1"/>
        <v>5.8498811383764124</v>
      </c>
      <c r="AO23" s="135" t="e">
        <f t="shared" ca="1" si="2"/>
        <v>#REF!</v>
      </c>
      <c r="AP23" s="108"/>
      <c r="AQ23" s="31">
        <f t="shared" ca="1" si="3"/>
        <v>0.52570837842125273</v>
      </c>
      <c r="AR23" s="31"/>
      <c r="AS23" s="31">
        <f t="shared" si="9"/>
        <v>1.823708886220354E-2</v>
      </c>
      <c r="AT23" s="31"/>
      <c r="AU23" s="31">
        <f t="shared" ca="1" si="4"/>
        <v>3.5935210497706785E-4</v>
      </c>
      <c r="AV23" s="31"/>
      <c r="AW23" s="31">
        <f t="shared" ca="1" si="5"/>
        <v>4.6365261113767301E-3</v>
      </c>
      <c r="AX23" s="31"/>
      <c r="AY23" s="31">
        <f t="shared" ca="1" si="6"/>
        <v>7.8852780953361963E-3</v>
      </c>
      <c r="AZ23" s="31"/>
      <c r="BA23" s="134">
        <f t="shared" ca="1" si="7"/>
        <v>0.41433130226963766</v>
      </c>
    </row>
    <row r="24" spans="1:53">
      <c r="A24" s="78"/>
      <c r="B24">
        <v>26</v>
      </c>
      <c r="D24" s="78">
        <v>11</v>
      </c>
      <c r="E24" s="108"/>
      <c r="F24">
        <f>VLOOKUP(B24,Parameters!E15:F105,2)</f>
        <v>4.9799999999999997E-2</v>
      </c>
      <c r="H24">
        <f>VLOOKUP(B24,Parameters!H15:I105,2)</f>
        <v>0.01</v>
      </c>
      <c r="J24">
        <f>VLOOKUP(B24,Parameters!K15:L105,2)</f>
        <v>0.03</v>
      </c>
      <c r="L24">
        <f>VLOOKUP(B24,Parameters!N15:O105,2)</f>
        <v>5.5E-2</v>
      </c>
      <c r="N24">
        <f>VLOOKUP(B24,Parameters!T15:U105,2)</f>
        <v>0.375</v>
      </c>
      <c r="P24">
        <f>VLOOKUP(B24,Parameters!T15:U105,2)</f>
        <v>0.375</v>
      </c>
      <c r="R24" s="78">
        <f>VLOOKUP(B24,Parameters!W15:X105,2)</f>
        <v>0.1</v>
      </c>
      <c r="S24" s="108"/>
      <c r="T24" s="102">
        <f t="shared" si="10"/>
        <v>0.48513999167344968</v>
      </c>
      <c r="V24" s="94">
        <f t="shared" si="11"/>
        <v>2.128747066018627E-2</v>
      </c>
      <c r="X24" s="34">
        <f t="shared" si="12"/>
        <v>1.2537998592764934E-3</v>
      </c>
      <c r="Z24" s="94">
        <f t="shared" si="13"/>
        <v>6.9877687472760602E-2</v>
      </c>
      <c r="AB24" s="94">
        <f t="shared" si="14"/>
        <v>6.9877687472760602E-2</v>
      </c>
      <c r="AD24" s="110">
        <f t="shared" si="15"/>
        <v>0.35381716272084257</v>
      </c>
      <c r="AE24" s="111"/>
      <c r="AF24" s="112">
        <f t="shared" si="8"/>
        <v>0.99999999999999978</v>
      </c>
      <c r="AG24" s="108"/>
      <c r="AH24" s="131" t="e">
        <f>(#REF!/1000000)*(1-(F24+H24))</f>
        <v>#REF!</v>
      </c>
      <c r="AJ24" s="54">
        <f t="shared" ca="1" si="0"/>
        <v>3.4015613767128268</v>
      </c>
      <c r="AL24" s="138">
        <f t="shared" ca="1" si="1"/>
        <v>5.9920125742982098</v>
      </c>
      <c r="AO24" s="135" t="e">
        <f t="shared" ca="1" si="2"/>
        <v>#REF!</v>
      </c>
      <c r="AP24" s="108"/>
      <c r="AQ24" s="31">
        <f t="shared" ca="1" si="3"/>
        <v>0.48375684982323675</v>
      </c>
      <c r="AR24" s="31"/>
      <c r="AS24" s="31">
        <f t="shared" si="9"/>
        <v>1.7029976528149016E-2</v>
      </c>
      <c r="AT24" s="31"/>
      <c r="AU24" s="31">
        <f t="shared" ca="1" si="4"/>
        <v>3.3557702229843566E-4</v>
      </c>
      <c r="AV24" s="31"/>
      <c r="AW24" s="31">
        <f t="shared" ca="1" si="5"/>
        <v>4.754528897444819E-3</v>
      </c>
      <c r="AX24" s="31"/>
      <c r="AY24" s="31">
        <f t="shared" ca="1" si="6"/>
        <v>8.0859638591644634E-3</v>
      </c>
      <c r="AZ24" s="31"/>
      <c r="BA24" s="134">
        <f t="shared" ca="1" si="7"/>
        <v>0.37129773154684365</v>
      </c>
    </row>
    <row r="25" spans="1:53">
      <c r="A25" s="78"/>
      <c r="B25">
        <v>27</v>
      </c>
      <c r="D25" s="78">
        <v>12</v>
      </c>
      <c r="E25" s="108"/>
      <c r="F25">
        <f>VLOOKUP(B25,Parameters!E16:F106,2)</f>
        <v>4.9799999999999997E-2</v>
      </c>
      <c r="H25">
        <f>VLOOKUP(B25,Parameters!H16:I106,2)</f>
        <v>0.01</v>
      </c>
      <c r="J25">
        <f>VLOOKUP(B25,Parameters!K16:L106,2)</f>
        <v>0.03</v>
      </c>
      <c r="L25">
        <f>VLOOKUP(B25,Parameters!N16:O106,2)</f>
        <v>5.5E-2</v>
      </c>
      <c r="N25">
        <f>VLOOKUP(B25,Parameters!T16:U106,2)</f>
        <v>0.375</v>
      </c>
      <c r="P25">
        <f>VLOOKUP(B25,Parameters!T16:U106,2)</f>
        <v>0.375</v>
      </c>
      <c r="R25" s="78">
        <f>VLOOKUP(B25,Parameters!W16:X106,2)</f>
        <v>0.1</v>
      </c>
      <c r="S25" s="108"/>
      <c r="T25" s="102">
        <f t="shared" si="10"/>
        <v>0.4464258203379084</v>
      </c>
      <c r="V25" s="94">
        <f t="shared" si="11"/>
        <v>1.9663192708648192E-2</v>
      </c>
      <c r="X25" s="34">
        <f t="shared" si="12"/>
        <v>1.1708108863102448E-3</v>
      </c>
      <c r="Z25" s="94">
        <f t="shared" si="13"/>
        <v>7.0872720223054395E-2</v>
      </c>
      <c r="AB25" s="94">
        <f t="shared" si="14"/>
        <v>7.0872720223054395E-2</v>
      </c>
      <c r="AD25" s="110">
        <f t="shared" si="15"/>
        <v>0.39216554650733437</v>
      </c>
      <c r="AE25" s="111"/>
      <c r="AF25" s="112">
        <f t="shared" si="8"/>
        <v>0.99999999999999967</v>
      </c>
      <c r="AG25" s="108"/>
      <c r="AH25" s="131" t="e">
        <f>(#REF!/1000000)*(1-(F25+H25))</f>
        <v>#REF!</v>
      </c>
      <c r="AJ25" s="54">
        <f t="shared" ca="1" si="0"/>
        <v>3.4015613767128268</v>
      </c>
      <c r="AL25" s="138">
        <f t="shared" ca="1" si="1"/>
        <v>6.0718009229078529</v>
      </c>
      <c r="AO25" s="135" t="e">
        <f t="shared" ca="1" si="2"/>
        <v>#REF!</v>
      </c>
      <c r="AP25" s="108"/>
      <c r="AQ25" s="31">
        <f t="shared" ca="1" si="3"/>
        <v>0.4451530532073425</v>
      </c>
      <c r="AR25" s="31"/>
      <c r="AS25" s="31">
        <f t="shared" si="9"/>
        <v>1.5730554166918553E-2</v>
      </c>
      <c r="AT25" s="31"/>
      <c r="AU25" s="31">
        <f t="shared" ca="1" si="4"/>
        <v>3.133651898232833E-4</v>
      </c>
      <c r="AV25" s="31"/>
      <c r="AW25" s="31">
        <f t="shared" ca="1" si="5"/>
        <v>4.8222316525913739E-3</v>
      </c>
      <c r="AX25" s="31"/>
      <c r="AY25" s="31">
        <f t="shared" ca="1" si="6"/>
        <v>8.2011050315264865E-3</v>
      </c>
      <c r="AZ25" s="31"/>
      <c r="BA25" s="134">
        <f t="shared" ca="1" si="7"/>
        <v>0.33260858368557877</v>
      </c>
    </row>
    <row r="26" spans="1:53">
      <c r="A26" s="78"/>
      <c r="B26">
        <v>28</v>
      </c>
      <c r="D26" s="78">
        <v>13</v>
      </c>
      <c r="E26" s="108"/>
      <c r="F26">
        <f>VLOOKUP(B26,Parameters!E17:F107,2)</f>
        <v>4.9799999999999997E-2</v>
      </c>
      <c r="H26">
        <f>VLOOKUP(B26,Parameters!H17:I107,2)</f>
        <v>0.01</v>
      </c>
      <c r="J26">
        <f>VLOOKUP(B26,Parameters!K17:L107,2)</f>
        <v>0.03</v>
      </c>
      <c r="L26">
        <f>VLOOKUP(B26,Parameters!N17:O107,2)</f>
        <v>5.5E-2</v>
      </c>
      <c r="N26">
        <f>VLOOKUP(B26,Parameters!T17:U107,2)</f>
        <v>0.375</v>
      </c>
      <c r="P26">
        <f>VLOOKUP(B26,Parameters!T17:U107,2)</f>
        <v>0.375</v>
      </c>
      <c r="R26" s="78">
        <f>VLOOKUP(B26,Parameters!W17:X107,2)</f>
        <v>0.1</v>
      </c>
      <c r="S26" s="108"/>
      <c r="T26" s="102">
        <f t="shared" si="10"/>
        <v>0.41080103987494326</v>
      </c>
      <c r="V26" s="94">
        <f t="shared" si="11"/>
        <v>1.8111940860212814E-2</v>
      </c>
      <c r="X26" s="34">
        <f t="shared" si="12"/>
        <v>1.0814755989756505E-3</v>
      </c>
      <c r="Z26" s="94">
        <f t="shared" si="13"/>
        <v>7.1159145466492019E-2</v>
      </c>
      <c r="AB26" s="94">
        <f t="shared" si="14"/>
        <v>7.1159145466492019E-2</v>
      </c>
      <c r="AD26" s="110">
        <f t="shared" si="15"/>
        <v>0.42876872833185947</v>
      </c>
      <c r="AE26" s="111"/>
      <c r="AF26" s="112">
        <f t="shared" si="8"/>
        <v>0.99999999999999956</v>
      </c>
      <c r="AG26" s="108"/>
      <c r="AH26" s="131" t="e">
        <f>(#REF!/1000000)*(1-(F26+H26))</f>
        <v>#REF!</v>
      </c>
      <c r="AJ26" s="54">
        <f t="shared" ca="1" si="0"/>
        <v>3.4015613767128268</v>
      </c>
      <c r="AL26" s="138">
        <f t="shared" ca="1" si="1"/>
        <v>6.0911757421877706</v>
      </c>
      <c r="AO26" s="135" t="e">
        <f t="shared" ca="1" si="2"/>
        <v>#REF!</v>
      </c>
      <c r="AP26" s="108"/>
      <c r="AQ26" s="31">
        <f t="shared" ca="1" si="3"/>
        <v>0.40962983956139648</v>
      </c>
      <c r="AR26" s="31"/>
      <c r="AS26" s="31">
        <f t="shared" si="9"/>
        <v>1.4489552688170253E-2</v>
      </c>
      <c r="AT26" s="31"/>
      <c r="AU26" s="31">
        <f t="shared" ca="1" si="4"/>
        <v>2.8945477901240821E-4</v>
      </c>
      <c r="AV26" s="31"/>
      <c r="AW26" s="31">
        <f t="shared" ca="1" si="5"/>
        <v>4.8417202353727195E-3</v>
      </c>
      <c r="AX26" s="31"/>
      <c r="AY26" s="31">
        <f t="shared" ca="1" si="6"/>
        <v>8.2342490042386883E-3</v>
      </c>
      <c r="AZ26" s="31"/>
      <c r="BA26" s="134">
        <f t="shared" ca="1" si="7"/>
        <v>0.29790587186449363</v>
      </c>
    </row>
    <row r="27" spans="1:53">
      <c r="A27" s="78"/>
      <c r="B27">
        <v>29</v>
      </c>
      <c r="D27" s="78">
        <v>14</v>
      </c>
      <c r="E27" s="108"/>
      <c r="F27">
        <f>VLOOKUP(B27,Parameters!E18:F108,2)</f>
        <v>4.9799999999999997E-2</v>
      </c>
      <c r="H27">
        <f>VLOOKUP(B27,Parameters!H18:I108,2)</f>
        <v>0.01</v>
      </c>
      <c r="J27">
        <f>VLOOKUP(B27,Parameters!K18:L108,2)</f>
        <v>0.03</v>
      </c>
      <c r="L27">
        <f>VLOOKUP(B27,Parameters!N18:O108,2)</f>
        <v>5.5E-2</v>
      </c>
      <c r="N27">
        <f>VLOOKUP(B27,Parameters!T18:U108,2)</f>
        <v>0.375</v>
      </c>
      <c r="P27">
        <f>VLOOKUP(B27,Parameters!T18:U108,2)</f>
        <v>0.375</v>
      </c>
      <c r="R27" s="78">
        <f>VLOOKUP(B27,Parameters!W18:X108,2)</f>
        <v>0.1</v>
      </c>
      <c r="S27" s="108"/>
      <c r="T27" s="102">
        <f t="shared" si="10"/>
        <v>0.37801911689292278</v>
      </c>
      <c r="V27" s="94">
        <f t="shared" si="11"/>
        <v>1.6670897002699369E-2</v>
      </c>
      <c r="X27" s="34">
        <f t="shared" si="12"/>
        <v>9.961567473117047E-4</v>
      </c>
      <c r="Z27" s="94">
        <f t="shared" si="13"/>
        <v>7.083520874242262E-2</v>
      </c>
      <c r="AB27" s="94">
        <f t="shared" si="14"/>
        <v>7.083520874242262E-2</v>
      </c>
      <c r="AD27" s="110">
        <f t="shared" si="15"/>
        <v>0.46363956861953221</v>
      </c>
      <c r="AE27" s="111"/>
      <c r="AF27" s="112">
        <f t="shared" si="8"/>
        <v>0.99999999999999956</v>
      </c>
      <c r="AG27" s="108"/>
      <c r="AH27" s="131" t="e">
        <f>(#REF!/1000000)*(1-(F27+H27))</f>
        <v>#REF!</v>
      </c>
      <c r="AJ27" s="54">
        <f t="shared" ca="1" si="0"/>
        <v>3.4015613767128268</v>
      </c>
      <c r="AL27" s="138">
        <f t="shared" ca="1" si="1"/>
        <v>6.0590336798587199</v>
      </c>
      <c r="AO27" s="135" t="e">
        <f t="shared" ca="1" si="2"/>
        <v>#REF!</v>
      </c>
      <c r="AP27" s="108"/>
      <c r="AQ27" s="31">
        <f t="shared" ca="1" si="3"/>
        <v>0.37694137836439706</v>
      </c>
      <c r="AR27" s="31"/>
      <c r="AS27" s="31">
        <f t="shared" si="9"/>
        <v>1.3336717602159496E-2</v>
      </c>
      <c r="AT27" s="31"/>
      <c r="AU27" s="31">
        <f t="shared" ca="1" si="4"/>
        <v>2.6661935916810352E-4</v>
      </c>
      <c r="AV27" s="31"/>
      <c r="AW27" s="31">
        <f t="shared" ca="1" si="5"/>
        <v>4.8196793440491194E-3</v>
      </c>
      <c r="AX27" s="31"/>
      <c r="AY27" s="31">
        <f t="shared" ca="1" si="6"/>
        <v>8.1967643544425383E-3</v>
      </c>
      <c r="AZ27" s="31"/>
      <c r="BA27" s="134">
        <f t="shared" ca="1" si="7"/>
        <v>0.26680146796770882</v>
      </c>
    </row>
    <row r="28" spans="1:53">
      <c r="A28" s="78"/>
      <c r="B28">
        <v>30</v>
      </c>
      <c r="D28" s="78">
        <v>15</v>
      </c>
      <c r="E28" s="108"/>
      <c r="F28">
        <f>VLOOKUP(B28,Parameters!E19:F109,2)</f>
        <v>6.2700000000000006E-2</v>
      </c>
      <c r="H28">
        <f>VLOOKUP(B28,Parameters!H19:I109,2)</f>
        <v>0.01</v>
      </c>
      <c r="J28">
        <f>VLOOKUP(B28,Parameters!K19:L109,2)</f>
        <v>0.03</v>
      </c>
      <c r="L28">
        <f>VLOOKUP(B28,Parameters!N19:O109,2)</f>
        <v>0.11</v>
      </c>
      <c r="N28">
        <f>VLOOKUP(B28,Parameters!T19:U109,2)</f>
        <v>0.375</v>
      </c>
      <c r="P28">
        <f>VLOOKUP(B28,Parameters!T19:U109,2)</f>
        <v>0.375</v>
      </c>
      <c r="R28" s="78">
        <f>VLOOKUP(B28,Parameters!W19:X109,2)</f>
        <v>0.1</v>
      </c>
      <c r="S28" s="108"/>
      <c r="T28" s="102">
        <f t="shared" si="10"/>
        <v>0.34785319136486753</v>
      </c>
      <c r="V28" s="94">
        <f t="shared" si="11"/>
        <v>1.5341588787435533E-2</v>
      </c>
      <c r="X28" s="34">
        <f t="shared" si="12"/>
        <v>9.1689933514846529E-4</v>
      </c>
      <c r="Z28" s="94">
        <f t="shared" si="13"/>
        <v>7.0003274244192629E-2</v>
      </c>
      <c r="AB28" s="94">
        <f t="shared" si="14"/>
        <v>7.0003274244192629E-2</v>
      </c>
      <c r="AD28" s="110">
        <f t="shared" si="15"/>
        <v>0.49679867135931127</v>
      </c>
      <c r="AE28" s="111"/>
      <c r="AF28" s="112">
        <f t="shared" si="8"/>
        <v>0.99999999999999956</v>
      </c>
      <c r="AG28" s="108"/>
      <c r="AH28" s="131" t="e">
        <f>(#REF!/1000000)*(1-(F28+H28))</f>
        <v>#REF!</v>
      </c>
      <c r="AJ28" s="54">
        <f t="shared" ca="1" si="0"/>
        <v>3.5558151862077851</v>
      </c>
      <c r="AL28" s="138">
        <f t="shared" ca="1" si="1"/>
        <v>5.9841639016567427</v>
      </c>
      <c r="AO28" s="135" t="e">
        <f t="shared" ca="1" si="2"/>
        <v>#REF!</v>
      </c>
      <c r="AP28" s="108"/>
      <c r="AQ28" s="31">
        <f t="shared" ca="1" si="3"/>
        <v>0.34686145637091814</v>
      </c>
      <c r="AR28" s="31"/>
      <c r="AS28" s="31">
        <f t="shared" si="9"/>
        <v>1.2273271029948428E-2</v>
      </c>
      <c r="AT28" s="31"/>
      <c r="AU28" s="31">
        <f t="shared" ca="1" si="4"/>
        <v>2.4540627147150141E-4</v>
      </c>
      <c r="AV28" s="31"/>
      <c r="AW28" s="31">
        <f t="shared" ca="1" si="5"/>
        <v>4.7630739131072665E-3</v>
      </c>
      <c r="AX28" s="31"/>
      <c r="AY28" s="31">
        <f t="shared" ca="1" si="6"/>
        <v>8.1004962532907638E-3</v>
      </c>
      <c r="AZ28" s="31"/>
      <c r="BA28" s="134">
        <f t="shared" ca="1" si="7"/>
        <v>0.2389290686520982</v>
      </c>
    </row>
    <row r="29" spans="1:53">
      <c r="A29" s="78"/>
      <c r="B29">
        <v>31</v>
      </c>
      <c r="D29" s="78">
        <v>16</v>
      </c>
      <c r="E29" s="108"/>
      <c r="F29">
        <f>VLOOKUP(B29,Parameters!E20:F110,2)</f>
        <v>6.2700000000000006E-2</v>
      </c>
      <c r="H29">
        <f>VLOOKUP(B29,Parameters!H20:I110,2)</f>
        <v>0.01</v>
      </c>
      <c r="J29">
        <f>VLOOKUP(B29,Parameters!K20:L110,2)</f>
        <v>0.03</v>
      </c>
      <c r="L29">
        <f>VLOOKUP(B29,Parameters!N20:O110,2)</f>
        <v>0.11</v>
      </c>
      <c r="N29">
        <f>VLOOKUP(B29,Parameters!T20:U110,2)</f>
        <v>0.375</v>
      </c>
      <c r="P29">
        <f>VLOOKUP(B29,Parameters!T20:U110,2)</f>
        <v>0.375</v>
      </c>
      <c r="R29" s="78">
        <f>VLOOKUP(B29,Parameters!W20:X110,2)</f>
        <v>0.1</v>
      </c>
      <c r="S29" s="108"/>
      <c r="T29" s="102">
        <f t="shared" si="10"/>
        <v>0.3156072005253443</v>
      </c>
      <c r="V29" s="94">
        <f t="shared" si="11"/>
        <v>1.4117577049930554E-2</v>
      </c>
      <c r="X29" s="34">
        <f t="shared" si="12"/>
        <v>1.6875747666179088E-3</v>
      </c>
      <c r="Z29" s="94">
        <f t="shared" si="13"/>
        <v>6.8756042615061685E-2</v>
      </c>
      <c r="AB29" s="94">
        <f t="shared" si="14"/>
        <v>6.8756042615061685E-2</v>
      </c>
      <c r="AD29" s="110">
        <f t="shared" si="15"/>
        <v>0.53276313719460133</v>
      </c>
      <c r="AE29" s="111"/>
      <c r="AF29" s="112">
        <f t="shared" si="8"/>
        <v>0.99999999999999956</v>
      </c>
      <c r="AG29" s="108"/>
      <c r="AH29" s="131" t="e">
        <f>(#REF!/1000000)*(1-(F29+H29))</f>
        <v>#REF!</v>
      </c>
      <c r="AJ29" s="54">
        <f t="shared" ca="1" si="0"/>
        <v>3.5558151862077851</v>
      </c>
      <c r="AL29" s="138">
        <f t="shared" ca="1" si="1"/>
        <v>5.9207482206254722</v>
      </c>
      <c r="AO29" s="135" t="e">
        <f t="shared" ca="1" si="2"/>
        <v>#REF!</v>
      </c>
      <c r="AP29" s="108"/>
      <c r="AQ29" s="31">
        <f t="shared" ca="1" si="3"/>
        <v>0.31470739936533404</v>
      </c>
      <c r="AR29" s="31"/>
      <c r="AS29" s="31">
        <f t="shared" si="9"/>
        <v>1.1294061639944444E-2</v>
      </c>
      <c r="AT29" s="31"/>
      <c r="AU29" s="31">
        <f t="shared" ca="1" si="4"/>
        <v>4.5167600785535729E-4</v>
      </c>
      <c r="AV29" s="31"/>
      <c r="AW29" s="31">
        <f t="shared" ca="1" si="5"/>
        <v>4.6782113620272544E-3</v>
      </c>
      <c r="AX29" s="31"/>
      <c r="AY29" s="31">
        <f t="shared" ca="1" si="6"/>
        <v>7.9561716449371885E-3</v>
      </c>
      <c r="AZ29" s="31"/>
      <c r="BA29" s="134">
        <f t="shared" ca="1" si="7"/>
        <v>0.21130813197866385</v>
      </c>
    </row>
    <row r="30" spans="1:53">
      <c r="A30" s="78"/>
      <c r="B30">
        <v>32</v>
      </c>
      <c r="D30" s="78">
        <v>17</v>
      </c>
      <c r="E30" s="108"/>
      <c r="F30">
        <f>VLOOKUP(B30,Parameters!E21:F111,2)</f>
        <v>6.2700000000000006E-2</v>
      </c>
      <c r="H30">
        <f>VLOOKUP(B30,Parameters!H21:I111,2)</f>
        <v>0.01</v>
      </c>
      <c r="J30">
        <f>VLOOKUP(B30,Parameters!K21:L111,2)</f>
        <v>0.03</v>
      </c>
      <c r="L30">
        <f>VLOOKUP(B30,Parameters!N21:O111,2)</f>
        <v>0.11</v>
      </c>
      <c r="N30">
        <f>VLOOKUP(B30,Parameters!T21:U111,2)</f>
        <v>0.375</v>
      </c>
      <c r="P30">
        <f>VLOOKUP(B30,Parameters!T21:U111,2)</f>
        <v>0.375</v>
      </c>
      <c r="R30" s="78">
        <f>VLOOKUP(B30,Parameters!W21:X111,2)</f>
        <v>0.1</v>
      </c>
      <c r="S30" s="108"/>
      <c r="T30" s="102">
        <f t="shared" si="10"/>
        <v>0.28635041303664488</v>
      </c>
      <c r="V30" s="94">
        <f t="shared" si="11"/>
        <v>1.2856434507743665E-2</v>
      </c>
      <c r="X30" s="34">
        <f t="shared" si="12"/>
        <v>1.5529334754923608E-3</v>
      </c>
      <c r="Z30" s="94">
        <f t="shared" si="13"/>
        <v>6.7174529747279471E-2</v>
      </c>
      <c r="AB30" s="94">
        <f t="shared" si="14"/>
        <v>6.7174529747279471E-2</v>
      </c>
      <c r="AD30" s="110">
        <f t="shared" si="15"/>
        <v>0.56644409296105203</v>
      </c>
      <c r="AE30" s="111"/>
      <c r="AF30" s="112">
        <f t="shared" si="8"/>
        <v>0.99999999999999944</v>
      </c>
      <c r="AG30" s="108"/>
      <c r="AH30" s="131" t="e">
        <f>(#REF!/1000000)*(1-(F30+H30))</f>
        <v>#REF!</v>
      </c>
      <c r="AJ30" s="54">
        <f t="shared" ca="1" si="0"/>
        <v>3.5558151862077851</v>
      </c>
      <c r="AL30" s="138">
        <f t="shared" ca="1" si="1"/>
        <v>5.7793001151788861</v>
      </c>
      <c r="AO30" s="135" t="e">
        <f t="shared" ca="1" si="2"/>
        <v>#REF!</v>
      </c>
      <c r="AP30" s="108"/>
      <c r="AQ30" s="31">
        <f t="shared" ca="1" si="3"/>
        <v>0.28553402344416756</v>
      </c>
      <c r="AR30" s="31"/>
      <c r="AS30" s="31">
        <f t="shared" si="9"/>
        <v>1.0285147606194932E-2</v>
      </c>
      <c r="AT30" s="31"/>
      <c r="AU30" s="31">
        <f t="shared" ca="1" si="4"/>
        <v>4.1563953582990918E-4</v>
      </c>
      <c r="AV30" s="31"/>
      <c r="AW30" s="31">
        <f t="shared" ca="1" si="5"/>
        <v>4.5706040712953956E-3</v>
      </c>
      <c r="AX30" s="31"/>
      <c r="AY30" s="31">
        <f t="shared" ca="1" si="6"/>
        <v>7.7731653613266226E-3</v>
      </c>
      <c r="AZ30" s="31"/>
      <c r="BA30" s="134">
        <f t="shared" ca="1" si="7"/>
        <v>0.18669511574680941</v>
      </c>
    </row>
    <row r="31" spans="1:53">
      <c r="A31" s="78"/>
      <c r="B31">
        <v>33</v>
      </c>
      <c r="D31" s="78">
        <v>18</v>
      </c>
      <c r="E31" s="108"/>
      <c r="F31">
        <f>VLOOKUP(B31,Parameters!E22:F112,2)</f>
        <v>6.2700000000000006E-2</v>
      </c>
      <c r="H31">
        <f>VLOOKUP(B31,Parameters!H22:I112,2)</f>
        <v>0.01</v>
      </c>
      <c r="J31">
        <f>VLOOKUP(B31,Parameters!K22:L112,2)</f>
        <v>0.03</v>
      </c>
      <c r="L31">
        <f>VLOOKUP(B31,Parameters!N22:O112,2)</f>
        <v>0.11</v>
      </c>
      <c r="N31">
        <f>VLOOKUP(B31,Parameters!T22:U112,2)</f>
        <v>0.375</v>
      </c>
      <c r="P31">
        <f>VLOOKUP(B31,Parameters!T22:U112,2)</f>
        <v>0.375</v>
      </c>
      <c r="R31" s="78">
        <f>VLOOKUP(B31,Parameters!W22:X112,2)</f>
        <v>0.1</v>
      </c>
      <c r="S31" s="108"/>
      <c r="T31" s="102">
        <f t="shared" si="10"/>
        <v>0.25980572974814786</v>
      </c>
      <c r="V31" s="94">
        <f t="shared" si="11"/>
        <v>1.1676056672957826E-2</v>
      </c>
      <c r="X31" s="34">
        <f t="shared" si="12"/>
        <v>1.4142077958518031E-3</v>
      </c>
      <c r="Z31" s="94">
        <f t="shared" si="13"/>
        <v>6.5278239712955391E-2</v>
      </c>
      <c r="AB31" s="94">
        <f t="shared" si="14"/>
        <v>6.5278239712955391E-2</v>
      </c>
      <c r="AD31" s="110">
        <f t="shared" si="15"/>
        <v>0.59796173415298293</v>
      </c>
      <c r="AE31" s="111"/>
      <c r="AF31" s="112">
        <f t="shared" si="8"/>
        <v>0.99999999999999933</v>
      </c>
      <c r="AG31" s="108"/>
      <c r="AH31" s="131" t="e">
        <f>(#REF!/1000000)*(1-(F31+H31))</f>
        <v>#REF!</v>
      </c>
      <c r="AJ31" s="54">
        <f t="shared" ca="1" si="0"/>
        <v>3.5558151862077851</v>
      </c>
      <c r="AL31" s="138">
        <f t="shared" ca="1" si="1"/>
        <v>5.6109456964296598</v>
      </c>
      <c r="AO31" s="135" t="e">
        <f t="shared" ca="1" si="2"/>
        <v>#REF!</v>
      </c>
      <c r="AP31" s="108"/>
      <c r="AQ31" s="31">
        <f t="shared" ca="1" si="3"/>
        <v>0.25906501947089322</v>
      </c>
      <c r="AR31" s="31"/>
      <c r="AS31" s="31">
        <f t="shared" si="9"/>
        <v>9.3408453383662608E-3</v>
      </c>
      <c r="AT31" s="31"/>
      <c r="AU31" s="31">
        <f t="shared" ca="1" si="4"/>
        <v>3.7850988539513516E-4</v>
      </c>
      <c r="AV31" s="31"/>
      <c r="AW31" s="31">
        <f t="shared" ca="1" si="5"/>
        <v>4.4415791122246612E-3</v>
      </c>
      <c r="AX31" s="31"/>
      <c r="AY31" s="31">
        <f t="shared" ca="1" si="6"/>
        <v>7.5537343349347521E-3</v>
      </c>
      <c r="AZ31" s="31"/>
      <c r="BA31" s="134">
        <f t="shared" ca="1" si="7"/>
        <v>0.16492847474268305</v>
      </c>
    </row>
    <row r="32" spans="1:53">
      <c r="A32" s="78"/>
      <c r="B32">
        <v>34</v>
      </c>
      <c r="D32" s="78">
        <v>19</v>
      </c>
      <c r="E32" s="108"/>
      <c r="F32">
        <f>VLOOKUP(B32,Parameters!E23:F113,2)</f>
        <v>6.2700000000000006E-2</v>
      </c>
      <c r="H32">
        <f>VLOOKUP(B32,Parameters!H23:I113,2)</f>
        <v>0.01</v>
      </c>
      <c r="J32">
        <f>VLOOKUP(B32,Parameters!K23:L113,2)</f>
        <v>0.03</v>
      </c>
      <c r="L32">
        <f>VLOOKUP(B32,Parameters!N23:O113,2)</f>
        <v>0.11</v>
      </c>
      <c r="N32">
        <f>VLOOKUP(B32,Parameters!T23:U113,2)</f>
        <v>0.375</v>
      </c>
      <c r="P32">
        <f>VLOOKUP(B32,Parameters!T23:U113,2)</f>
        <v>0.375</v>
      </c>
      <c r="R32" s="78">
        <f>VLOOKUP(B32,Parameters!W23:X113,2)</f>
        <v>0.1</v>
      </c>
      <c r="S32" s="108"/>
      <c r="T32" s="102">
        <f t="shared" si="10"/>
        <v>0.23572173860049456</v>
      </c>
      <c r="V32" s="94">
        <f t="shared" si="11"/>
        <v>1.0596425493954313E-2</v>
      </c>
      <c r="X32" s="34">
        <f t="shared" si="12"/>
        <v>1.2843662340253608E-3</v>
      </c>
      <c r="Z32" s="94">
        <f t="shared" si="13"/>
        <v>6.312893699401903E-2</v>
      </c>
      <c r="AB32" s="94">
        <f t="shared" si="14"/>
        <v>6.312893699401903E-2</v>
      </c>
      <c r="AD32" s="110">
        <f t="shared" si="15"/>
        <v>0.6274239619175126</v>
      </c>
      <c r="AE32" s="111"/>
      <c r="AF32" s="112">
        <f t="shared" si="8"/>
        <v>0.99999999999999956</v>
      </c>
      <c r="AG32" s="108"/>
      <c r="AH32" s="131" t="e">
        <f>(#REF!/1000000)*(1-(F32+H32))</f>
        <v>#REF!</v>
      </c>
      <c r="AJ32" s="54">
        <f t="shared" ca="1" si="0"/>
        <v>3.5558151862077851</v>
      </c>
      <c r="AL32" s="138">
        <f t="shared" ca="1" si="1"/>
        <v>5.4216323355736238</v>
      </c>
      <c r="AO32" s="135" t="e">
        <f t="shared" ca="1" si="2"/>
        <v>#REF!</v>
      </c>
      <c r="AP32" s="108"/>
      <c r="AQ32" s="31">
        <f t="shared" ca="1" si="3"/>
        <v>0.2350496921659414</v>
      </c>
      <c r="AR32" s="31"/>
      <c r="AS32" s="31">
        <f t="shared" si="9"/>
        <v>8.4771403951634499E-3</v>
      </c>
      <c r="AT32" s="31"/>
      <c r="AU32" s="31">
        <f t="shared" ca="1" si="4"/>
        <v>3.4375805130780409E-4</v>
      </c>
      <c r="AV32" s="31"/>
      <c r="AW32" s="31">
        <f t="shared" ca="1" si="5"/>
        <v>4.2953389852810912E-3</v>
      </c>
      <c r="AX32" s="31"/>
      <c r="AY32" s="31">
        <f t="shared" ca="1" si="6"/>
        <v>7.3050257022328185E-3</v>
      </c>
      <c r="AZ32" s="31"/>
      <c r="BA32" s="134">
        <f t="shared" ca="1" si="7"/>
        <v>0.14569151606384198</v>
      </c>
    </row>
    <row r="33" spans="1:53">
      <c r="A33" s="78"/>
      <c r="B33">
        <v>35</v>
      </c>
      <c r="D33" s="78">
        <v>20</v>
      </c>
      <c r="E33" s="108"/>
      <c r="F33">
        <f>VLOOKUP(B33,Parameters!E24:F114,2)</f>
        <v>6.4699999999999994E-2</v>
      </c>
      <c r="H33">
        <f>VLOOKUP(B33,Parameters!H24:I114,2)</f>
        <v>0.01</v>
      </c>
      <c r="J33">
        <f>VLOOKUP(B33,Parameters!K24:L114,2)</f>
        <v>0.03</v>
      </c>
      <c r="L33">
        <f>VLOOKUP(B33,Parameters!N24:O114,2)</f>
        <v>0.11</v>
      </c>
      <c r="N33">
        <f>VLOOKUP(B33,Parameters!T24:U114,2)</f>
        <v>0.375</v>
      </c>
      <c r="P33">
        <f>VLOOKUP(B33,Parameters!T24:U114,2)</f>
        <v>0.375</v>
      </c>
      <c r="R33" s="78">
        <f>VLOOKUP(B33,Parameters!W24:X114,2)</f>
        <v>0.1</v>
      </c>
      <c r="S33" s="108"/>
      <c r="T33" s="102">
        <f t="shared" si="10"/>
        <v>0.21387033343222872</v>
      </c>
      <c r="V33" s="94">
        <f t="shared" si="11"/>
        <v>9.6147942765638702E-3</v>
      </c>
      <c r="X33" s="34">
        <f t="shared" si="12"/>
        <v>1.1656068043349745E-3</v>
      </c>
      <c r="Z33" s="94">
        <f t="shared" si="13"/>
        <v>6.078970285484999E-2</v>
      </c>
      <c r="AB33" s="94">
        <f t="shared" si="14"/>
        <v>6.078970285484999E-2</v>
      </c>
      <c r="AD33" s="110">
        <f t="shared" si="15"/>
        <v>0.65493546658150703</v>
      </c>
      <c r="AE33" s="111"/>
      <c r="AF33" s="112">
        <f t="shared" si="8"/>
        <v>0.99999999999999956</v>
      </c>
      <c r="AG33" s="108"/>
      <c r="AH33" s="131" t="e">
        <f>(#REF!/1000000)*(1-(F33+H33))</f>
        <v>#REF!</v>
      </c>
      <c r="AJ33" s="54">
        <f t="shared" ca="1" si="0"/>
        <v>3.5558151862077851</v>
      </c>
      <c r="AL33" s="138">
        <f t="shared" ca="1" si="1"/>
        <v>5.2168277783809431</v>
      </c>
      <c r="AO33" s="135" t="e">
        <f t="shared" ca="1" si="2"/>
        <v>#REF!</v>
      </c>
      <c r="AP33" s="108"/>
      <c r="AQ33" s="31">
        <f t="shared" ca="1" si="3"/>
        <v>0.21326058570215864</v>
      </c>
      <c r="AR33" s="31"/>
      <c r="AS33" s="31">
        <f t="shared" si="9"/>
        <v>7.6918354212510967E-3</v>
      </c>
      <c r="AT33" s="31"/>
      <c r="AU33" s="31">
        <f t="shared" ca="1" si="4"/>
        <v>3.119723277008821E-4</v>
      </c>
      <c r="AV33" s="31"/>
      <c r="AW33" s="31">
        <f t="shared" ca="1" si="5"/>
        <v>4.136175785770458E-3</v>
      </c>
      <c r="AX33" s="31"/>
      <c r="AY33" s="31">
        <f t="shared" ca="1" si="6"/>
        <v>7.0343389724405953E-3</v>
      </c>
      <c r="AZ33" s="31"/>
      <c r="BA33" s="134">
        <f t="shared" ca="1" si="7"/>
        <v>0.12869357310202773</v>
      </c>
    </row>
    <row r="34" spans="1:53">
      <c r="A34" s="78"/>
      <c r="B34">
        <v>36</v>
      </c>
      <c r="D34" s="78">
        <v>21</v>
      </c>
      <c r="E34" s="108"/>
      <c r="F34">
        <f>VLOOKUP(B34,Parameters!E25:F115,2)</f>
        <v>6.4699999999999994E-2</v>
      </c>
      <c r="H34">
        <f>VLOOKUP(B34,Parameters!H25:I115,2)</f>
        <v>0.01</v>
      </c>
      <c r="J34">
        <f>VLOOKUP(B34,Parameters!K25:L115,2)</f>
        <v>0.03</v>
      </c>
      <c r="L34">
        <f>VLOOKUP(B34,Parameters!N25:O115,2)</f>
        <v>0.11</v>
      </c>
      <c r="N34">
        <f>VLOOKUP(B34,Parameters!T25:U115,2)</f>
        <v>0.375</v>
      </c>
      <c r="P34">
        <f>VLOOKUP(B34,Parameters!T25:U115,2)</f>
        <v>0.375</v>
      </c>
      <c r="R34" s="78">
        <f>VLOOKUP(B34,Parameters!W25:X115,2)</f>
        <v>0.1</v>
      </c>
      <c r="S34" s="108"/>
      <c r="T34" s="102">
        <f t="shared" si="10"/>
        <v>0.19361681285619667</v>
      </c>
      <c r="V34" s="94">
        <f t="shared" si="11"/>
        <v>8.7236606293421889E-3</v>
      </c>
      <c r="X34" s="34">
        <f t="shared" si="12"/>
        <v>1.0576273704220257E-3</v>
      </c>
      <c r="Z34" s="94">
        <f t="shared" si="13"/>
        <v>5.8316280423076447E-2</v>
      </c>
      <c r="AB34" s="94">
        <f t="shared" si="14"/>
        <v>5.8316280423076447E-2</v>
      </c>
      <c r="AD34" s="110">
        <f t="shared" si="15"/>
        <v>0.68102696566830789</v>
      </c>
      <c r="AE34" s="111"/>
      <c r="AF34" s="112">
        <f t="shared" si="8"/>
        <v>0.99999999999999967</v>
      </c>
      <c r="AG34" s="108"/>
      <c r="AH34" s="131" t="e">
        <f>(#REF!/1000000)*(1-(F34+H34))</f>
        <v>#REF!</v>
      </c>
      <c r="AJ34" s="54">
        <f t="shared" ca="1" si="0"/>
        <v>3.5558151862077851</v>
      </c>
      <c r="AL34" s="138">
        <f t="shared" ca="1" si="1"/>
        <v>5.0012405081602775</v>
      </c>
      <c r="AO34" s="135" t="e">
        <f t="shared" ca="1" si="2"/>
        <v>#REF!</v>
      </c>
      <c r="AP34" s="108"/>
      <c r="AQ34" s="31">
        <f t="shared" ca="1" si="3"/>
        <v>0.19306480823616423</v>
      </c>
      <c r="AR34" s="31"/>
      <c r="AS34" s="31">
        <f t="shared" si="9"/>
        <v>6.9789285034737511E-3</v>
      </c>
      <c r="AT34" s="31"/>
      <c r="AU34" s="31">
        <f t="shared" ca="1" si="4"/>
        <v>2.8307184838284507E-4</v>
      </c>
      <c r="AV34" s="31"/>
      <c r="AW34" s="31">
        <f t="shared" ca="1" si="5"/>
        <v>3.9678823168138649E-3</v>
      </c>
      <c r="AX34" s="31"/>
      <c r="AY34" s="31">
        <f t="shared" ca="1" si="6"/>
        <v>6.7481245152211308E-3</v>
      </c>
      <c r="AZ34" s="31"/>
      <c r="BA34" s="134">
        <f t="shared" ca="1" si="7"/>
        <v>0.11344591261486107</v>
      </c>
    </row>
    <row r="35" spans="1:53">
      <c r="A35" s="78"/>
      <c r="B35">
        <v>37</v>
      </c>
      <c r="D35" s="78">
        <v>22</v>
      </c>
      <c r="E35" s="108"/>
      <c r="F35">
        <f>VLOOKUP(B35,Parameters!E26:F116,2)</f>
        <v>6.4699999999999994E-2</v>
      </c>
      <c r="H35">
        <f>VLOOKUP(B35,Parameters!H26:I116,2)</f>
        <v>0.01</v>
      </c>
      <c r="J35">
        <f>VLOOKUP(B35,Parameters!K26:L116,2)</f>
        <v>0.03</v>
      </c>
      <c r="L35">
        <f>VLOOKUP(B35,Parameters!N26:O116,2)</f>
        <v>0.11</v>
      </c>
      <c r="N35">
        <f>VLOOKUP(B35,Parameters!T26:U116,2)</f>
        <v>0.375</v>
      </c>
      <c r="P35">
        <f>VLOOKUP(B35,Parameters!T26:U116,2)</f>
        <v>0.375</v>
      </c>
      <c r="R35" s="78">
        <f>VLOOKUP(B35,Parameters!W26:X116,2)</f>
        <v>0.1</v>
      </c>
      <c r="S35" s="108"/>
      <c r="T35" s="102">
        <f t="shared" si="10"/>
        <v>0.17528130067871486</v>
      </c>
      <c r="V35" s="94">
        <f t="shared" si="11"/>
        <v>7.9021829367280257E-3</v>
      </c>
      <c r="X35" s="34">
        <f t="shared" si="12"/>
        <v>9.596026692276408E-4</v>
      </c>
      <c r="Z35" s="94">
        <f t="shared" si="13"/>
        <v>5.575602511677212E-2</v>
      </c>
      <c r="AB35" s="94">
        <f t="shared" si="14"/>
        <v>5.575602511677212E-2</v>
      </c>
      <c r="AD35" s="110">
        <f t="shared" si="15"/>
        <v>0.7053044661510125</v>
      </c>
      <c r="AE35" s="111"/>
      <c r="AF35" s="112">
        <f t="shared" si="8"/>
        <v>0.99999999999999967</v>
      </c>
      <c r="AG35" s="108"/>
      <c r="AH35" s="131" t="e">
        <f>(#REF!/1000000)*(1-(F35+H35))</f>
        <v>#REF!</v>
      </c>
      <c r="AJ35" s="54">
        <f t="shared" ca="1" si="0"/>
        <v>3.5558151862077851</v>
      </c>
      <c r="AL35" s="138">
        <f t="shared" ca="1" si="1"/>
        <v>4.7788393067379626</v>
      </c>
      <c r="AO35" s="135" t="e">
        <f t="shared" ca="1" si="2"/>
        <v>#REF!</v>
      </c>
      <c r="AP35" s="108"/>
      <c r="AQ35" s="31">
        <f t="shared" ca="1" si="3"/>
        <v>0.1747815708961995</v>
      </c>
      <c r="AR35" s="31"/>
      <c r="AS35" s="31">
        <f t="shared" si="9"/>
        <v>6.321746349382421E-3</v>
      </c>
      <c r="AT35" s="31"/>
      <c r="AU35" s="31">
        <f t="shared" ca="1" si="4"/>
        <v>2.5683573334811565E-4</v>
      </c>
      <c r="AV35" s="31"/>
      <c r="AW35" s="31">
        <f t="shared" ca="1" si="5"/>
        <v>3.7936806756475698E-3</v>
      </c>
      <c r="AX35" s="31"/>
      <c r="AY35" s="31">
        <f t="shared" ca="1" si="6"/>
        <v>6.4518621083536907E-3</v>
      </c>
      <c r="AZ35" s="31"/>
      <c r="BA35" s="134">
        <f t="shared" ca="1" si="7"/>
        <v>9.999757574506403E-2</v>
      </c>
    </row>
    <row r="36" spans="1:53">
      <c r="A36" s="78"/>
      <c r="B36">
        <v>38</v>
      </c>
      <c r="D36" s="78">
        <v>23</v>
      </c>
      <c r="E36" s="108"/>
      <c r="F36">
        <f>VLOOKUP(B36,Parameters!E27:F117,2)</f>
        <v>6.4699999999999994E-2</v>
      </c>
      <c r="H36">
        <f>VLOOKUP(B36,Parameters!H27:I117,2)</f>
        <v>0.01</v>
      </c>
      <c r="J36">
        <f>VLOOKUP(B36,Parameters!K27:L117,2)</f>
        <v>0.03</v>
      </c>
      <c r="L36">
        <f>VLOOKUP(B36,Parameters!N27:O117,2)</f>
        <v>0.11</v>
      </c>
      <c r="N36">
        <f>VLOOKUP(B36,Parameters!T27:U117,2)</f>
        <v>0.375</v>
      </c>
      <c r="P36">
        <f>VLOOKUP(B36,Parameters!T27:U117,2)</f>
        <v>0.375</v>
      </c>
      <c r="R36" s="78">
        <f>VLOOKUP(B36,Parameters!W27:X117,2)</f>
        <v>0.1</v>
      </c>
      <c r="S36" s="108"/>
      <c r="T36" s="102">
        <f t="shared" si="10"/>
        <v>0.15868216150444059</v>
      </c>
      <c r="V36" s="94">
        <f t="shared" si="11"/>
        <v>7.1549629251761709E-3</v>
      </c>
      <c r="X36" s="34">
        <f t="shared" si="12"/>
        <v>8.6924012304008286E-4</v>
      </c>
      <c r="Z36" s="94">
        <f t="shared" si="13"/>
        <v>5.3143741206367917E-2</v>
      </c>
      <c r="AB36" s="94">
        <f t="shared" si="14"/>
        <v>5.3143741206367917E-2</v>
      </c>
      <c r="AD36" s="110">
        <f t="shared" si="15"/>
        <v>0.72787539315764704</v>
      </c>
      <c r="AE36" s="111"/>
      <c r="AF36" s="112">
        <f t="shared" si="8"/>
        <v>0.99999999999999967</v>
      </c>
      <c r="AG36" s="108"/>
      <c r="AH36" s="131" t="e">
        <f>(#REF!/1000000)*(1-(F36+H36))</f>
        <v>#REF!</v>
      </c>
      <c r="AJ36" s="54">
        <f t="shared" ca="1" si="0"/>
        <v>3.5558151862077851</v>
      </c>
      <c r="AL36" s="138">
        <f t="shared" ca="1" si="1"/>
        <v>4.5524485095398148</v>
      </c>
      <c r="AO36" s="135" t="e">
        <f t="shared" ca="1" si="2"/>
        <v>#REF!</v>
      </c>
      <c r="AP36" s="108"/>
      <c r="AQ36" s="31">
        <f t="shared" ca="1" si="3"/>
        <v>0.15822975613232942</v>
      </c>
      <c r="AR36" s="31"/>
      <c r="AS36" s="31">
        <f t="shared" si="9"/>
        <v>5.7239703401409372E-3</v>
      </c>
      <c r="AT36" s="31"/>
      <c r="AU36" s="31">
        <f t="shared" ca="1" si="4"/>
        <v>2.3265037876175941E-4</v>
      </c>
      <c r="AV36" s="31"/>
      <c r="AW36" s="31">
        <f t="shared" ca="1" si="5"/>
        <v>3.6159389702542922E-3</v>
      </c>
      <c r="AX36" s="31"/>
      <c r="AY36" s="31">
        <f t="shared" ca="1" si="6"/>
        <v>6.1495791614882946E-3</v>
      </c>
      <c r="AZ36" s="31"/>
      <c r="BA36" s="134">
        <f t="shared" ca="1" si="7"/>
        <v>8.8139989811582081E-2</v>
      </c>
    </row>
    <row r="37" spans="1:53">
      <c r="A37" s="78"/>
      <c r="B37">
        <v>39</v>
      </c>
      <c r="D37" s="78">
        <v>24</v>
      </c>
      <c r="E37" s="108"/>
      <c r="F37">
        <f>VLOOKUP(B37,Parameters!E28:F118,2)</f>
        <v>6.4699999999999994E-2</v>
      </c>
      <c r="H37">
        <f>VLOOKUP(B37,Parameters!H28:I118,2)</f>
        <v>0.01</v>
      </c>
      <c r="J37">
        <f>VLOOKUP(B37,Parameters!K28:L118,2)</f>
        <v>0.03</v>
      </c>
      <c r="L37">
        <f>VLOOKUP(B37,Parameters!N28:O118,2)</f>
        <v>0.11</v>
      </c>
      <c r="N37">
        <f>VLOOKUP(B37,Parameters!T28:U118,2)</f>
        <v>0.375</v>
      </c>
      <c r="P37">
        <f>VLOOKUP(B37,Parameters!T28:U118,2)</f>
        <v>0.375</v>
      </c>
      <c r="R37" s="78">
        <f>VLOOKUP(B37,Parameters!W28:X118,2)</f>
        <v>0.1</v>
      </c>
      <c r="S37" s="108"/>
      <c r="T37" s="102">
        <f t="shared" si="10"/>
        <v>0.14365496080997009</v>
      </c>
      <c r="V37" s="94">
        <f t="shared" si="11"/>
        <v>6.4776559471754983E-3</v>
      </c>
      <c r="X37" s="34">
        <f t="shared" si="12"/>
        <v>7.8704592176937881E-4</v>
      </c>
      <c r="Z37" s="94">
        <f t="shared" si="13"/>
        <v>5.0512478182672182E-2</v>
      </c>
      <c r="AB37" s="94">
        <f t="shared" si="14"/>
        <v>5.0512478182672182E-2</v>
      </c>
      <c r="AD37" s="110">
        <f t="shared" si="15"/>
        <v>0.74884242687750979</v>
      </c>
      <c r="AE37" s="111"/>
      <c r="AF37" s="112">
        <f t="shared" si="8"/>
        <v>0.99999999999999978</v>
      </c>
      <c r="AG37" s="108"/>
      <c r="AH37" s="131" t="e">
        <f>(#REF!/1000000)*(1-(F37+H37))</f>
        <v>#REF!</v>
      </c>
      <c r="AJ37" s="54">
        <f t="shared" ca="1" si="0"/>
        <v>3.5558151862077851</v>
      </c>
      <c r="AL37" s="138">
        <f t="shared" ca="1" si="1"/>
        <v>4.3248973454220208</v>
      </c>
      <c r="AO37" s="135" t="e">
        <f t="shared" ca="1" si="2"/>
        <v>#REF!</v>
      </c>
      <c r="AP37" s="108"/>
      <c r="AQ37" s="31">
        <f t="shared" ca="1" si="3"/>
        <v>0.14324539822659785</v>
      </c>
      <c r="AR37" s="31"/>
      <c r="AS37" s="31">
        <f t="shared" si="9"/>
        <v>5.1821247577403988E-3</v>
      </c>
      <c r="AT37" s="31"/>
      <c r="AU37" s="31">
        <f t="shared" ca="1" si="4"/>
        <v>2.1065126533983126E-4</v>
      </c>
      <c r="AV37" s="31"/>
      <c r="AW37" s="31">
        <f t="shared" ca="1" si="5"/>
        <v>3.4369059121294632E-3</v>
      </c>
      <c r="AX37" s="31"/>
      <c r="AY37" s="31">
        <f t="shared" ca="1" si="6"/>
        <v>5.8451000282620652E-3</v>
      </c>
      <c r="AZ37" s="31"/>
      <c r="BA37" s="134">
        <f t="shared" ca="1" si="7"/>
        <v>7.7686264284309539E-2</v>
      </c>
    </row>
    <row r="38" spans="1:53">
      <c r="A38" s="78"/>
      <c r="B38">
        <v>40</v>
      </c>
      <c r="D38" s="78">
        <v>25</v>
      </c>
      <c r="E38" s="108"/>
      <c r="F38">
        <f>VLOOKUP(B38,Parameters!E29:F119,2)</f>
        <v>8.8999999999999996E-2</v>
      </c>
      <c r="H38">
        <f>VLOOKUP(B38,Parameters!H29:I119,2)</f>
        <v>0.01</v>
      </c>
      <c r="J38">
        <f>VLOOKUP(B38,Parameters!K29:L119,2)</f>
        <v>0.03</v>
      </c>
      <c r="L38">
        <f>VLOOKUP(B38,Parameters!N29:O119,2)</f>
        <v>0.24</v>
      </c>
      <c r="N38">
        <f>VLOOKUP(B38,Parameters!T29:U119,2)</f>
        <v>0.375</v>
      </c>
      <c r="P38">
        <f>VLOOKUP(B38,Parameters!T29:U119,2)</f>
        <v>0.375</v>
      </c>
      <c r="R38" s="78">
        <f>VLOOKUP(B38,Parameters!W29:X119,2)</f>
        <v>0.1</v>
      </c>
      <c r="S38" s="108"/>
      <c r="T38" s="102">
        <f t="shared" si="10"/>
        <v>0.13005083602126594</v>
      </c>
      <c r="V38" s="94">
        <f t="shared" si="11"/>
        <v>5.8642862516212211E-3</v>
      </c>
      <c r="X38" s="34">
        <f t="shared" si="12"/>
        <v>7.1254215418930481E-4</v>
      </c>
      <c r="Z38" s="94">
        <f t="shared" si="13"/>
        <v>4.7890351344595773E-2</v>
      </c>
      <c r="AB38" s="94">
        <f t="shared" si="14"/>
        <v>4.7890351344595773E-2</v>
      </c>
      <c r="AD38" s="110">
        <f t="shared" si="15"/>
        <v>0.76830417503792114</v>
      </c>
      <c r="AE38" s="111"/>
      <c r="AF38" s="112">
        <f t="shared" si="8"/>
        <v>0.99999999999999978</v>
      </c>
      <c r="AG38" s="108"/>
      <c r="AH38" s="131" t="e">
        <f>(#REF!/1000000)*(1-(F38+H38))</f>
        <v>#REF!</v>
      </c>
      <c r="AJ38" s="54">
        <f t="shared" ca="1" si="0"/>
        <v>3.920415099559504</v>
      </c>
      <c r="AL38" s="138">
        <f t="shared" ca="1" si="1"/>
        <v>4.0985427743167833</v>
      </c>
      <c r="AO38" s="135" t="e">
        <f t="shared" ca="1" si="2"/>
        <v>#REF!</v>
      </c>
      <c r="AP38" s="108"/>
      <c r="AQ38" s="31">
        <f t="shared" ca="1" si="3"/>
        <v>0.12968005901453905</v>
      </c>
      <c r="AR38" s="31"/>
      <c r="AS38" s="31">
        <f t="shared" si="9"/>
        <v>4.6914290012969768E-3</v>
      </c>
      <c r="AT38" s="31"/>
      <c r="AU38" s="31">
        <f t="shared" ca="1" si="4"/>
        <v>1.9071048109938377E-4</v>
      </c>
      <c r="AV38" s="31"/>
      <c r="AW38" s="31">
        <f t="shared" ca="1" si="5"/>
        <v>3.2584944867476528E-3</v>
      </c>
      <c r="AX38" s="31"/>
      <c r="AY38" s="31">
        <f t="shared" ca="1" si="6"/>
        <v>5.5416780975478287E-3</v>
      </c>
      <c r="AZ38" s="31"/>
      <c r="BA38" s="134">
        <f t="shared" ca="1" si="7"/>
        <v>6.8470666850952586E-2</v>
      </c>
    </row>
    <row r="39" spans="1:53">
      <c r="A39" s="78"/>
      <c r="B39">
        <v>41</v>
      </c>
      <c r="D39" s="78">
        <v>26</v>
      </c>
      <c r="E39" s="108"/>
      <c r="F39">
        <f>VLOOKUP(B39,Parameters!E30:F120,2)</f>
        <v>8.8999999999999996E-2</v>
      </c>
      <c r="H39">
        <f>VLOOKUP(B39,Parameters!H30:I120,2)</f>
        <v>0.01</v>
      </c>
      <c r="J39">
        <f>VLOOKUP(B39,Parameters!K30:L120,2)</f>
        <v>0.03</v>
      </c>
      <c r="L39">
        <f>VLOOKUP(B39,Parameters!N30:O120,2)</f>
        <v>0.24</v>
      </c>
      <c r="N39">
        <f>VLOOKUP(B39,Parameters!T30:U120,2)</f>
        <v>0.375</v>
      </c>
      <c r="P39">
        <f>VLOOKUP(B39,Parameters!T30:U120,2)</f>
        <v>0.375</v>
      </c>
      <c r="R39" s="78">
        <f>VLOOKUP(B39,Parameters!W30:X120,2)</f>
        <v>0.1</v>
      </c>
      <c r="S39" s="108"/>
      <c r="T39" s="102">
        <f t="shared" si="10"/>
        <v>0.1145747865347353</v>
      </c>
      <c r="V39" s="94">
        <f t="shared" si="11"/>
        <v>5.3089537810270711E-3</v>
      </c>
      <c r="X39" s="34">
        <f t="shared" si="12"/>
        <v>1.4074287003890929E-3</v>
      </c>
      <c r="Z39" s="94">
        <f t="shared" si="13"/>
        <v>4.5300423554494151E-2</v>
      </c>
      <c r="AB39" s="94">
        <f t="shared" si="14"/>
        <v>4.5300423554494151E-2</v>
      </c>
      <c r="AD39" s="110">
        <f t="shared" si="15"/>
        <v>0.78951541257524926</v>
      </c>
      <c r="AE39" s="111"/>
      <c r="AF39" s="112">
        <f t="shared" si="8"/>
        <v>1</v>
      </c>
      <c r="AG39" s="108"/>
      <c r="AH39" s="131" t="e">
        <f>(#REF!/1000000)*(1-(F39+H39))</f>
        <v>#REF!</v>
      </c>
      <c r="AJ39" s="54">
        <f t="shared" ca="1" si="0"/>
        <v>3.920415099559504</v>
      </c>
      <c r="AL39" s="138">
        <f t="shared" ca="1" si="1"/>
        <v>3.9171529809876877</v>
      </c>
      <c r="AO39" s="135" t="e">
        <f t="shared" ca="1" si="2"/>
        <v>#REF!</v>
      </c>
      <c r="AP39" s="108"/>
      <c r="AQ39" s="31">
        <f t="shared" ca="1" si="3"/>
        <v>0.1142481319918089</v>
      </c>
      <c r="AR39" s="31"/>
      <c r="AS39" s="31">
        <f t="shared" si="9"/>
        <v>4.2471630248216569E-3</v>
      </c>
      <c r="AT39" s="31"/>
      <c r="AU39" s="31">
        <f t="shared" ca="1" si="4"/>
        <v>3.7669547406590922E-4</v>
      </c>
      <c r="AV39" s="31"/>
      <c r="AW39" s="31">
        <f t="shared" ca="1" si="5"/>
        <v>3.082273908109676E-3</v>
      </c>
      <c r="AX39" s="31"/>
      <c r="AY39" s="31">
        <f t="shared" ca="1" si="6"/>
        <v>5.2419821106597262E-3</v>
      </c>
      <c r="AZ39" s="31"/>
      <c r="BA39" s="134">
        <f t="shared" ca="1" si="7"/>
        <v>5.89802288564076E-2</v>
      </c>
    </row>
    <row r="40" spans="1:53">
      <c r="A40" s="78"/>
      <c r="B40">
        <v>42</v>
      </c>
      <c r="D40" s="78">
        <v>27</v>
      </c>
      <c r="E40" s="108"/>
      <c r="F40">
        <f>VLOOKUP(B40,Parameters!E31:F121,2)</f>
        <v>8.8999999999999996E-2</v>
      </c>
      <c r="H40">
        <f>VLOOKUP(B40,Parameters!H31:I121,2)</f>
        <v>0.01</v>
      </c>
      <c r="J40">
        <f>VLOOKUP(B40,Parameters!K31:L121,2)</f>
        <v>0.03</v>
      </c>
      <c r="L40">
        <f>VLOOKUP(B40,Parameters!N31:O121,2)</f>
        <v>0.24</v>
      </c>
      <c r="N40">
        <f>VLOOKUP(B40,Parameters!T31:U121,2)</f>
        <v>0.375</v>
      </c>
      <c r="P40">
        <f>VLOOKUP(B40,Parameters!T31:U121,2)</f>
        <v>0.375</v>
      </c>
      <c r="R40" s="78">
        <f>VLOOKUP(B40,Parameters!W31:X121,2)</f>
        <v>0.1</v>
      </c>
      <c r="S40" s="108"/>
      <c r="T40" s="102">
        <f t="shared" si="10"/>
        <v>0.10094038693710181</v>
      </c>
      <c r="V40" s="94">
        <f t="shared" si="11"/>
        <v>4.7113925034885555E-3</v>
      </c>
      <c r="X40" s="34">
        <f t="shared" si="12"/>
        <v>1.274148907446497E-3</v>
      </c>
      <c r="Z40" s="94">
        <f t="shared" si="13"/>
        <v>4.2761238866929882E-2</v>
      </c>
      <c r="AB40" s="94">
        <f t="shared" si="14"/>
        <v>4.2761238866929882E-2</v>
      </c>
      <c r="AD40" s="110">
        <f t="shared" si="15"/>
        <v>0.80882574282554975</v>
      </c>
      <c r="AE40" s="111"/>
      <c r="AF40" s="112">
        <f t="shared" si="8"/>
        <v>0.99999999999999989</v>
      </c>
      <c r="AG40" s="108"/>
      <c r="AH40" s="131" t="e">
        <f>(#REF!/1000000)*(1-(F40+H40))</f>
        <v>#REF!</v>
      </c>
      <c r="AJ40" s="54">
        <f t="shared" ca="1" si="0"/>
        <v>3.920415099559504</v>
      </c>
      <c r="AL40" s="138">
        <f t="shared" ca="1" si="1"/>
        <v>3.6946025151428659</v>
      </c>
      <c r="AO40" s="135" t="e">
        <f t="shared" ca="1" si="2"/>
        <v>#REF!</v>
      </c>
      <c r="AP40" s="108"/>
      <c r="AQ40" s="31">
        <f t="shared" ca="1" si="3"/>
        <v>0.10065260428478366</v>
      </c>
      <c r="AR40" s="31"/>
      <c r="AS40" s="31">
        <f t="shared" si="9"/>
        <v>3.7691140027908444E-3</v>
      </c>
      <c r="AT40" s="31"/>
      <c r="AU40" s="31">
        <f t="shared" ca="1" si="4"/>
        <v>3.4102340430348525E-4</v>
      </c>
      <c r="AV40" s="31"/>
      <c r="AW40" s="31">
        <f t="shared" ca="1" si="5"/>
        <v>2.9095059272333797E-3</v>
      </c>
      <c r="AX40" s="31"/>
      <c r="AY40" s="31">
        <f t="shared" ca="1" si="6"/>
        <v>4.9481579107190496E-3</v>
      </c>
      <c r="AZ40" s="31"/>
      <c r="BA40" s="134">
        <f t="shared" ca="1" si="7"/>
        <v>5.0700474025406374E-2</v>
      </c>
    </row>
    <row r="41" spans="1:53">
      <c r="A41" s="78"/>
      <c r="B41">
        <v>43</v>
      </c>
      <c r="D41" s="78">
        <v>28</v>
      </c>
      <c r="E41" s="108"/>
      <c r="F41">
        <f>VLOOKUP(B41,Parameters!E32:F122,2)</f>
        <v>8.8999999999999996E-2</v>
      </c>
      <c r="H41">
        <f>VLOOKUP(B41,Parameters!H32:I122,2)</f>
        <v>0.01</v>
      </c>
      <c r="J41">
        <f>VLOOKUP(B41,Parameters!K32:L122,2)</f>
        <v>0.03</v>
      </c>
      <c r="L41">
        <f>VLOOKUP(B41,Parameters!N32:O122,2)</f>
        <v>0.24</v>
      </c>
      <c r="N41">
        <f>VLOOKUP(B41,Parameters!T32:U122,2)</f>
        <v>0.375</v>
      </c>
      <c r="P41">
        <f>VLOOKUP(B41,Parameters!T32:U122,2)</f>
        <v>0.375</v>
      </c>
      <c r="R41" s="78">
        <f>VLOOKUP(B41,Parameters!W32:X122,2)</f>
        <v>0.1</v>
      </c>
      <c r="S41" s="108"/>
      <c r="T41" s="102">
        <f t="shared" si="10"/>
        <v>8.8928480891586698E-2</v>
      </c>
      <c r="V41" s="94">
        <f t="shared" si="11"/>
        <v>4.1589458089503076E-3</v>
      </c>
      <c r="X41" s="34">
        <f t="shared" si="12"/>
        <v>1.1307342008372533E-3</v>
      </c>
      <c r="Z41" s="94">
        <f t="shared" si="13"/>
        <v>4.0251887169045097E-2</v>
      </c>
      <c r="AB41" s="94">
        <f t="shared" si="14"/>
        <v>4.0251887169045097E-2</v>
      </c>
      <c r="AD41" s="110">
        <f t="shared" si="15"/>
        <v>0.82640879896137265</v>
      </c>
      <c r="AE41" s="111"/>
      <c r="AF41" s="112">
        <f t="shared" si="8"/>
        <v>0.99999999999999978</v>
      </c>
      <c r="AG41" s="108"/>
      <c r="AH41" s="131" t="e">
        <f>(#REF!/1000000)*(1-(F41+H41))</f>
        <v>#REF!</v>
      </c>
      <c r="AJ41" s="54">
        <f t="shared" ca="1" si="0"/>
        <v>3.920415099559504</v>
      </c>
      <c r="AL41" s="138">
        <f t="shared" ca="1" si="1"/>
        <v>3.4740244914553822</v>
      </c>
      <c r="AO41" s="135" t="e">
        <f t="shared" ca="1" si="2"/>
        <v>#REF!</v>
      </c>
      <c r="AP41" s="108"/>
      <c r="AQ41" s="31">
        <f t="shared" ca="1" si="3"/>
        <v>8.8674944374894413E-2</v>
      </c>
      <c r="AR41" s="31"/>
      <c r="AS41" s="31">
        <f t="shared" si="9"/>
        <v>3.3271566471602463E-3</v>
      </c>
      <c r="AT41" s="31"/>
      <c r="AU41" s="31">
        <f t="shared" ca="1" si="4"/>
        <v>3.0263874518771116E-4</v>
      </c>
      <c r="AV41" s="31"/>
      <c r="AW41" s="31">
        <f t="shared" ca="1" si="5"/>
        <v>2.7387678047662298E-3</v>
      </c>
      <c r="AX41" s="31"/>
      <c r="AY41" s="31">
        <f t="shared" ca="1" si="6"/>
        <v>4.6577858638916711E-3</v>
      </c>
      <c r="AZ41" s="31"/>
      <c r="BA41" s="134">
        <f t="shared" ca="1" si="7"/>
        <v>4.3577117621855149E-2</v>
      </c>
    </row>
    <row r="42" spans="1:53">
      <c r="A42" s="78"/>
      <c r="B42">
        <v>44</v>
      </c>
      <c r="D42" s="78">
        <v>29</v>
      </c>
      <c r="E42" s="108"/>
      <c r="F42">
        <f>VLOOKUP(B42,Parameters!E33:F123,2)</f>
        <v>8.8999999999999996E-2</v>
      </c>
      <c r="H42">
        <f>VLOOKUP(B42,Parameters!H33:I123,2)</f>
        <v>0.01</v>
      </c>
      <c r="J42">
        <f>VLOOKUP(B42,Parameters!K33:L123,2)</f>
        <v>0.03</v>
      </c>
      <c r="L42">
        <f>VLOOKUP(B42,Parameters!N33:O123,2)</f>
        <v>0.24</v>
      </c>
      <c r="N42">
        <f>VLOOKUP(B42,Parameters!T33:U123,2)</f>
        <v>0.375</v>
      </c>
      <c r="P42">
        <f>VLOOKUP(B42,Parameters!T33:U123,2)</f>
        <v>0.375</v>
      </c>
      <c r="R42" s="78">
        <f>VLOOKUP(B42,Parameters!W33:X123,2)</f>
        <v>0.1</v>
      </c>
      <c r="S42" s="108"/>
      <c r="T42" s="102">
        <f t="shared" si="10"/>
        <v>7.8345991665487877E-2</v>
      </c>
      <c r="V42" s="94">
        <f t="shared" si="11"/>
        <v>3.6660014208956745E-3</v>
      </c>
      <c r="X42" s="34">
        <f t="shared" si="12"/>
        <v>9.9814699414807386E-4</v>
      </c>
      <c r="Z42" s="94">
        <f t="shared" si="13"/>
        <v>3.7786303130496954E-2</v>
      </c>
      <c r="AB42" s="94">
        <f t="shared" si="14"/>
        <v>3.7786303130496954E-2</v>
      </c>
      <c r="AD42" s="110">
        <f t="shared" si="15"/>
        <v>0.84241540065262233</v>
      </c>
      <c r="AE42" s="111"/>
      <c r="AF42" s="112">
        <f t="shared" si="8"/>
        <v>0.99999999999999978</v>
      </c>
      <c r="AG42" s="108"/>
      <c r="AH42" s="131" t="e">
        <f>(#REF!/1000000)*(1-(F42+H42))</f>
        <v>#REF!</v>
      </c>
      <c r="AJ42" s="54">
        <f t="shared" ca="1" si="0"/>
        <v>3.920415099559504</v>
      </c>
      <c r="AL42" s="138">
        <f t="shared" ca="1" si="1"/>
        <v>3.2577508075719166</v>
      </c>
      <c r="AO42" s="135" t="e">
        <f t="shared" ca="1" si="2"/>
        <v>#REF!</v>
      </c>
      <c r="AP42" s="108"/>
      <c r="AQ42" s="31">
        <f t="shared" ca="1" si="3"/>
        <v>7.8122625994281977E-2</v>
      </c>
      <c r="AR42" s="31"/>
      <c r="AS42" s="31">
        <f t="shared" si="9"/>
        <v>2.9328011367165396E-3</v>
      </c>
      <c r="AT42" s="31"/>
      <c r="AU42" s="31">
        <f t="shared" ca="1" si="4"/>
        <v>2.6715204474949533E-4</v>
      </c>
      <c r="AV42" s="31"/>
      <c r="AW42" s="31">
        <f t="shared" ca="1" si="5"/>
        <v>2.571007665810207E-3</v>
      </c>
      <c r="AX42" s="31"/>
      <c r="AY42" s="31">
        <f t="shared" ca="1" si="6"/>
        <v>4.3724784338882864E-3</v>
      </c>
      <c r="AZ42" s="31"/>
      <c r="BA42" s="134">
        <f t="shared" ca="1" si="7"/>
        <v>3.7455383714292245E-2</v>
      </c>
    </row>
    <row r="43" spans="1:53">
      <c r="A43" s="78"/>
      <c r="B43">
        <v>45</v>
      </c>
      <c r="D43" s="78">
        <v>30</v>
      </c>
      <c r="E43" s="108"/>
      <c r="F43">
        <f>VLOOKUP(B43,Parameters!E34:F124,2)</f>
        <v>8.9499999999999996E-2</v>
      </c>
      <c r="H43">
        <f>VLOOKUP(B43,Parameters!H34:I124,2)</f>
        <v>0.01</v>
      </c>
      <c r="J43">
        <f>VLOOKUP(B43,Parameters!K34:L124,2)</f>
        <v>0.03</v>
      </c>
      <c r="L43">
        <f>VLOOKUP(B43,Parameters!N34:O124,2)</f>
        <v>0.24</v>
      </c>
      <c r="N43">
        <f>VLOOKUP(B43,Parameters!T34:U124,2)</f>
        <v>0.375</v>
      </c>
      <c r="P43">
        <f>VLOOKUP(B43,Parameters!T34:U124,2)</f>
        <v>0.375</v>
      </c>
      <c r="R43" s="78">
        <f>VLOOKUP(B43,Parameters!W34:X124,2)</f>
        <v>0.1</v>
      </c>
      <c r="S43" s="108"/>
      <c r="T43" s="102">
        <f t="shared" si="10"/>
        <v>6.9022818657294829E-2</v>
      </c>
      <c r="V43" s="94">
        <f t="shared" si="11"/>
        <v>3.2302200909795978E-3</v>
      </c>
      <c r="X43" s="34">
        <f t="shared" si="12"/>
        <v>8.7984034101496183E-4</v>
      </c>
      <c r="Z43" s="94">
        <f t="shared" si="13"/>
        <v>3.5382423350283139E-2</v>
      </c>
      <c r="AB43" s="94">
        <f t="shared" si="14"/>
        <v>3.5382423350283139E-2</v>
      </c>
      <c r="AD43" s="110">
        <f t="shared" si="15"/>
        <v>0.85698211455115914</v>
      </c>
      <c r="AE43" s="111"/>
      <c r="AF43" s="112">
        <f t="shared" si="8"/>
        <v>0.99999999999999978</v>
      </c>
      <c r="AG43" s="108"/>
      <c r="AH43" s="131" t="e">
        <f>(#REF!/1000000)*(1-(F43+H43))</f>
        <v>#REF!</v>
      </c>
      <c r="AJ43" s="54">
        <f t="shared" ca="1" si="0"/>
        <v>3.920415099559504</v>
      </c>
      <c r="AL43" s="138">
        <f t="shared" ca="1" si="1"/>
        <v>3.0474914144218088</v>
      </c>
      <c r="AO43" s="135" t="e">
        <f t="shared" ca="1" si="2"/>
        <v>#REF!</v>
      </c>
      <c r="AP43" s="108"/>
      <c r="AQ43" s="31">
        <f t="shared" ca="1" si="3"/>
        <v>6.8826033500962433E-2</v>
      </c>
      <c r="AR43" s="31"/>
      <c r="AS43" s="31">
        <f t="shared" si="9"/>
        <v>2.5841760727836785E-3</v>
      </c>
      <c r="AT43" s="31"/>
      <c r="AU43" s="31">
        <f t="shared" ca="1" si="4"/>
        <v>2.354875058816946E-4</v>
      </c>
      <c r="AV43" s="31"/>
      <c r="AW43" s="31">
        <f t="shared" ca="1" si="5"/>
        <v>2.407445929662811E-3</v>
      </c>
      <c r="AX43" s="31"/>
      <c r="AY43" s="31">
        <f t="shared" ca="1" si="6"/>
        <v>4.0943111715248575E-3</v>
      </c>
      <c r="AZ43" s="31"/>
      <c r="BA43" s="134">
        <f t="shared" ca="1" si="7"/>
        <v>3.2195716412371976E-2</v>
      </c>
    </row>
    <row r="44" spans="1:53">
      <c r="A44" s="78"/>
      <c r="B44">
        <v>46</v>
      </c>
      <c r="D44" s="78">
        <v>31</v>
      </c>
      <c r="E44" s="108"/>
      <c r="F44">
        <f>VLOOKUP(B44,Parameters!E35:F125,2)</f>
        <v>8.9499999999999996E-2</v>
      </c>
      <c r="H44">
        <f>VLOOKUP(B44,Parameters!H35:I125,2)</f>
        <v>0.01</v>
      </c>
      <c r="J44">
        <f>VLOOKUP(B44,Parameters!K35:L125,2)</f>
        <v>0.03</v>
      </c>
      <c r="L44">
        <f>VLOOKUP(B44,Parameters!N35:O125,2)</f>
        <v>0.24</v>
      </c>
      <c r="N44">
        <f>VLOOKUP(B44,Parameters!T35:U125,2)</f>
        <v>0.375</v>
      </c>
      <c r="P44">
        <f>VLOOKUP(B44,Parameters!T35:U125,2)</f>
        <v>0.375</v>
      </c>
      <c r="R44" s="78">
        <f>VLOOKUP(B44,Parameters!W35:X125,2)</f>
        <v>0.1</v>
      </c>
      <c r="S44" s="108"/>
      <c r="T44" s="102">
        <f t="shared" si="10"/>
        <v>6.0774591827748095E-2</v>
      </c>
      <c r="V44" s="94">
        <f t="shared" si="11"/>
        <v>2.8459373815539484E-3</v>
      </c>
      <c r="X44" s="34">
        <f t="shared" si="12"/>
        <v>7.7525282183510348E-4</v>
      </c>
      <c r="Z44" s="94">
        <f t="shared" si="13"/>
        <v>3.3055513549372174E-2</v>
      </c>
      <c r="AB44" s="94">
        <f t="shared" si="14"/>
        <v>3.3055513549372174E-2</v>
      </c>
      <c r="AD44" s="110">
        <f t="shared" si="15"/>
        <v>0.87026844369195344</v>
      </c>
      <c r="AE44" s="111"/>
      <c r="AF44" s="112">
        <f t="shared" si="8"/>
        <v>0.99999999999999978</v>
      </c>
      <c r="AG44" s="108"/>
      <c r="AH44" s="131" t="e">
        <f>(#REF!/1000000)*(1-(F44+H44))</f>
        <v>#REF!</v>
      </c>
      <c r="AJ44" s="54">
        <f t="shared" ca="1" si="0"/>
        <v>3.920415099559504</v>
      </c>
      <c r="AL44" s="138">
        <f t="shared" ca="1" si="1"/>
        <v>2.8445094926601566</v>
      </c>
      <c r="AO44" s="135" t="e">
        <f t="shared" ca="1" si="2"/>
        <v>#REF!</v>
      </c>
      <c r="AP44" s="108"/>
      <c r="AQ44" s="31">
        <f t="shared" ca="1" si="3"/>
        <v>6.0601322497597414E-2</v>
      </c>
      <c r="AR44" s="31"/>
      <c r="AS44" s="31">
        <f t="shared" si="9"/>
        <v>2.2767499052431589E-3</v>
      </c>
      <c r="AT44" s="31"/>
      <c r="AU44" s="31">
        <f t="shared" ca="1" si="4"/>
        <v>2.0749486575154634E-4</v>
      </c>
      <c r="AV44" s="31"/>
      <c r="AW44" s="31">
        <f t="shared" ca="1" si="5"/>
        <v>2.249121287129507E-3</v>
      </c>
      <c r="AX44" s="31"/>
      <c r="AY44" s="31">
        <f t="shared" ca="1" si="6"/>
        <v>3.8250505643956339E-3</v>
      </c>
      <c r="AZ44" s="31"/>
      <c r="BA44" s="134">
        <f t="shared" ca="1" si="7"/>
        <v>2.7663006610740393E-2</v>
      </c>
    </row>
    <row r="45" spans="1:53">
      <c r="A45" s="78"/>
      <c r="B45">
        <v>47</v>
      </c>
      <c r="D45" s="78">
        <v>32</v>
      </c>
      <c r="E45" s="108"/>
      <c r="F45">
        <f>VLOOKUP(B45,Parameters!E36:F126,2)</f>
        <v>8.9499999999999996E-2</v>
      </c>
      <c r="H45">
        <f>VLOOKUP(B45,Parameters!H36:I126,2)</f>
        <v>0.01</v>
      </c>
      <c r="J45">
        <f>VLOOKUP(B45,Parameters!K36:L126,2)</f>
        <v>0.03</v>
      </c>
      <c r="L45">
        <f>VLOOKUP(B45,Parameters!N36:O126,2)</f>
        <v>0.24</v>
      </c>
      <c r="N45">
        <f>VLOOKUP(B45,Parameters!T36:U126,2)</f>
        <v>0.375</v>
      </c>
      <c r="P45">
        <f>VLOOKUP(B45,Parameters!T36:U126,2)</f>
        <v>0.375</v>
      </c>
      <c r="R45" s="78">
        <f>VLOOKUP(B45,Parameters!W36:X126,2)</f>
        <v>0.1</v>
      </c>
      <c r="S45" s="108"/>
      <c r="T45" s="102">
        <f t="shared" si="10"/>
        <v>5.3512028104332199E-2</v>
      </c>
      <c r="V45" s="94">
        <f t="shared" si="11"/>
        <v>2.5062627264053907E-3</v>
      </c>
      <c r="X45" s="34">
        <f t="shared" si="12"/>
        <v>6.8302497157294759E-4</v>
      </c>
      <c r="Z45" s="94">
        <f t="shared" si="13"/>
        <v>3.081718871251769E-2</v>
      </c>
      <c r="AB45" s="94">
        <f t="shared" si="14"/>
        <v>3.081718871251769E-2</v>
      </c>
      <c r="AD45" s="110">
        <f t="shared" si="15"/>
        <v>0.88234733174422697</v>
      </c>
      <c r="AE45" s="111"/>
      <c r="AF45" s="112">
        <f t="shared" si="8"/>
        <v>1</v>
      </c>
      <c r="AG45" s="108"/>
      <c r="AH45" s="131" t="e">
        <f>(#REF!/1000000)*(1-(F45+H45))</f>
        <v>#REF!</v>
      </c>
      <c r="AJ45" s="54">
        <f t="shared" ref="AJ45:AJ76" ca="1" si="16">(ccc_adl*L45)+(ccc_hydrocele*P45)+(ccc_le*N45)</f>
        <v>3.920415099559504</v>
      </c>
      <c r="AL45" s="138">
        <f t="shared" ref="AL45:AL76" ca="1" si="17">IF(study_perspective=1,0,IF(age&lt;15,0,IF(age&gt;75,0,min_daily_wage*adl_episode_duration*annual_adl_episodes*X45 + prod_loss_hydrocele*min_annual_wage*Z45+prod_loss_lymphedema*min_annual_wage*AB45)))</f>
        <v>2.6497149596683713</v>
      </c>
      <c r="AO45" s="135" t="e">
        <f t="shared" ref="AO45:AO76" ca="1" si="18">IF(study_perspective=1,((AH45+AJ45)/(1+discount_cost)^cycle),((AH45+AJ45+AL45+hh_costs_adl+hh_costs_hydrocele+hh_costs_lymphedema)/(1+discount_cost)^cycle))</f>
        <v>#REF!</v>
      </c>
      <c r="AP45" s="108"/>
      <c r="AQ45" s="31">
        <f t="shared" ref="AQ45:AQ76" ca="1" si="19">util_healthy*T45*1</f>
        <v>5.3359464459134524E-2</v>
      </c>
      <c r="AR45" s="31"/>
      <c r="AS45" s="31">
        <f t="shared" si="9"/>
        <v>2.0050101811243128E-3</v>
      </c>
      <c r="AT45" s="31"/>
      <c r="AU45" s="31">
        <f t="shared" ref="AU45:AU76" ca="1" si="20">util_adl*X45</f>
        <v>1.8281026626385799E-4</v>
      </c>
      <c r="AV45" s="31"/>
      <c r="AW45" s="31">
        <f t="shared" ref="AW45:AW76" ca="1" si="21">util_lymphedema*AB45</f>
        <v>2.0968240302570384E-3</v>
      </c>
      <c r="AX45" s="31"/>
      <c r="AY45" s="31">
        <f t="shared" ref="AY45:AY76" ca="1" si="22">util_hydrocele*Z45</f>
        <v>3.5660406516401376E-3</v>
      </c>
      <c r="AZ45" s="31"/>
      <c r="BA45" s="134">
        <f t="shared" ref="BA45:BA76" ca="1" si="23">(AQ45+AS45+AU45+AW45+AY45)/((1+discount_effects)^cycle)</f>
        <v>2.3770167950246984E-2</v>
      </c>
    </row>
    <row r="46" spans="1:53">
      <c r="A46" s="78"/>
      <c r="B46">
        <v>48</v>
      </c>
      <c r="D46" s="78">
        <v>33</v>
      </c>
      <c r="E46" s="108"/>
      <c r="F46">
        <f>VLOOKUP(B46,Parameters!E37:F127,2)</f>
        <v>8.9499999999999996E-2</v>
      </c>
      <c r="H46">
        <f>VLOOKUP(B46,Parameters!H37:I127,2)</f>
        <v>0.01</v>
      </c>
      <c r="J46">
        <f>VLOOKUP(B46,Parameters!K37:L127,2)</f>
        <v>0.03</v>
      </c>
      <c r="L46">
        <f>VLOOKUP(B46,Parameters!N37:O127,2)</f>
        <v>0.24</v>
      </c>
      <c r="N46">
        <f>VLOOKUP(B46,Parameters!T37:U127,2)</f>
        <v>0.375</v>
      </c>
      <c r="P46">
        <f>VLOOKUP(B46,Parameters!T37:U127,2)</f>
        <v>0.375</v>
      </c>
      <c r="R46" s="78">
        <f>VLOOKUP(B46,Parameters!W37:X127,2)</f>
        <v>0.1</v>
      </c>
      <c r="S46" s="108"/>
      <c r="T46" s="102">
        <f t="shared" si="10"/>
        <v>4.7117340745864496E-2</v>
      </c>
      <c r="V46" s="94">
        <f t="shared" si="11"/>
        <v>2.2068638974672597E-3</v>
      </c>
      <c r="X46" s="34">
        <f t="shared" si="12"/>
        <v>6.0150305433729376E-4</v>
      </c>
      <c r="Z46" s="94">
        <f t="shared" si="13"/>
        <v>2.8675318363667941E-2</v>
      </c>
      <c r="AB46" s="94">
        <f t="shared" si="14"/>
        <v>2.8675318363667941E-2</v>
      </c>
      <c r="AD46" s="110">
        <f t="shared" si="15"/>
        <v>0.89332515862933226</v>
      </c>
      <c r="AE46" s="111"/>
      <c r="AF46" s="112">
        <f t="shared" si="8"/>
        <v>0.99999999999999989</v>
      </c>
      <c r="AG46" s="108"/>
      <c r="AH46" s="131" t="e">
        <f>(#REF!/1000000)*(1-(F46+H46))</f>
        <v>#REF!</v>
      </c>
      <c r="AJ46" s="54">
        <f t="shared" ca="1" si="16"/>
        <v>3.920415099559504</v>
      </c>
      <c r="AL46" s="138">
        <f t="shared" ca="1" si="17"/>
        <v>2.4636840947564345</v>
      </c>
      <c r="AO46" s="135" t="e">
        <f t="shared" ca="1" si="18"/>
        <v>#REF!</v>
      </c>
      <c r="AP46" s="108"/>
      <c r="AQ46" s="31">
        <f t="shared" ca="1" si="19"/>
        <v>4.698300845626794E-2</v>
      </c>
      <c r="AR46" s="31"/>
      <c r="AS46" s="31">
        <f t="shared" si="9"/>
        <v>1.7654911179738079E-3</v>
      </c>
      <c r="AT46" s="31"/>
      <c r="AU46" s="31">
        <f t="shared" ca="1" si="20"/>
        <v>1.609910883180361E-4</v>
      </c>
      <c r="AV46" s="31"/>
      <c r="AW46" s="31">
        <f t="shared" ca="1" si="21"/>
        <v>1.9510896072030977E-3</v>
      </c>
      <c r="AX46" s="31"/>
      <c r="AY46" s="31">
        <f t="shared" ca="1" si="22"/>
        <v>3.3181920627960047E-3</v>
      </c>
      <c r="AZ46" s="31"/>
      <c r="BA46" s="134">
        <f t="shared" ca="1" si="23"/>
        <v>2.04268191852503E-2</v>
      </c>
    </row>
    <row r="47" spans="1:53">
      <c r="A47" s="78"/>
      <c r="B47">
        <v>49</v>
      </c>
      <c r="D47" s="78">
        <v>34</v>
      </c>
      <c r="E47" s="108"/>
      <c r="F47">
        <f>VLOOKUP(B47,Parameters!E38:F128,2)</f>
        <v>8.9499999999999996E-2</v>
      </c>
      <c r="H47">
        <f>VLOOKUP(B47,Parameters!H38:I128,2)</f>
        <v>0.01</v>
      </c>
      <c r="J47">
        <f>VLOOKUP(B47,Parameters!K38:L128,2)</f>
        <v>0.03</v>
      </c>
      <c r="L47">
        <f>VLOOKUP(B47,Parameters!N38:O128,2)</f>
        <v>0.24</v>
      </c>
      <c r="N47">
        <f>VLOOKUP(B47,Parameters!T38:U128,2)</f>
        <v>0.375</v>
      </c>
      <c r="P47">
        <f>VLOOKUP(B47,Parameters!T38:U128,2)</f>
        <v>0.375</v>
      </c>
      <c r="R47" s="78">
        <f>VLOOKUP(B47,Parameters!W38:X128,2)</f>
        <v>0.1</v>
      </c>
      <c r="S47" s="108"/>
      <c r="T47" s="102">
        <f t="shared" si="10"/>
        <v>4.1486818526733693E-2</v>
      </c>
      <c r="V47" s="94">
        <f t="shared" si="11"/>
        <v>1.9431675577680776E-3</v>
      </c>
      <c r="X47" s="34">
        <f t="shared" si="12"/>
        <v>5.2964733539214229E-4</v>
      </c>
      <c r="Z47" s="94">
        <f t="shared" si="13"/>
        <v>2.6635360488851369E-2</v>
      </c>
      <c r="AB47" s="94">
        <f t="shared" si="14"/>
        <v>2.6635360488851369E-2</v>
      </c>
      <c r="AD47" s="110">
        <f t="shared" si="15"/>
        <v>0.90329929293779543</v>
      </c>
      <c r="AE47" s="111"/>
      <c r="AF47" s="112">
        <f t="shared" si="8"/>
        <v>1</v>
      </c>
      <c r="AG47" s="108"/>
      <c r="AH47" s="131" t="e">
        <f>(#REF!/1000000)*(1-(F47+H47))</f>
        <v>#REF!</v>
      </c>
      <c r="AJ47" s="54">
        <f t="shared" ca="1" si="16"/>
        <v>3.920415099559504</v>
      </c>
      <c r="AL47" s="138">
        <f t="shared" ca="1" si="17"/>
        <v>2.2868224684907368</v>
      </c>
      <c r="AO47" s="135" t="e">
        <f t="shared" ca="1" si="18"/>
        <v>#REF!</v>
      </c>
      <c r="AP47" s="108"/>
      <c r="AQ47" s="31">
        <f t="shared" ca="1" si="19"/>
        <v>4.1368538945743931E-2</v>
      </c>
      <c r="AR47" s="31"/>
      <c r="AS47" s="31">
        <f t="shared" si="9"/>
        <v>1.5545340462144622E-3</v>
      </c>
      <c r="AT47" s="31"/>
      <c r="AU47" s="31">
        <f t="shared" ca="1" si="20"/>
        <v>1.4175904899348097E-4</v>
      </c>
      <c r="AV47" s="31"/>
      <c r="AW47" s="31">
        <f t="shared" ca="1" si="21"/>
        <v>1.8122893833238179E-3</v>
      </c>
      <c r="AX47" s="31"/>
      <c r="AY47" s="31">
        <f t="shared" ca="1" si="22"/>
        <v>3.0821363739695143E-3</v>
      </c>
      <c r="AZ47" s="31"/>
      <c r="BA47" s="134">
        <f t="shared" ca="1" si="23"/>
        <v>1.7555241712490045E-2</v>
      </c>
    </row>
    <row r="48" spans="1:53">
      <c r="A48" s="78"/>
      <c r="B48">
        <v>50</v>
      </c>
      <c r="D48" s="78">
        <v>35</v>
      </c>
      <c r="E48" s="108"/>
      <c r="F48">
        <f>VLOOKUP(B48,Parameters!E39:F129,2)</f>
        <v>0.12529999999999999</v>
      </c>
      <c r="H48">
        <f>VLOOKUP(B48,Parameters!H39:I129,2)</f>
        <v>0.01</v>
      </c>
      <c r="J48">
        <f>VLOOKUP(B48,Parameters!K39:L129,2)</f>
        <v>0.03</v>
      </c>
      <c r="L48">
        <f>VLOOKUP(B48,Parameters!N39:O129,2)</f>
        <v>0.15</v>
      </c>
      <c r="N48">
        <f>VLOOKUP(B48,Parameters!T39:U129,2)</f>
        <v>0.375</v>
      </c>
      <c r="P48">
        <f>VLOOKUP(B48,Parameters!T39:U129,2)</f>
        <v>0.375</v>
      </c>
      <c r="R48" s="78">
        <f>VLOOKUP(B48,Parameters!W39:X129,2)</f>
        <v>0.1</v>
      </c>
      <c r="S48" s="108"/>
      <c r="T48" s="102">
        <f t="shared" si="10"/>
        <v>3.6529143712789015E-2</v>
      </c>
      <c r="V48" s="94">
        <f t="shared" si="11"/>
        <v>1.7109647696663497E-3</v>
      </c>
      <c r="X48" s="34">
        <f t="shared" si="12"/>
        <v>4.6636021386433859E-4</v>
      </c>
      <c r="Z48" s="94">
        <f t="shared" si="13"/>
        <v>2.4700512274129262E-2</v>
      </c>
      <c r="AB48" s="94">
        <f t="shared" si="14"/>
        <v>2.4700512274129262E-2</v>
      </c>
      <c r="AD48" s="110">
        <f t="shared" si="15"/>
        <v>0.91235886696928614</v>
      </c>
      <c r="AE48" s="111"/>
      <c r="AF48" s="112">
        <f t="shared" si="8"/>
        <v>1</v>
      </c>
      <c r="AG48" s="108"/>
      <c r="AH48" s="131" t="e">
        <f>(#REF!/1000000)*(1-(F48+H48))</f>
        <v>#REF!</v>
      </c>
      <c r="AJ48" s="54">
        <f t="shared" ca="1" si="16"/>
        <v>3.6679997749313906</v>
      </c>
      <c r="AL48" s="138">
        <f t="shared" ca="1" si="17"/>
        <v>2.1193408380738852</v>
      </c>
      <c r="AO48" s="135" t="e">
        <f t="shared" ca="1" si="18"/>
        <v>#REF!</v>
      </c>
      <c r="AP48" s="108"/>
      <c r="AQ48" s="31">
        <f t="shared" ca="1" si="19"/>
        <v>3.6424998541727531E-2</v>
      </c>
      <c r="AR48" s="31"/>
      <c r="AS48" s="31">
        <f t="shared" si="9"/>
        <v>1.3687718157330798E-3</v>
      </c>
      <c r="AT48" s="31"/>
      <c r="AU48" s="31">
        <f t="shared" ca="1" si="20"/>
        <v>1.2482037761382805E-4</v>
      </c>
      <c r="AV48" s="31"/>
      <c r="AW48" s="31">
        <f t="shared" ca="1" si="21"/>
        <v>1.6806408974941775E-3</v>
      </c>
      <c r="AX48" s="31"/>
      <c r="AY48" s="31">
        <f t="shared" ca="1" si="22"/>
        <v>2.8582435506228549E-3</v>
      </c>
      <c r="AZ48" s="31"/>
      <c r="BA48" s="134">
        <f t="shared" ca="1" si="23"/>
        <v>1.5088681792967872E-2</v>
      </c>
    </row>
    <row r="49" spans="1:53">
      <c r="A49" s="78"/>
      <c r="B49">
        <v>51</v>
      </c>
      <c r="D49" s="78">
        <v>36</v>
      </c>
      <c r="E49" s="108"/>
      <c r="F49">
        <f>VLOOKUP(B49,Parameters!E40:F130,2)</f>
        <v>0.12529999999999999</v>
      </c>
      <c r="H49">
        <f>VLOOKUP(B49,Parameters!H40:I130,2)</f>
        <v>0.01</v>
      </c>
      <c r="J49">
        <f>VLOOKUP(B49,Parameters!K40:L130,2)</f>
        <v>0.03</v>
      </c>
      <c r="L49">
        <f>VLOOKUP(B49,Parameters!N40:O130,2)</f>
        <v>0.15</v>
      </c>
      <c r="N49">
        <f>VLOOKUP(B49,Parameters!T40:U130,2)</f>
        <v>0.375</v>
      </c>
      <c r="P49">
        <f>VLOOKUP(B49,Parameters!T40:U130,2)</f>
        <v>0.375</v>
      </c>
      <c r="R49" s="78">
        <f>VLOOKUP(B49,Parameters!W40:X130,2)</f>
        <v>0.1</v>
      </c>
      <c r="S49" s="108"/>
      <c r="T49" s="102">
        <f t="shared" si="10"/>
        <v>3.0856167694192884E-2</v>
      </c>
      <c r="V49" s="94">
        <f t="shared" si="11"/>
        <v>1.5065058561035947E-3</v>
      </c>
      <c r="X49" s="34">
        <f t="shared" si="12"/>
        <v>2.5664471544995242E-4</v>
      </c>
      <c r="Z49" s="94">
        <f t="shared" si="13"/>
        <v>2.2872072835341217E-2</v>
      </c>
      <c r="AB49" s="94">
        <f t="shared" si="14"/>
        <v>2.2872072835341217E-2</v>
      </c>
      <c r="AD49" s="110">
        <f t="shared" si="15"/>
        <v>0.92189318077902116</v>
      </c>
      <c r="AE49" s="111"/>
      <c r="AF49" s="112">
        <f t="shared" si="8"/>
        <v>1</v>
      </c>
      <c r="AG49" s="108"/>
      <c r="AH49" s="131" t="e">
        <f>(#REF!/1000000)*(1-(F49+H49))</f>
        <v>#REF!</v>
      </c>
      <c r="AJ49" s="54">
        <f t="shared" ca="1" si="16"/>
        <v>3.6679997749313906</v>
      </c>
      <c r="AL49" s="138">
        <f t="shared" ca="1" si="17"/>
        <v>1.9528408160745268</v>
      </c>
      <c r="AO49" s="135" t="e">
        <f t="shared" ca="1" si="18"/>
        <v>#REF!</v>
      </c>
      <c r="AP49" s="108"/>
      <c r="AQ49" s="31">
        <f t="shared" ca="1" si="19"/>
        <v>3.0768196268197247E-2</v>
      </c>
      <c r="AR49" s="31"/>
      <c r="AS49" s="31">
        <f t="shared" si="9"/>
        <v>1.2052046848828758E-3</v>
      </c>
      <c r="AT49" s="31"/>
      <c r="AU49" s="31">
        <f t="shared" ca="1" si="20"/>
        <v>6.8690444301869961E-5</v>
      </c>
      <c r="AV49" s="31"/>
      <c r="AW49" s="31">
        <f t="shared" ca="1" si="21"/>
        <v>1.5562325425048347E-3</v>
      </c>
      <c r="AX49" s="31"/>
      <c r="AY49" s="31">
        <f t="shared" ca="1" si="22"/>
        <v>2.6466639211957309E-3</v>
      </c>
      <c r="AZ49" s="31"/>
      <c r="BA49" s="134">
        <f t="shared" ca="1" si="23"/>
        <v>1.250569605785949E-2</v>
      </c>
    </row>
    <row r="50" spans="1:53">
      <c r="A50" s="78"/>
      <c r="B50">
        <v>52</v>
      </c>
      <c r="D50" s="78">
        <v>37</v>
      </c>
      <c r="E50" s="108"/>
      <c r="F50">
        <f>VLOOKUP(B50,Parameters!E41:F131,2)</f>
        <v>0.12529999999999999</v>
      </c>
      <c r="H50">
        <f>VLOOKUP(B50,Parameters!H41:I131,2)</f>
        <v>0.01</v>
      </c>
      <c r="J50">
        <f>VLOOKUP(B50,Parameters!K41:L131,2)</f>
        <v>0.03</v>
      </c>
      <c r="L50">
        <f>VLOOKUP(B50,Parameters!N41:O131,2)</f>
        <v>0.15</v>
      </c>
      <c r="N50">
        <f>VLOOKUP(B50,Parameters!T41:U131,2)</f>
        <v>0.375</v>
      </c>
      <c r="P50">
        <f>VLOOKUP(B50,Parameters!T41:U131,2)</f>
        <v>0.375</v>
      </c>
      <c r="R50" s="78">
        <f>VLOOKUP(B50,Parameters!W41:X131,2)</f>
        <v>0.1</v>
      </c>
      <c r="S50" s="108"/>
      <c r="T50" s="102">
        <f t="shared" si="10"/>
        <v>2.6064204851284731E-2</v>
      </c>
      <c r="V50" s="94">
        <f t="shared" si="11"/>
        <v>1.2872464362906494E-3</v>
      </c>
      <c r="X50" s="34">
        <f t="shared" si="12"/>
        <v>2.259758784155392E-4</v>
      </c>
      <c r="Z50" s="94">
        <f t="shared" si="13"/>
        <v>2.1149805247845942E-2</v>
      </c>
      <c r="AB50" s="94">
        <f t="shared" si="14"/>
        <v>2.1149805247845942E-2</v>
      </c>
      <c r="AD50" s="110">
        <f t="shared" si="15"/>
        <v>0.93034893821673292</v>
      </c>
      <c r="AE50" s="111"/>
      <c r="AF50" s="112">
        <f t="shared" si="8"/>
        <v>1.0000000000000002</v>
      </c>
      <c r="AG50" s="108"/>
      <c r="AH50" s="131" t="e">
        <f>(#REF!/1000000)*(1-(F50+H50))</f>
        <v>#REF!</v>
      </c>
      <c r="AJ50" s="54">
        <f t="shared" ca="1" si="16"/>
        <v>3.6679997749313906</v>
      </c>
      <c r="AL50" s="138">
        <f t="shared" ca="1" si="17"/>
        <v>1.80516916290136</v>
      </c>
      <c r="AO50" s="135" t="e">
        <f t="shared" ca="1" si="18"/>
        <v>#REF!</v>
      </c>
      <c r="AP50" s="108"/>
      <c r="AQ50" s="31">
        <f t="shared" ca="1" si="19"/>
        <v>2.5989895387746216E-2</v>
      </c>
      <c r="AR50" s="31"/>
      <c r="AS50" s="31">
        <f t="shared" si="9"/>
        <v>1.0297971490325194E-3</v>
      </c>
      <c r="AT50" s="31"/>
      <c r="AU50" s="31">
        <f t="shared" ca="1" si="20"/>
        <v>6.0481991466898957E-5</v>
      </c>
      <c r="AV50" s="31"/>
      <c r="AW50" s="31">
        <f t="shared" ca="1" si="21"/>
        <v>1.439048197830136E-3</v>
      </c>
      <c r="AX50" s="31"/>
      <c r="AY50" s="31">
        <f t="shared" ca="1" si="22"/>
        <v>2.4473700697252481E-3</v>
      </c>
      <c r="AZ50" s="31"/>
      <c r="BA50" s="134">
        <f t="shared" ca="1" si="23"/>
        <v>1.0373280202017623E-2</v>
      </c>
    </row>
    <row r="51" spans="1:53">
      <c r="A51" s="78"/>
      <c r="B51">
        <v>53</v>
      </c>
      <c r="D51" s="78">
        <v>38</v>
      </c>
      <c r="E51" s="108"/>
      <c r="F51">
        <f>VLOOKUP(B51,Parameters!E42:F132,2)</f>
        <v>0.12529999999999999</v>
      </c>
      <c r="H51">
        <f>VLOOKUP(B51,Parameters!H42:I132,2)</f>
        <v>0.01</v>
      </c>
      <c r="J51">
        <f>VLOOKUP(B51,Parameters!K42:L132,2)</f>
        <v>0.03</v>
      </c>
      <c r="L51">
        <f>VLOOKUP(B51,Parameters!N42:O132,2)</f>
        <v>0.15</v>
      </c>
      <c r="N51">
        <f>VLOOKUP(B51,Parameters!T42:U132,2)</f>
        <v>0.375</v>
      </c>
      <c r="P51">
        <f>VLOOKUP(B51,Parameters!T42:U132,2)</f>
        <v>0.375</v>
      </c>
      <c r="R51" s="78">
        <f>VLOOKUP(B51,Parameters!W42:X132,2)</f>
        <v>0.1</v>
      </c>
      <c r="S51" s="108"/>
      <c r="T51" s="102">
        <f t="shared" si="10"/>
        <v>2.2016433837880212E-2</v>
      </c>
      <c r="V51" s="94">
        <f t="shared" si="11"/>
        <v>1.0908652902482977E-3</v>
      </c>
      <c r="X51" s="34">
        <f t="shared" si="12"/>
        <v>1.9308696544359741E-4</v>
      </c>
      <c r="Z51" s="94">
        <f t="shared" si="13"/>
        <v>1.9517542136670344E-2</v>
      </c>
      <c r="AB51" s="94">
        <f t="shared" si="14"/>
        <v>1.9517542136670344E-2</v>
      </c>
      <c r="AD51" s="110">
        <f t="shared" si="15"/>
        <v>0.93785761659853106</v>
      </c>
      <c r="AE51" s="111"/>
      <c r="AF51" s="112">
        <f t="shared" si="8"/>
        <v>1.0000000000000002</v>
      </c>
      <c r="AG51" s="108"/>
      <c r="AH51" s="131" t="e">
        <f>(#REF!/1000000)*(1-(F51+H51))</f>
        <v>#REF!</v>
      </c>
      <c r="AJ51" s="54">
        <f t="shared" ca="1" si="16"/>
        <v>3.6679997749313906</v>
      </c>
      <c r="AL51" s="138">
        <f t="shared" ca="1" si="17"/>
        <v>1.6650048733094169</v>
      </c>
      <c r="AO51" s="135" t="e">
        <f t="shared" ca="1" si="18"/>
        <v>#REF!</v>
      </c>
      <c r="AP51" s="108"/>
      <c r="AQ51" s="31">
        <f t="shared" ca="1" si="19"/>
        <v>2.1953664634029226E-2</v>
      </c>
      <c r="AR51" s="31"/>
      <c r="AS51" s="31">
        <f t="shared" si="9"/>
        <v>8.7269223219863825E-4</v>
      </c>
      <c r="AT51" s="31"/>
      <c r="AU51" s="31">
        <f t="shared" ca="1" si="20"/>
        <v>5.1679339751715799E-5</v>
      </c>
      <c r="AV51" s="31"/>
      <c r="AW51" s="31">
        <f t="shared" ca="1" si="21"/>
        <v>1.3279878234675358E-3</v>
      </c>
      <c r="AX51" s="31"/>
      <c r="AY51" s="31">
        <f t="shared" ca="1" si="22"/>
        <v>2.2584911728562268E-3</v>
      </c>
      <c r="AZ51" s="31"/>
      <c r="BA51" s="134">
        <f t="shared" ca="1" si="23"/>
        <v>8.6069524537659321E-3</v>
      </c>
    </row>
    <row r="52" spans="1:53">
      <c r="A52" s="78"/>
      <c r="B52">
        <v>54</v>
      </c>
      <c r="D52" s="78">
        <v>39</v>
      </c>
      <c r="E52" s="108"/>
      <c r="F52">
        <f>VLOOKUP(B52,Parameters!E43:F133,2)</f>
        <v>0.12529999999999999</v>
      </c>
      <c r="H52">
        <f>VLOOKUP(B52,Parameters!H43:I133,2)</f>
        <v>0.01</v>
      </c>
      <c r="J52">
        <f>VLOOKUP(B52,Parameters!K43:L133,2)</f>
        <v>0.03</v>
      </c>
      <c r="L52">
        <f>VLOOKUP(B52,Parameters!N43:O133,2)</f>
        <v>0.15</v>
      </c>
      <c r="N52">
        <f>VLOOKUP(B52,Parameters!T43:U133,2)</f>
        <v>0.375</v>
      </c>
      <c r="P52">
        <f>VLOOKUP(B52,Parameters!T43:U133,2)</f>
        <v>0.375</v>
      </c>
      <c r="R52" s="78">
        <f>VLOOKUP(B52,Parameters!W43:X133,2)</f>
        <v>0.1</v>
      </c>
      <c r="S52" s="108"/>
      <c r="T52" s="102">
        <f t="shared" si="10"/>
        <v>1.8597281662857415E-2</v>
      </c>
      <c r="V52" s="94">
        <f t="shared" si="11"/>
        <v>9.2230068479599761E-4</v>
      </c>
      <c r="X52" s="34">
        <f t="shared" si="12"/>
        <v>1.6362979353724466E-4</v>
      </c>
      <c r="Z52" s="94">
        <f t="shared" si="13"/>
        <v>1.7974862406846419E-2</v>
      </c>
      <c r="AB52" s="94">
        <f t="shared" si="14"/>
        <v>1.7974862406846419E-2</v>
      </c>
      <c r="AD52" s="110">
        <f t="shared" si="15"/>
        <v>0.94453069283865387</v>
      </c>
      <c r="AE52" s="111"/>
      <c r="AF52" s="112">
        <f t="shared" si="8"/>
        <v>1.0000000000000002</v>
      </c>
      <c r="AG52" s="108"/>
      <c r="AH52" s="131" t="e">
        <f>(#REF!/1000000)*(1-(F52+H52))</f>
        <v>#REF!</v>
      </c>
      <c r="AJ52" s="54">
        <f t="shared" ca="1" si="16"/>
        <v>3.6679997749313906</v>
      </c>
      <c r="AL52" s="138">
        <f t="shared" ca="1" si="17"/>
        <v>1.5326225077663791</v>
      </c>
      <c r="AO52" s="135" t="e">
        <f t="shared" ca="1" si="18"/>
        <v>#REF!</v>
      </c>
      <c r="AP52" s="108"/>
      <c r="AQ52" s="31">
        <f t="shared" ca="1" si="19"/>
        <v>1.8544260516364489E-2</v>
      </c>
      <c r="AR52" s="31"/>
      <c r="AS52" s="31">
        <f t="shared" si="9"/>
        <v>7.3784054783679809E-4</v>
      </c>
      <c r="AT52" s="31"/>
      <c r="AU52" s="31">
        <f t="shared" ca="1" si="20"/>
        <v>4.3795186662584637E-5</v>
      </c>
      <c r="AV52" s="31"/>
      <c r="AW52" s="31">
        <f t="shared" ca="1" si="21"/>
        <v>1.2230227678078247E-3</v>
      </c>
      <c r="AX52" s="31"/>
      <c r="AY52" s="31">
        <f t="shared" ca="1" si="22"/>
        <v>2.0799785031791656E-3</v>
      </c>
      <c r="AZ52" s="31"/>
      <c r="BA52" s="134">
        <f t="shared" ca="1" si="23"/>
        <v>7.1451546345276101E-3</v>
      </c>
    </row>
    <row r="53" spans="1:53">
      <c r="A53" s="78"/>
      <c r="B53">
        <v>55</v>
      </c>
      <c r="D53" s="78">
        <v>40</v>
      </c>
      <c r="E53" s="108"/>
      <c r="F53">
        <f>VLOOKUP(B53,Parameters!E44:F134,2)</f>
        <v>0.1148</v>
      </c>
      <c r="H53">
        <f>VLOOKUP(B53,Parameters!H44:I134,2)</f>
        <v>0.01</v>
      </c>
      <c r="J53">
        <f>VLOOKUP(B53,Parameters!K44:L134,2)</f>
        <v>0.03</v>
      </c>
      <c r="L53">
        <f>VLOOKUP(B53,Parameters!N44:O134,2)</f>
        <v>0.15</v>
      </c>
      <c r="N53">
        <f>VLOOKUP(B53,Parameters!T44:U134,2)</f>
        <v>0.375</v>
      </c>
      <c r="P53">
        <f>VLOOKUP(B53,Parameters!T44:U134,2)</f>
        <v>0.375</v>
      </c>
      <c r="R53" s="78">
        <f>VLOOKUP(B53,Parameters!W44:X134,2)</f>
        <v>0.1</v>
      </c>
      <c r="S53" s="108"/>
      <c r="T53" s="102">
        <f t="shared" si="10"/>
        <v>1.5709123820615657E-2</v>
      </c>
      <c r="V53" s="94">
        <f t="shared" si="11"/>
        <v>7.7927061423676202E-4</v>
      </c>
      <c r="X53" s="34">
        <f t="shared" si="12"/>
        <v>1.3834510271939964E-4</v>
      </c>
      <c r="Z53" s="94">
        <f t="shared" si="13"/>
        <v>1.6523238922960273E-2</v>
      </c>
      <c r="AB53" s="94">
        <f t="shared" si="14"/>
        <v>1.6523238922960273E-2</v>
      </c>
      <c r="AD53" s="110">
        <f t="shared" si="15"/>
        <v>0.95046512771922709</v>
      </c>
      <c r="AE53" s="111"/>
      <c r="AF53" s="112">
        <f t="shared" si="8"/>
        <v>1</v>
      </c>
      <c r="AG53" s="108"/>
      <c r="AH53" s="131" t="e">
        <f>(#REF!/1000000)*(1-(F53+H53))</f>
        <v>#REF!</v>
      </c>
      <c r="AJ53" s="54">
        <f t="shared" ca="1" si="16"/>
        <v>3.6679997749313906</v>
      </c>
      <c r="AL53" s="138">
        <f t="shared" ca="1" si="17"/>
        <v>1.4081875763878089</v>
      </c>
      <c r="AO53" s="135" t="e">
        <f t="shared" ca="1" si="18"/>
        <v>#REF!</v>
      </c>
      <c r="AP53" s="108"/>
      <c r="AQ53" s="31">
        <f t="shared" ca="1" si="19"/>
        <v>1.5664336858173082E-2</v>
      </c>
      <c r="AR53" s="31"/>
      <c r="AS53" s="31">
        <f t="shared" si="9"/>
        <v>6.2341649138940964E-4</v>
      </c>
      <c r="AT53" s="31"/>
      <c r="AU53" s="31">
        <f t="shared" ca="1" si="20"/>
        <v>3.7027789783719702E-5</v>
      </c>
      <c r="AV53" s="31"/>
      <c r="AW53" s="31">
        <f t="shared" ca="1" si="21"/>
        <v>1.1242532456332876E-3</v>
      </c>
      <c r="AX53" s="31"/>
      <c r="AY53" s="31">
        <f t="shared" ca="1" si="22"/>
        <v>1.912002494637192E-3</v>
      </c>
      <c r="AZ53" s="31"/>
      <c r="BA53" s="134">
        <f t="shared" ca="1" si="23"/>
        <v>5.9352582999204562E-3</v>
      </c>
    </row>
    <row r="54" spans="1:53">
      <c r="A54" s="78"/>
      <c r="B54">
        <v>56</v>
      </c>
      <c r="D54" s="78">
        <v>41</v>
      </c>
      <c r="E54" s="108"/>
      <c r="F54">
        <f>VLOOKUP(B54,Parameters!E45:F135,2)</f>
        <v>0.1148</v>
      </c>
      <c r="H54">
        <f>VLOOKUP(B54,Parameters!H45:I135,2)</f>
        <v>0.01</v>
      </c>
      <c r="J54">
        <f>VLOOKUP(B54,Parameters!K45:L135,2)</f>
        <v>0.03</v>
      </c>
      <c r="L54">
        <f>VLOOKUP(B54,Parameters!N45:O135,2)</f>
        <v>0.15</v>
      </c>
      <c r="N54">
        <f>VLOOKUP(B54,Parameters!T45:U135,2)</f>
        <v>0.375</v>
      </c>
      <c r="P54">
        <f>VLOOKUP(B54,Parameters!T45:U135,2)</f>
        <v>0.375</v>
      </c>
      <c r="R54" s="78">
        <f>VLOOKUP(B54,Parameters!W45:X135,2)</f>
        <v>0.1</v>
      </c>
      <c r="S54" s="108"/>
      <c r="T54" s="102">
        <f t="shared" si="10"/>
        <v>1.343444269139051E-2</v>
      </c>
      <c r="V54" s="94">
        <f t="shared" si="11"/>
        <v>6.5829866203529278E-4</v>
      </c>
      <c r="X54" s="34">
        <f t="shared" si="12"/>
        <v>1.168905921355143E-4</v>
      </c>
      <c r="Z54" s="94">
        <f t="shared" si="13"/>
        <v>1.5163141511003031E-2</v>
      </c>
      <c r="AB54" s="94">
        <f t="shared" si="14"/>
        <v>1.5163141511003031E-2</v>
      </c>
      <c r="AD54" s="110">
        <f t="shared" si="15"/>
        <v>0.95558097562456834</v>
      </c>
      <c r="AE54" s="111"/>
      <c r="AF54" s="112">
        <f t="shared" si="8"/>
        <v>1.0000000000000002</v>
      </c>
      <c r="AG54" s="108"/>
      <c r="AH54" s="131" t="e">
        <f>(#REF!/1000000)*(1-(F54+H54))</f>
        <v>#REF!</v>
      </c>
      <c r="AJ54" s="54">
        <f t="shared" ca="1" si="16"/>
        <v>3.6679997749313906</v>
      </c>
      <c r="AL54" s="138">
        <f t="shared" ca="1" si="17"/>
        <v>1.2917211135062943</v>
      </c>
      <c r="AO54" s="135" t="e">
        <f t="shared" ca="1" si="18"/>
        <v>#REF!</v>
      </c>
      <c r="AP54" s="108"/>
      <c r="AQ54" s="31">
        <f t="shared" ca="1" si="19"/>
        <v>1.339614088110962E-2</v>
      </c>
      <c r="AR54" s="31"/>
      <c r="AS54" s="31">
        <f t="shared" si="9"/>
        <v>5.2663892962823426E-4</v>
      </c>
      <c r="AT54" s="31"/>
      <c r="AU54" s="31">
        <f t="shared" ca="1" si="20"/>
        <v>3.1285532976668316E-5</v>
      </c>
      <c r="AV54" s="31"/>
      <c r="AW54" s="31">
        <f t="shared" ca="1" si="21"/>
        <v>1.0317112242475425E-3</v>
      </c>
      <c r="AX54" s="31"/>
      <c r="AY54" s="31">
        <f t="shared" ca="1" si="22"/>
        <v>1.7546175135970503E-3</v>
      </c>
      <c r="AZ54" s="31"/>
      <c r="BA54" s="134">
        <f t="shared" ca="1" si="23"/>
        <v>4.9824100222828115E-3</v>
      </c>
    </row>
    <row r="55" spans="1:53">
      <c r="A55" s="78"/>
      <c r="B55">
        <v>57</v>
      </c>
      <c r="D55" s="78">
        <v>42</v>
      </c>
      <c r="E55" s="108"/>
      <c r="F55">
        <f>VLOOKUP(B55,Parameters!E46:F136,2)</f>
        <v>0.1148</v>
      </c>
      <c r="H55">
        <f>VLOOKUP(B55,Parameters!H46:I136,2)</f>
        <v>0.01</v>
      </c>
      <c r="J55">
        <f>VLOOKUP(B55,Parameters!K46:L136,2)</f>
        <v>0.03</v>
      </c>
      <c r="L55">
        <f>VLOOKUP(B55,Parameters!N46:O136,2)</f>
        <v>0.15</v>
      </c>
      <c r="N55">
        <f>VLOOKUP(B55,Parameters!T46:U136,2)</f>
        <v>0.375</v>
      </c>
      <c r="P55">
        <f>VLOOKUP(B55,Parameters!T46:U136,2)</f>
        <v>0.375</v>
      </c>
      <c r="R55" s="78">
        <f>VLOOKUP(B55,Parameters!W46:X136,2)</f>
        <v>0.1</v>
      </c>
      <c r="S55" s="108"/>
      <c r="T55" s="102">
        <f t="shared" si="10"/>
        <v>1.1489135389677165E-2</v>
      </c>
      <c r="V55" s="94">
        <f t="shared" si="11"/>
        <v>5.6102495963018567E-4</v>
      </c>
      <c r="X55" s="34">
        <f t="shared" si="12"/>
        <v>9.8744799305293911E-5</v>
      </c>
      <c r="Z55" s="94">
        <f t="shared" si="13"/>
        <v>1.3893689358165963E-2</v>
      </c>
      <c r="AB55" s="94">
        <f t="shared" si="14"/>
        <v>1.3893689358165963E-2</v>
      </c>
      <c r="AD55" s="110">
        <f t="shared" si="15"/>
        <v>0.96016246093436097</v>
      </c>
      <c r="AE55" s="111"/>
      <c r="AF55" s="112">
        <f t="shared" si="8"/>
        <v>1.0000000000000002</v>
      </c>
      <c r="AG55" s="108"/>
      <c r="AH55" s="131" t="e">
        <f>(#REF!/1000000)*(1-(F55+H55))</f>
        <v>#REF!</v>
      </c>
      <c r="AJ55" s="54">
        <f t="shared" ca="1" si="16"/>
        <v>3.6679997749313906</v>
      </c>
      <c r="AL55" s="138">
        <f t="shared" ca="1" si="17"/>
        <v>1.18311983147194</v>
      </c>
      <c r="AO55" s="135" t="e">
        <f t="shared" ca="1" si="18"/>
        <v>#REF!</v>
      </c>
      <c r="AP55" s="108"/>
      <c r="AQ55" s="31">
        <f t="shared" ca="1" si="19"/>
        <v>1.1456379681524947E-2</v>
      </c>
      <c r="AR55" s="31"/>
      <c r="AS55" s="31">
        <f t="shared" si="9"/>
        <v>4.4881996770414857E-4</v>
      </c>
      <c r="AT55" s="31"/>
      <c r="AU55" s="31">
        <f t="shared" ca="1" si="20"/>
        <v>2.6428847852518196E-5</v>
      </c>
      <c r="AV55" s="31"/>
      <c r="AW55" s="31">
        <f t="shared" ca="1" si="21"/>
        <v>9.4533677250369845E-4</v>
      </c>
      <c r="AX55" s="31"/>
      <c r="AY55" s="31">
        <f t="shared" ca="1" si="22"/>
        <v>1.6077216359568461E-3</v>
      </c>
      <c r="AZ55" s="31"/>
      <c r="BA55" s="134">
        <f t="shared" ca="1" si="23"/>
        <v>4.1854838885481494E-3</v>
      </c>
    </row>
    <row r="56" spans="1:53">
      <c r="A56" s="78"/>
      <c r="B56">
        <v>58</v>
      </c>
      <c r="D56" s="78">
        <v>43</v>
      </c>
      <c r="E56" s="108"/>
      <c r="F56">
        <f>VLOOKUP(B56,Parameters!E47:F137,2)</f>
        <v>0.1148</v>
      </c>
      <c r="H56">
        <f>VLOOKUP(B56,Parameters!H47:I137,2)</f>
        <v>0.01</v>
      </c>
      <c r="J56">
        <f>VLOOKUP(B56,Parameters!K47:L137,2)</f>
        <v>0.03</v>
      </c>
      <c r="L56">
        <f>VLOOKUP(B56,Parameters!N47:O137,2)</f>
        <v>0.15</v>
      </c>
      <c r="N56">
        <f>VLOOKUP(B56,Parameters!T47:U137,2)</f>
        <v>0.375</v>
      </c>
      <c r="P56">
        <f>VLOOKUP(B56,Parameters!T47:U137,2)</f>
        <v>0.375</v>
      </c>
      <c r="R56" s="78">
        <f>VLOOKUP(B56,Parameters!W47:X137,2)</f>
        <v>0.1</v>
      </c>
      <c r="S56" s="108"/>
      <c r="T56" s="102">
        <f t="shared" si="10"/>
        <v>9.8255085852519113E-3</v>
      </c>
      <c r="V56" s="94">
        <f t="shared" si="11"/>
        <v>4.7932005200155935E-4</v>
      </c>
      <c r="X56" s="34">
        <f t="shared" si="12"/>
        <v>8.4153743944527854E-5</v>
      </c>
      <c r="Z56" s="94">
        <f t="shared" si="13"/>
        <v>1.2714704782210685E-2</v>
      </c>
      <c r="AB56" s="94">
        <f t="shared" si="14"/>
        <v>1.2714704782210685E-2</v>
      </c>
      <c r="AD56" s="110">
        <f t="shared" si="15"/>
        <v>0.96426576179832557</v>
      </c>
      <c r="AE56" s="111"/>
      <c r="AF56" s="112">
        <f t="shared" si="8"/>
        <v>1.0000000000000004</v>
      </c>
      <c r="AG56" s="108"/>
      <c r="AH56" s="131" t="e">
        <f>(#REF!/1000000)*(1-(F56+H56))</f>
        <v>#REF!</v>
      </c>
      <c r="AJ56" s="54">
        <f t="shared" ca="1" si="16"/>
        <v>3.6679997749313906</v>
      </c>
      <c r="AL56" s="138">
        <f t="shared" ca="1" si="17"/>
        <v>1.0823821742109736</v>
      </c>
      <c r="AO56" s="135" t="e">
        <f t="shared" ca="1" si="18"/>
        <v>#REF!</v>
      </c>
      <c r="AP56" s="108"/>
      <c r="AQ56" s="31">
        <f t="shared" ca="1" si="19"/>
        <v>9.7974959036401348E-3</v>
      </c>
      <c r="AR56" s="31"/>
      <c r="AS56" s="31">
        <f t="shared" si="9"/>
        <v>3.8345604160124752E-4</v>
      </c>
      <c r="AT56" s="31"/>
      <c r="AU56" s="31">
        <f t="shared" ca="1" si="20"/>
        <v>2.2523581095682709E-5</v>
      </c>
      <c r="AV56" s="31"/>
      <c r="AW56" s="31">
        <f t="shared" ca="1" si="21"/>
        <v>8.6511780077246862E-4</v>
      </c>
      <c r="AX56" s="31"/>
      <c r="AY56" s="31">
        <f t="shared" ca="1" si="22"/>
        <v>1.4712943010453566E-3</v>
      </c>
      <c r="AZ56" s="31"/>
      <c r="BA56" s="134">
        <f t="shared" ca="1" si="23"/>
        <v>3.5179768917082753E-3</v>
      </c>
    </row>
    <row r="57" spans="1:53">
      <c r="A57" s="78"/>
      <c r="B57">
        <v>59</v>
      </c>
      <c r="D57" s="78">
        <v>44</v>
      </c>
      <c r="E57" s="108"/>
      <c r="F57">
        <f>VLOOKUP(B57,Parameters!E48:F138,2)</f>
        <v>0.1148</v>
      </c>
      <c r="H57">
        <f>VLOOKUP(B57,Parameters!H48:I138,2)</f>
        <v>0.01</v>
      </c>
      <c r="J57">
        <f>VLOOKUP(B57,Parameters!K48:L138,2)</f>
        <v>0.03</v>
      </c>
      <c r="L57">
        <f>VLOOKUP(B57,Parameters!N48:O138,2)</f>
        <v>0.15</v>
      </c>
      <c r="N57">
        <f>VLOOKUP(B57,Parameters!T48:U138,2)</f>
        <v>0.375</v>
      </c>
      <c r="P57">
        <f>VLOOKUP(B57,Parameters!T48:U138,2)</f>
        <v>0.375</v>
      </c>
      <c r="R57" s="78">
        <f>VLOOKUP(B57,Parameters!W48:X138,2)</f>
        <v>0.1</v>
      </c>
      <c r="S57" s="108"/>
      <c r="T57" s="102">
        <f t="shared" si="10"/>
        <v>8.4027749421074337E-3</v>
      </c>
      <c r="V57" s="94">
        <f t="shared" si="11"/>
        <v>4.0980207003793158E-4</v>
      </c>
      <c r="X57" s="34">
        <f t="shared" si="12"/>
        <v>7.1898007800233897E-5</v>
      </c>
      <c r="Z57" s="94">
        <f t="shared" si="13"/>
        <v>1.1622979323490202E-2</v>
      </c>
      <c r="AB57" s="94">
        <f t="shared" si="14"/>
        <v>1.1622979323490202E-2</v>
      </c>
      <c r="AD57" s="110">
        <f t="shared" si="15"/>
        <v>0.96794146434087469</v>
      </c>
      <c r="AE57" s="111"/>
      <c r="AF57" s="112">
        <f t="shared" si="8"/>
        <v>1.0000000000000004</v>
      </c>
      <c r="AG57" s="108"/>
      <c r="AH57" s="131" t="e">
        <f>(#REF!/1000000)*(1-(F57+H57))</f>
        <v>#REF!</v>
      </c>
      <c r="AJ57" s="54">
        <f t="shared" ca="1" si="16"/>
        <v>3.6679997749313906</v>
      </c>
      <c r="AL57" s="138">
        <f t="shared" ca="1" si="17"/>
        <v>0.98916923692496606</v>
      </c>
      <c r="AO57" s="135" t="e">
        <f t="shared" ca="1" si="18"/>
        <v>#REF!</v>
      </c>
      <c r="AP57" s="108"/>
      <c r="AQ57" s="31">
        <f t="shared" ca="1" si="19"/>
        <v>8.3788184967930422E-3</v>
      </c>
      <c r="AR57" s="31"/>
      <c r="AS57" s="31">
        <f t="shared" si="9"/>
        <v>3.2784165603034528E-4</v>
      </c>
      <c r="AT57" s="31"/>
      <c r="AU57" s="31">
        <f t="shared" ca="1" si="20"/>
        <v>1.9243357851958039E-5</v>
      </c>
      <c r="AV57" s="31"/>
      <c r="AW57" s="31">
        <f t="shared" ca="1" si="21"/>
        <v>7.9083600311586862E-4</v>
      </c>
      <c r="AX57" s="31"/>
      <c r="AY57" s="31">
        <f t="shared" ca="1" si="22"/>
        <v>1.3449642388665712E-3</v>
      </c>
      <c r="AZ57" s="31"/>
      <c r="BA57" s="134">
        <f t="shared" ca="1" si="23"/>
        <v>2.9584216118537297E-3</v>
      </c>
    </row>
    <row r="58" spans="1:53">
      <c r="A58" s="78"/>
      <c r="B58">
        <v>60</v>
      </c>
      <c r="D58" s="78">
        <v>45</v>
      </c>
      <c r="E58" s="108"/>
      <c r="F58">
        <f>VLOOKUP(B58,Parameters!E49:F139,2)</f>
        <v>0.19070000000000001</v>
      </c>
      <c r="H58">
        <f>VLOOKUP(B58,Parameters!H49:I139,2)</f>
        <v>0.01</v>
      </c>
      <c r="J58">
        <f>VLOOKUP(B58,Parameters!K49:L139,2)</f>
        <v>0.03</v>
      </c>
      <c r="L58">
        <f>VLOOKUP(B58,Parameters!N49:O139,2)</f>
        <v>0.26</v>
      </c>
      <c r="N58">
        <f>VLOOKUP(B58,Parameters!T49:U139,2)</f>
        <v>0.375</v>
      </c>
      <c r="P58">
        <f>VLOOKUP(B58,Parameters!T49:U139,2)</f>
        <v>0.375</v>
      </c>
      <c r="R58" s="78">
        <f>VLOOKUP(B58,Parameters!W49:X139,2)</f>
        <v>0.1</v>
      </c>
      <c r="S58" s="108"/>
      <c r="T58" s="102">
        <f t="shared" si="10"/>
        <v>7.1860531304902778E-3</v>
      </c>
      <c r="V58" s="94">
        <f t="shared" si="11"/>
        <v>3.5043574507232655E-4</v>
      </c>
      <c r="X58" s="34">
        <f t="shared" si="12"/>
        <v>6.1470310505689729E-5</v>
      </c>
      <c r="Z58" s="94">
        <f t="shared" si="13"/>
        <v>1.0614357167405405E-2</v>
      </c>
      <c r="AB58" s="94">
        <f t="shared" si="14"/>
        <v>1.0614357167405405E-2</v>
      </c>
      <c r="AD58" s="110">
        <f t="shared" si="15"/>
        <v>0.97123479678962699</v>
      </c>
      <c r="AE58" s="111"/>
      <c r="AF58" s="112">
        <f t="shared" si="8"/>
        <v>1.0000000000000004</v>
      </c>
      <c r="AG58" s="108"/>
      <c r="AH58" s="131" t="e">
        <f>(#REF!/1000000)*(1-(F58+H58))</f>
        <v>#REF!</v>
      </c>
      <c r="AJ58" s="54">
        <f t="shared" ca="1" si="16"/>
        <v>3.9765073939213069</v>
      </c>
      <c r="AL58" s="138">
        <f t="shared" ca="1" si="17"/>
        <v>0.9031009047969234</v>
      </c>
      <c r="AO58" s="135" t="e">
        <f t="shared" ca="1" si="18"/>
        <v>#REF!</v>
      </c>
      <c r="AP58" s="108"/>
      <c r="AQ58" s="31">
        <f t="shared" ca="1" si="19"/>
        <v>7.1655655784574109E-3</v>
      </c>
      <c r="AR58" s="31"/>
      <c r="AS58" s="31">
        <f t="shared" si="9"/>
        <v>2.8034859605786125E-4</v>
      </c>
      <c r="AT58" s="31"/>
      <c r="AU58" s="31">
        <f t="shared" ca="1" si="20"/>
        <v>1.6452405546737764E-5</v>
      </c>
      <c r="AV58" s="31"/>
      <c r="AW58" s="31">
        <f t="shared" ca="1" si="21"/>
        <v>7.2220861487298153E-4</v>
      </c>
      <c r="AX58" s="31"/>
      <c r="AY58" s="31">
        <f t="shared" ca="1" si="22"/>
        <v>1.2282505553344221E-3</v>
      </c>
      <c r="AZ58" s="31"/>
      <c r="BA58" s="134">
        <f t="shared" ca="1" si="23"/>
        <v>2.489114687136698E-3</v>
      </c>
    </row>
    <row r="59" spans="1:53">
      <c r="A59" s="78"/>
      <c r="B59">
        <v>61</v>
      </c>
      <c r="D59" s="78">
        <v>46</v>
      </c>
      <c r="E59" s="108"/>
      <c r="F59">
        <f>VLOOKUP(B59,Parameters!E50:F140,2)</f>
        <v>0.19070000000000001</v>
      </c>
      <c r="H59">
        <f>VLOOKUP(B59,Parameters!H50:I140,2)</f>
        <v>0.01</v>
      </c>
      <c r="J59">
        <f>VLOOKUP(B59,Parameters!K50:L140,2)</f>
        <v>0.03</v>
      </c>
      <c r="L59">
        <f>VLOOKUP(B59,Parameters!N50:O140,2)</f>
        <v>0.26</v>
      </c>
      <c r="N59">
        <f>VLOOKUP(B59,Parameters!T50:U140,2)</f>
        <v>0.375</v>
      </c>
      <c r="P59">
        <f>VLOOKUP(B59,Parameters!T50:U140,2)</f>
        <v>0.375</v>
      </c>
      <c r="R59" s="78">
        <f>VLOOKUP(B59,Parameters!W50:X140,2)</f>
        <v>0.1</v>
      </c>
      <c r="S59" s="108"/>
      <c r="T59" s="102">
        <f t="shared" si="10"/>
        <v>5.600091204591073E-3</v>
      </c>
      <c r="V59" s="94">
        <f t="shared" si="11"/>
        <v>2.9968617273206673E-4</v>
      </c>
      <c r="X59" s="34">
        <f t="shared" si="12"/>
        <v>9.11132937188049E-5</v>
      </c>
      <c r="Z59" s="94">
        <f t="shared" si="13"/>
        <v>9.6843348550669887E-3</v>
      </c>
      <c r="AB59" s="94">
        <f t="shared" si="14"/>
        <v>9.6843348550669887E-3</v>
      </c>
      <c r="AD59" s="110">
        <f t="shared" si="15"/>
        <v>0.97473155291254332</v>
      </c>
      <c r="AE59" s="111"/>
      <c r="AF59" s="112">
        <f t="shared" si="8"/>
        <v>1.0000000000000004</v>
      </c>
      <c r="AG59" s="108"/>
      <c r="AH59" s="131" t="e">
        <f>(#REF!/1000000)*(1-(F59+H59))</f>
        <v>#REF!</v>
      </c>
      <c r="AJ59" s="54">
        <f t="shared" ca="1" si="16"/>
        <v>3.9765073939213069</v>
      </c>
      <c r="AL59" s="138">
        <f t="shared" ca="1" si="17"/>
        <v>0.82589475893004249</v>
      </c>
      <c r="AO59" s="135" t="e">
        <f t="shared" ca="1" si="18"/>
        <v>#REF!</v>
      </c>
      <c r="AP59" s="108"/>
      <c r="AQ59" s="31">
        <f t="shared" ca="1" si="19"/>
        <v>5.5841252552918594E-3</v>
      </c>
      <c r="AR59" s="31"/>
      <c r="AS59" s="31">
        <f t="shared" si="9"/>
        <v>2.397489381856534E-4</v>
      </c>
      <c r="AT59" s="31"/>
      <c r="AU59" s="31">
        <f t="shared" ca="1" si="20"/>
        <v>2.4386290660140091E-5</v>
      </c>
      <c r="AV59" s="31"/>
      <c r="AW59" s="31">
        <f t="shared" ca="1" si="21"/>
        <v>6.5892921741145076E-4</v>
      </c>
      <c r="AX59" s="31"/>
      <c r="AY59" s="31">
        <f t="shared" ca="1" si="22"/>
        <v>1.1206321283692129E-3</v>
      </c>
      <c r="AZ59" s="31"/>
      <c r="BA59" s="134">
        <f t="shared" ca="1" si="23"/>
        <v>1.9583404922570288E-3</v>
      </c>
    </row>
    <row r="60" spans="1:53">
      <c r="A60" s="78"/>
      <c r="B60">
        <v>62</v>
      </c>
      <c r="D60" s="78">
        <v>47</v>
      </c>
      <c r="E60" s="108"/>
      <c r="F60">
        <f>VLOOKUP(B60,Parameters!E51:F141,2)</f>
        <v>0.19070000000000001</v>
      </c>
      <c r="H60">
        <f>VLOOKUP(B60,Parameters!H51:I141,2)</f>
        <v>0.01</v>
      </c>
      <c r="J60">
        <f>VLOOKUP(B60,Parameters!K51:L141,2)</f>
        <v>0.03</v>
      </c>
      <c r="L60">
        <f>VLOOKUP(B60,Parameters!N51:O141,2)</f>
        <v>0.26</v>
      </c>
      <c r="N60">
        <f>VLOOKUP(B60,Parameters!T51:U141,2)</f>
        <v>0.375</v>
      </c>
      <c r="P60">
        <f>VLOOKUP(B60,Parameters!T51:U141,2)</f>
        <v>0.375</v>
      </c>
      <c r="R60" s="78">
        <f>VLOOKUP(B60,Parameters!W51:X141,2)</f>
        <v>0.1</v>
      </c>
      <c r="S60" s="108"/>
      <c r="T60" s="102">
        <f t="shared" si="10"/>
        <v>4.3641510757378233E-3</v>
      </c>
      <c r="V60" s="94">
        <f t="shared" si="11"/>
        <v>2.399274175934282E-4</v>
      </c>
      <c r="X60" s="34">
        <f t="shared" si="12"/>
        <v>7.7918404910337351E-5</v>
      </c>
      <c r="Z60" s="94">
        <f t="shared" si="13"/>
        <v>8.8282836843348155E-3</v>
      </c>
      <c r="AB60" s="94">
        <f t="shared" si="14"/>
        <v>8.8282836843348155E-3</v>
      </c>
      <c r="AD60" s="110">
        <f t="shared" si="15"/>
        <v>0.97773935413799951</v>
      </c>
      <c r="AE60" s="111"/>
      <c r="AF60" s="112">
        <f t="shared" si="8"/>
        <v>1.0000000000000004</v>
      </c>
      <c r="AG60" s="108"/>
      <c r="AH60" s="131" t="e">
        <f>(#REF!/1000000)*(1-(F60+H60))</f>
        <v>#REF!</v>
      </c>
      <c r="AJ60" s="54">
        <f t="shared" ca="1" si="16"/>
        <v>3.9765073939213069</v>
      </c>
      <c r="AL60" s="138">
        <f t="shared" ca="1" si="17"/>
        <v>0.7526072099034733</v>
      </c>
      <c r="AO60" s="135" t="e">
        <f t="shared" ca="1" si="18"/>
        <v>#REF!</v>
      </c>
      <c r="AP60" s="108"/>
      <c r="AQ60" s="31">
        <f t="shared" ca="1" si="19"/>
        <v>4.3517088114489464E-3</v>
      </c>
      <c r="AR60" s="31"/>
      <c r="AS60" s="31">
        <f t="shared" si="9"/>
        <v>1.9194193407474257E-4</v>
      </c>
      <c r="AT60" s="31"/>
      <c r="AU60" s="31">
        <f t="shared" ca="1" si="20"/>
        <v>2.0854705085980257E-5</v>
      </c>
      <c r="AV60" s="31"/>
      <c r="AW60" s="31">
        <f t="shared" ca="1" si="21"/>
        <v>6.0068287045664942E-4</v>
      </c>
      <c r="AX60" s="31"/>
      <c r="AY60" s="31">
        <f t="shared" ca="1" si="22"/>
        <v>1.0215733432479381E-3</v>
      </c>
      <c r="AZ60" s="31"/>
      <c r="BA60" s="134">
        <f t="shared" ca="1" si="23"/>
        <v>1.5421045716566093E-3</v>
      </c>
    </row>
    <row r="61" spans="1:53">
      <c r="A61" s="78"/>
      <c r="B61">
        <v>63</v>
      </c>
      <c r="D61" s="78">
        <v>48</v>
      </c>
      <c r="E61" s="108"/>
      <c r="F61">
        <f>VLOOKUP(B61,Parameters!E52:F142,2)</f>
        <v>0.19070000000000001</v>
      </c>
      <c r="H61">
        <f>VLOOKUP(B61,Parameters!H52:I142,2)</f>
        <v>0.01</v>
      </c>
      <c r="J61">
        <f>VLOOKUP(B61,Parameters!K52:L142,2)</f>
        <v>0.03</v>
      </c>
      <c r="L61">
        <f>VLOOKUP(B61,Parameters!N52:O142,2)</f>
        <v>0.26</v>
      </c>
      <c r="N61">
        <f>VLOOKUP(B61,Parameters!T52:U142,2)</f>
        <v>0.375</v>
      </c>
      <c r="P61">
        <f>VLOOKUP(B61,Parameters!T52:U142,2)</f>
        <v>0.375</v>
      </c>
      <c r="R61" s="78">
        <f>VLOOKUP(B61,Parameters!W52:X142,2)</f>
        <v>0.1</v>
      </c>
      <c r="S61" s="108"/>
      <c r="T61" s="102">
        <f t="shared" si="10"/>
        <v>3.4009829333224856E-3</v>
      </c>
      <c r="V61" s="94">
        <f t="shared" si="11"/>
        <v>1.8850711249455748E-4</v>
      </c>
      <c r="X61" s="34">
        <f t="shared" si="12"/>
        <v>6.2381128574291335E-5</v>
      </c>
      <c r="Z61" s="94">
        <f t="shared" si="13"/>
        <v>8.0354280974988691E-3</v>
      </c>
      <c r="AB61" s="94">
        <f t="shared" si="14"/>
        <v>8.0354280974988691E-3</v>
      </c>
      <c r="AD61" s="110">
        <f t="shared" si="15"/>
        <v>0.98033965375918553</v>
      </c>
      <c r="AE61" s="111"/>
      <c r="AF61" s="112">
        <f t="shared" si="8"/>
        <v>1.0000000000000002</v>
      </c>
      <c r="AG61" s="108"/>
      <c r="AH61" s="131" t="e">
        <f>(#REF!/1000000)*(1-(F61+H61))</f>
        <v>#REF!</v>
      </c>
      <c r="AJ61" s="54">
        <f t="shared" ca="1" si="16"/>
        <v>3.9765073939213069</v>
      </c>
      <c r="AL61" s="138">
        <f t="shared" ca="1" si="17"/>
        <v>0.68454785310604538</v>
      </c>
      <c r="AO61" s="135" t="e">
        <f t="shared" ca="1" si="18"/>
        <v>#REF!</v>
      </c>
      <c r="AP61" s="108"/>
      <c r="AQ61" s="31">
        <f t="shared" ca="1" si="19"/>
        <v>3.3912866767621635E-3</v>
      </c>
      <c r="AR61" s="31"/>
      <c r="AS61" s="31">
        <f t="shared" si="9"/>
        <v>1.5080568999564599E-4</v>
      </c>
      <c r="AT61" s="31"/>
      <c r="AU61" s="31">
        <f t="shared" ca="1" si="20"/>
        <v>1.669618417939235E-5</v>
      </c>
      <c r="AV61" s="31"/>
      <c r="AW61" s="31">
        <f t="shared" ca="1" si="21"/>
        <v>5.4673639719103736E-4</v>
      </c>
      <c r="AX61" s="31"/>
      <c r="AY61" s="31">
        <f t="shared" ca="1" si="22"/>
        <v>9.2982729593932907E-4</v>
      </c>
      <c r="AZ61" s="31"/>
      <c r="BA61" s="134">
        <f t="shared" ca="1" si="23"/>
        <v>1.218549205419956E-3</v>
      </c>
    </row>
    <row r="62" spans="1:53">
      <c r="A62" s="78"/>
      <c r="B62">
        <v>64</v>
      </c>
      <c r="D62" s="78">
        <v>49</v>
      </c>
      <c r="E62" s="108"/>
      <c r="F62">
        <f>VLOOKUP(B62,Parameters!E53:F143,2)</f>
        <v>0.19070000000000001</v>
      </c>
      <c r="H62">
        <f>VLOOKUP(B62,Parameters!H53:I143,2)</f>
        <v>0.01</v>
      </c>
      <c r="J62">
        <f>VLOOKUP(B62,Parameters!K53:L143,2)</f>
        <v>0.03</v>
      </c>
      <c r="L62">
        <f>VLOOKUP(B62,Parameters!N53:O143,2)</f>
        <v>0.26</v>
      </c>
      <c r="N62">
        <f>VLOOKUP(B62,Parameters!T53:U143,2)</f>
        <v>0.375</v>
      </c>
      <c r="P62">
        <f>VLOOKUP(B62,Parameters!T53:U143,2)</f>
        <v>0.375</v>
      </c>
      <c r="R62" s="78">
        <f>VLOOKUP(B62,Parameters!W53:X143,2)</f>
        <v>0.1</v>
      </c>
      <c r="S62" s="108"/>
      <c r="T62" s="102">
        <f t="shared" si="10"/>
        <v>2.6503859999382129E-3</v>
      </c>
      <c r="V62" s="94">
        <f t="shared" si="11"/>
        <v>1.4727119499836834E-4</v>
      </c>
      <c r="X62" s="34">
        <f t="shared" si="12"/>
        <v>4.9011849248584944E-5</v>
      </c>
      <c r="Z62" s="94">
        <f t="shared" si="13"/>
        <v>7.3025754549344421E-3</v>
      </c>
      <c r="AB62" s="94">
        <f t="shared" si="14"/>
        <v>7.3025754549344421E-3</v>
      </c>
      <c r="AD62" s="110">
        <f t="shared" si="15"/>
        <v>0.9825971918951949</v>
      </c>
      <c r="AE62" s="111"/>
      <c r="AF62" s="112">
        <f t="shared" si="8"/>
        <v>1.0000000000000004</v>
      </c>
      <c r="AG62" s="108"/>
      <c r="AH62" s="131" t="e">
        <f>(#REF!/1000000)*(1-(F62+H62))</f>
        <v>#REF!</v>
      </c>
      <c r="AJ62" s="54">
        <f t="shared" ca="1" si="16"/>
        <v>3.9765073939213069</v>
      </c>
      <c r="AL62" s="138">
        <f t="shared" ca="1" si="17"/>
        <v>0.62169366033160034</v>
      </c>
      <c r="AO62" s="135" t="e">
        <f t="shared" ca="1" si="18"/>
        <v>#REF!</v>
      </c>
      <c r="AP62" s="108"/>
      <c r="AQ62" s="31">
        <f t="shared" ca="1" si="19"/>
        <v>2.6428297072007539E-3</v>
      </c>
      <c r="AR62" s="31"/>
      <c r="AS62" s="31">
        <f t="shared" si="9"/>
        <v>1.1781695599869467E-4</v>
      </c>
      <c r="AT62" s="31"/>
      <c r="AU62" s="31">
        <f t="shared" ca="1" si="20"/>
        <v>1.3117923332413565E-5</v>
      </c>
      <c r="AV62" s="31"/>
      <c r="AW62" s="31">
        <f t="shared" ca="1" si="21"/>
        <v>4.9687256808250214E-4</v>
      </c>
      <c r="AX62" s="31"/>
      <c r="AY62" s="31">
        <f t="shared" ca="1" si="22"/>
        <v>8.4502454707648068E-4</v>
      </c>
      <c r="AZ62" s="31"/>
      <c r="BA62" s="134">
        <f t="shared" ca="1" si="23"/>
        <v>9.6697591934048527E-4</v>
      </c>
    </row>
    <row r="63" spans="1:53">
      <c r="A63" s="78"/>
      <c r="B63">
        <v>65</v>
      </c>
      <c r="D63" s="78">
        <v>50</v>
      </c>
      <c r="E63" s="108"/>
      <c r="F63">
        <f>VLOOKUP(B63,Parameters!E54:F144,2)</f>
        <v>0.17519999999999999</v>
      </c>
      <c r="H63">
        <f>VLOOKUP(B63,Parameters!H54:I144,2)</f>
        <v>0.01</v>
      </c>
      <c r="J63">
        <f>VLOOKUP(B63,Parameters!K54:L144,2)</f>
        <v>0.03</v>
      </c>
      <c r="L63">
        <f>VLOOKUP(B63,Parameters!N54:O144,2)</f>
        <v>0.26</v>
      </c>
      <c r="N63">
        <f>VLOOKUP(B63,Parameters!T54:U144,2)</f>
        <v>0.375</v>
      </c>
      <c r="P63">
        <f>VLOOKUP(B63,Parameters!T54:U144,2)</f>
        <v>0.375</v>
      </c>
      <c r="R63" s="78">
        <f>VLOOKUP(B63,Parameters!W54:X144,2)</f>
        <v>0.1</v>
      </c>
      <c r="S63" s="108"/>
      <c r="T63" s="102">
        <f t="shared" si="10"/>
        <v>2.0654458097518493E-3</v>
      </c>
      <c r="V63" s="94">
        <f t="shared" si="11"/>
        <v>1.1485666679775481E-4</v>
      </c>
      <c r="X63" s="34">
        <f t="shared" si="12"/>
        <v>3.8290510699575769E-5</v>
      </c>
      <c r="Z63" s="94">
        <f t="shared" si="13"/>
        <v>6.627544607565386E-3</v>
      </c>
      <c r="AB63" s="94">
        <f t="shared" si="14"/>
        <v>6.627544607565386E-3</v>
      </c>
      <c r="AD63" s="110">
        <f t="shared" si="15"/>
        <v>0.98456460830832004</v>
      </c>
      <c r="AE63" s="111"/>
      <c r="AF63" s="112">
        <f t="shared" si="8"/>
        <v>1.0000000000000004</v>
      </c>
      <c r="AG63" s="108"/>
      <c r="AH63" s="131" t="e">
        <f>(#REF!/1000000)*(1-(F63+H63))</f>
        <v>#REF!</v>
      </c>
      <c r="AJ63" s="54">
        <f t="shared" ca="1" si="16"/>
        <v>3.9765073939213069</v>
      </c>
      <c r="AL63" s="138">
        <f t="shared" ca="1" si="17"/>
        <v>0.56388609272281764</v>
      </c>
      <c r="AO63" s="135" t="e">
        <f t="shared" ca="1" si="18"/>
        <v>#REF!</v>
      </c>
      <c r="AP63" s="108"/>
      <c r="AQ63" s="31">
        <f t="shared" ca="1" si="19"/>
        <v>2.0595571908215474E-3</v>
      </c>
      <c r="AR63" s="31"/>
      <c r="AS63" s="31">
        <f t="shared" si="9"/>
        <v>9.1885333438203852E-5</v>
      </c>
      <c r="AT63" s="31"/>
      <c r="AU63" s="31">
        <f t="shared" ca="1" si="20"/>
        <v>1.0248378533289035E-5</v>
      </c>
      <c r="AV63" s="31"/>
      <c r="AW63" s="31">
        <f t="shared" ca="1" si="21"/>
        <v>4.509429761546935E-4</v>
      </c>
      <c r="AX63" s="31"/>
      <c r="AY63" s="31">
        <f t="shared" ca="1" si="22"/>
        <v>7.6691270289481572E-4</v>
      </c>
      <c r="AZ63" s="31"/>
      <c r="BA63" s="134">
        <f t="shared" ca="1" si="23"/>
        <v>7.7089850179754883E-4</v>
      </c>
    </row>
    <row r="64" spans="1:53">
      <c r="A64" s="78"/>
      <c r="B64">
        <v>66</v>
      </c>
      <c r="D64" s="78">
        <v>51</v>
      </c>
      <c r="E64" s="108"/>
      <c r="F64">
        <f>VLOOKUP(B64,Parameters!E55:F145,2)</f>
        <v>0.17519999999999999</v>
      </c>
      <c r="H64">
        <f>VLOOKUP(B64,Parameters!H55:I145,2)</f>
        <v>0.01</v>
      </c>
      <c r="J64">
        <f>VLOOKUP(B64,Parameters!K55:L145,2)</f>
        <v>0.03</v>
      </c>
      <c r="L64">
        <f>VLOOKUP(B64,Parameters!N55:O145,2)</f>
        <v>0.26</v>
      </c>
      <c r="N64">
        <f>VLOOKUP(B64,Parameters!T55:U145,2)</f>
        <v>0.375</v>
      </c>
      <c r="P64">
        <f>VLOOKUP(B64,Parameters!T55:U145,2)</f>
        <v>0.375</v>
      </c>
      <c r="R64" s="78">
        <f>VLOOKUP(B64,Parameters!W55:X145,2)</f>
        <v>0.1</v>
      </c>
      <c r="S64" s="108"/>
      <c r="T64" s="102">
        <f t="shared" si="10"/>
        <v>1.6416163295907699E-3</v>
      </c>
      <c r="V64" s="94">
        <f t="shared" si="11"/>
        <v>8.952897432401665E-5</v>
      </c>
      <c r="X64" s="34">
        <f t="shared" si="12"/>
        <v>2.9862733367416253E-5</v>
      </c>
      <c r="Z64" s="94">
        <f t="shared" si="13"/>
        <v>6.0078613968580054E-3</v>
      </c>
      <c r="AB64" s="94">
        <f t="shared" si="14"/>
        <v>6.0078613968580054E-3</v>
      </c>
      <c r="AD64" s="110">
        <f t="shared" si="15"/>
        <v>0.98625313190236974</v>
      </c>
      <c r="AE64" s="111"/>
      <c r="AF64" s="112">
        <f t="shared" si="8"/>
        <v>1.0000000000000004</v>
      </c>
      <c r="AG64" s="108"/>
      <c r="AH64" s="131" t="e">
        <f>(#REF!/1000000)*(1-(F64+H64))</f>
        <v>#REF!</v>
      </c>
      <c r="AJ64" s="54">
        <f t="shared" ca="1" si="16"/>
        <v>3.9765073939213069</v>
      </c>
      <c r="AL64" s="138">
        <f t="shared" ca="1" si="17"/>
        <v>0.51089597456128066</v>
      </c>
      <c r="AO64" s="135" t="e">
        <f t="shared" ca="1" si="18"/>
        <v>#REF!</v>
      </c>
      <c r="AP64" s="108"/>
      <c r="AQ64" s="31">
        <f t="shared" ca="1" si="19"/>
        <v>1.6369360552649661E-3</v>
      </c>
      <c r="AR64" s="31"/>
      <c r="AS64" s="31">
        <f t="shared" si="9"/>
        <v>7.162317945921332E-5</v>
      </c>
      <c r="AT64" s="31"/>
      <c r="AU64" s="31">
        <f t="shared" ca="1" si="20"/>
        <v>7.9927008022735415E-6</v>
      </c>
      <c r="AV64" s="31"/>
      <c r="AW64" s="31">
        <f t="shared" ca="1" si="21"/>
        <v>4.0877927785374241E-4</v>
      </c>
      <c r="AX64" s="31"/>
      <c r="AY64" s="31">
        <f t="shared" ca="1" si="22"/>
        <v>6.952054637583727E-4</v>
      </c>
      <c r="AZ64" s="31"/>
      <c r="BA64" s="134">
        <f t="shared" ca="1" si="23"/>
        <v>6.2464503384657751E-4</v>
      </c>
    </row>
    <row r="65" spans="1:53">
      <c r="A65" s="78"/>
      <c r="B65">
        <v>67</v>
      </c>
      <c r="D65" s="78">
        <v>52</v>
      </c>
      <c r="E65" s="108"/>
      <c r="F65">
        <f>VLOOKUP(B65,Parameters!E56:F146,2)</f>
        <v>0.17519999999999999</v>
      </c>
      <c r="H65">
        <f>VLOOKUP(B65,Parameters!H56:I146,2)</f>
        <v>0.01</v>
      </c>
      <c r="J65">
        <f>VLOOKUP(B65,Parameters!K56:L146,2)</f>
        <v>0.03</v>
      </c>
      <c r="L65">
        <f>VLOOKUP(B65,Parameters!N56:O146,2)</f>
        <v>0.26</v>
      </c>
      <c r="N65">
        <f>VLOOKUP(B65,Parameters!T56:U146,2)</f>
        <v>0.375</v>
      </c>
      <c r="P65">
        <f>VLOOKUP(B65,Parameters!T56:U146,2)</f>
        <v>0.375</v>
      </c>
      <c r="R65" s="78">
        <f>VLOOKUP(B65,Parameters!W56:X146,2)</f>
        <v>0.1</v>
      </c>
      <c r="S65" s="108"/>
      <c r="T65" s="102">
        <f t="shared" si="10"/>
        <v>1.304756658758744E-3</v>
      </c>
      <c r="V65" s="94">
        <f t="shared" si="11"/>
        <v>7.0735443725487092E-5</v>
      </c>
      <c r="X65" s="34">
        <f t="shared" si="12"/>
        <v>2.327753332424433E-5</v>
      </c>
      <c r="Z65" s="94">
        <f t="shared" si="13"/>
        <v>5.4406486225437103E-3</v>
      </c>
      <c r="AB65" s="94">
        <f t="shared" si="14"/>
        <v>5.4406486225437103E-3</v>
      </c>
      <c r="AD65" s="110">
        <f t="shared" si="15"/>
        <v>0.98774321065242898</v>
      </c>
      <c r="AE65" s="111"/>
      <c r="AF65" s="112">
        <f t="shared" si="8"/>
        <v>1.0000000000000007</v>
      </c>
      <c r="AG65" s="108"/>
      <c r="AH65" s="131" t="e">
        <f>(#REF!/1000000)*(1-(F65+H65))</f>
        <v>#REF!</v>
      </c>
      <c r="AJ65" s="54">
        <f t="shared" ca="1" si="16"/>
        <v>3.9765073939213069</v>
      </c>
      <c r="AL65" s="138">
        <f t="shared" ca="1" si="17"/>
        <v>0.4624546632114267</v>
      </c>
      <c r="AO65" s="135" t="e">
        <f t="shared" ca="1" si="18"/>
        <v>#REF!</v>
      </c>
      <c r="AP65" s="108"/>
      <c r="AQ65" s="31">
        <f t="shared" ca="1" si="19"/>
        <v>1.3010367767245952E-3</v>
      </c>
      <c r="AR65" s="31"/>
      <c r="AS65" s="31">
        <f t="shared" si="9"/>
        <v>5.6588354980389675E-5</v>
      </c>
      <c r="AT65" s="31"/>
      <c r="AU65" s="31">
        <f t="shared" ca="1" si="20"/>
        <v>6.2301851939193061E-6</v>
      </c>
      <c r="AV65" s="31"/>
      <c r="AW65" s="31">
        <f t="shared" ca="1" si="21"/>
        <v>3.7018570637173783E-4</v>
      </c>
      <c r="AX65" s="31"/>
      <c r="AY65" s="31">
        <f t="shared" ca="1" si="22"/>
        <v>6.2956989166893179E-4</v>
      </c>
      <c r="AZ65" s="31"/>
      <c r="BA65" s="134">
        <f t="shared" ca="1" si="23"/>
        <v>5.0820660153271262E-4</v>
      </c>
    </row>
    <row r="66" spans="1:53">
      <c r="A66" s="78"/>
      <c r="B66">
        <v>68</v>
      </c>
      <c r="D66" s="78">
        <v>53</v>
      </c>
      <c r="E66" s="108"/>
      <c r="F66">
        <f>VLOOKUP(B66,Parameters!E57:F147,2)</f>
        <v>0.17519999999999999</v>
      </c>
      <c r="H66">
        <f>VLOOKUP(B66,Parameters!H57:I147,2)</f>
        <v>0.01</v>
      </c>
      <c r="J66">
        <f>VLOOKUP(B66,Parameters!K57:L147,2)</f>
        <v>0.03</v>
      </c>
      <c r="L66">
        <f>VLOOKUP(B66,Parameters!N57:O147,2)</f>
        <v>0.26</v>
      </c>
      <c r="N66">
        <f>VLOOKUP(B66,Parameters!T57:U147,2)</f>
        <v>0.375</v>
      </c>
      <c r="P66">
        <f>VLOOKUP(B66,Parameters!T57:U147,2)</f>
        <v>0.375</v>
      </c>
      <c r="R66" s="78">
        <f>VLOOKUP(B66,Parameters!W57:X147,2)</f>
        <v>0.1</v>
      </c>
      <c r="S66" s="108"/>
      <c r="T66" s="102">
        <f t="shared" si="10"/>
        <v>1.0370205923814497E-3</v>
      </c>
      <c r="V66" s="94">
        <f t="shared" si="11"/>
        <v>5.6119206256879207E-5</v>
      </c>
      <c r="X66" s="34">
        <f t="shared" si="12"/>
        <v>1.8391215368626643E-5</v>
      </c>
      <c r="Z66" s="94">
        <f t="shared" si="13"/>
        <v>4.9231095516863973E-3</v>
      </c>
      <c r="AB66" s="94">
        <f t="shared" si="14"/>
        <v>4.9231095516863973E-3</v>
      </c>
      <c r="AD66" s="110">
        <f t="shared" si="15"/>
        <v>0.98906064109798941</v>
      </c>
      <c r="AE66" s="111"/>
      <c r="AF66" s="112">
        <f t="shared" si="8"/>
        <v>1.0000000000000004</v>
      </c>
      <c r="AG66" s="108"/>
      <c r="AH66" s="131" t="e">
        <f>(#REF!/1000000)*(1-(F66+H66))</f>
        <v>#REF!</v>
      </c>
      <c r="AJ66" s="54">
        <f t="shared" ca="1" si="16"/>
        <v>3.9765073939213069</v>
      </c>
      <c r="AL66" s="138">
        <f t="shared" ca="1" si="17"/>
        <v>0.41831720536696237</v>
      </c>
      <c r="AO66" s="135" t="e">
        <f t="shared" ca="1" si="18"/>
        <v>#REF!</v>
      </c>
      <c r="AP66" s="108"/>
      <c r="AQ66" s="31">
        <f t="shared" ca="1" si="19"/>
        <v>1.0340640301407082E-3</v>
      </c>
      <c r="AR66" s="31"/>
      <c r="AS66" s="31">
        <f t="shared" si="9"/>
        <v>4.4895365005503371E-5</v>
      </c>
      <c r="AT66" s="31"/>
      <c r="AU66" s="31">
        <f t="shared" ca="1" si="20"/>
        <v>4.9223719752324142E-6</v>
      </c>
      <c r="AV66" s="31"/>
      <c r="AW66" s="31">
        <f t="shared" ca="1" si="21"/>
        <v>3.3497196995684806E-4</v>
      </c>
      <c r="AX66" s="31"/>
      <c r="AY66" s="31">
        <f t="shared" ca="1" si="22"/>
        <v>5.6968235998309733E-4</v>
      </c>
      <c r="AZ66" s="31"/>
      <c r="BA66" s="134">
        <f t="shared" ca="1" si="23"/>
        <v>4.1510748993773227E-4</v>
      </c>
    </row>
    <row r="67" spans="1:53">
      <c r="A67" s="78"/>
      <c r="B67">
        <v>69</v>
      </c>
      <c r="D67" s="78">
        <v>54</v>
      </c>
      <c r="E67" s="108"/>
      <c r="F67">
        <f>VLOOKUP(B67,Parameters!E58:F148,2)</f>
        <v>0.17519999999999999</v>
      </c>
      <c r="H67">
        <f>VLOOKUP(B67,Parameters!H58:I148,2)</f>
        <v>0.01</v>
      </c>
      <c r="J67">
        <f>VLOOKUP(B67,Parameters!K58:L148,2)</f>
        <v>0.03</v>
      </c>
      <c r="L67">
        <f>VLOOKUP(B67,Parameters!N58:O148,2)</f>
        <v>0.26</v>
      </c>
      <c r="N67">
        <f>VLOOKUP(B67,Parameters!T58:U148,2)</f>
        <v>0.375</v>
      </c>
      <c r="P67">
        <f>VLOOKUP(B67,Parameters!T58:U148,2)</f>
        <v>0.375</v>
      </c>
      <c r="R67" s="78">
        <f>VLOOKUP(B67,Parameters!W58:X148,2)</f>
        <v>0.1</v>
      </c>
      <c r="S67" s="108"/>
      <c r="T67" s="102">
        <f t="shared" si="10"/>
        <v>8.2422396682477628E-4</v>
      </c>
      <c r="V67" s="94">
        <f t="shared" si="11"/>
        <v>4.457922727309449E-5</v>
      </c>
      <c r="X67" s="34">
        <f t="shared" si="12"/>
        <v>1.4590993626788595E-5</v>
      </c>
      <c r="Z67" s="94">
        <f t="shared" si="13"/>
        <v>4.4518432988640876E-3</v>
      </c>
      <c r="AB67" s="94">
        <f t="shared" si="14"/>
        <v>4.4518432988640876E-3</v>
      </c>
      <c r="AD67" s="110">
        <f t="shared" si="15"/>
        <v>0.99022751020817457</v>
      </c>
      <c r="AE67" s="111"/>
      <c r="AF67" s="112">
        <f t="shared" si="8"/>
        <v>1.0000000000000007</v>
      </c>
      <c r="AG67" s="108"/>
      <c r="AH67" s="131" t="e">
        <f>(#REF!/1000000)*(1-(F67+H67))</f>
        <v>#REF!</v>
      </c>
      <c r="AJ67" s="54">
        <f t="shared" ca="1" si="16"/>
        <v>3.9765073939213069</v>
      </c>
      <c r="AL67" s="138">
        <f t="shared" ca="1" si="17"/>
        <v>0.37816168613058893</v>
      </c>
      <c r="AO67" s="135" t="e">
        <f t="shared" ca="1" si="18"/>
        <v>#REF!</v>
      </c>
      <c r="AP67" s="108"/>
      <c r="AQ67" s="31">
        <f t="shared" ca="1" si="19"/>
        <v>8.2187409115583494E-4</v>
      </c>
      <c r="AR67" s="31"/>
      <c r="AS67" s="31">
        <f t="shared" si="9"/>
        <v>3.5663381818475593E-5</v>
      </c>
      <c r="AT67" s="31"/>
      <c r="AU67" s="31">
        <f t="shared" ca="1" si="20"/>
        <v>3.905250233860006E-6</v>
      </c>
      <c r="AV67" s="31"/>
      <c r="AW67" s="31">
        <f t="shared" ca="1" si="21"/>
        <v>3.0290666988080239E-4</v>
      </c>
      <c r="AX67" s="31"/>
      <c r="AY67" s="31">
        <f t="shared" ca="1" si="22"/>
        <v>5.1514933197110838E-4</v>
      </c>
      <c r="AZ67" s="31"/>
      <c r="BA67" s="134">
        <f t="shared" ca="1" si="23"/>
        <v>3.4038431887891665E-4</v>
      </c>
    </row>
    <row r="68" spans="1:53">
      <c r="A68" s="78"/>
      <c r="B68">
        <v>70</v>
      </c>
      <c r="D68" s="78">
        <v>55</v>
      </c>
      <c r="E68" s="108"/>
      <c r="F68">
        <f>VLOOKUP(B68,Parameters!E59:F149,2)</f>
        <v>0.28660000000000002</v>
      </c>
      <c r="H68">
        <f>VLOOKUP(B68,Parameters!H59:I149,2)</f>
        <v>0.01</v>
      </c>
      <c r="J68">
        <f>VLOOKUP(B68,Parameters!K59:L149,2)</f>
        <v>0.03</v>
      </c>
      <c r="L68">
        <f>VLOOKUP(B68,Parameters!N59:O149,2)</f>
        <v>0.26</v>
      </c>
      <c r="N68">
        <f>VLOOKUP(B68,Parameters!T59:U149,2)</f>
        <v>0.375</v>
      </c>
      <c r="P68">
        <f>VLOOKUP(B68,Parameters!T59:U149,2)</f>
        <v>0.375</v>
      </c>
      <c r="R68" s="78">
        <f>VLOOKUP(B68,Parameters!W59:X149,2)</f>
        <v>0.1</v>
      </c>
      <c r="S68" s="108"/>
      <c r="T68" s="102">
        <f t="shared" si="10"/>
        <v>6.5509320883233222E-4</v>
      </c>
      <c r="V68" s="94">
        <f t="shared" si="11"/>
        <v>3.5425733550285958E-5</v>
      </c>
      <c r="X68" s="34">
        <f t="shared" si="12"/>
        <v>1.1590599091004567E-5</v>
      </c>
      <c r="Z68" s="94">
        <f t="shared" si="13"/>
        <v>4.0233761792050895E-3</v>
      </c>
      <c r="AB68" s="94">
        <f t="shared" si="14"/>
        <v>4.0233761792050895E-3</v>
      </c>
      <c r="AD68" s="110">
        <f t="shared" si="15"/>
        <v>0.99126272869920784</v>
      </c>
      <c r="AE68" s="111"/>
      <c r="AF68" s="112">
        <f t="shared" si="8"/>
        <v>1.0000000000000007</v>
      </c>
      <c r="AG68" s="108"/>
      <c r="AH68" s="131" t="e">
        <f>(#REF!/1000000)*(1-(F68+H68))</f>
        <v>#REF!</v>
      </c>
      <c r="AJ68" s="54">
        <f t="shared" ca="1" si="16"/>
        <v>3.9765073939213069</v>
      </c>
      <c r="AL68" s="138">
        <f t="shared" ca="1" si="17"/>
        <v>0.3416779437901607</v>
      </c>
      <c r="AO68" s="135" t="e">
        <f t="shared" ca="1" si="18"/>
        <v>#REF!</v>
      </c>
      <c r="AP68" s="108"/>
      <c r="AQ68" s="31">
        <f t="shared" ca="1" si="19"/>
        <v>6.5322552765065766E-4</v>
      </c>
      <c r="AR68" s="31"/>
      <c r="AS68" s="31">
        <f t="shared" si="9"/>
        <v>2.8340586840228768E-5</v>
      </c>
      <c r="AT68" s="31"/>
      <c r="AU68" s="31">
        <f t="shared" ca="1" si="20"/>
        <v>3.1022006429788009E-6</v>
      </c>
      <c r="AV68" s="31"/>
      <c r="AW68" s="31">
        <f t="shared" ca="1" si="21"/>
        <v>2.737534540875956E-4</v>
      </c>
      <c r="AX68" s="31"/>
      <c r="AY68" s="31">
        <f t="shared" ca="1" si="22"/>
        <v>4.6556884684481549E-4</v>
      </c>
      <c r="AZ68" s="31"/>
      <c r="BA68" s="134">
        <f t="shared" ca="1" si="23"/>
        <v>2.8019460477888045E-4</v>
      </c>
    </row>
    <row r="69" spans="1:53">
      <c r="A69" s="78"/>
      <c r="B69">
        <v>71</v>
      </c>
      <c r="D69" s="78">
        <v>56</v>
      </c>
      <c r="E69" s="108"/>
      <c r="F69">
        <f>VLOOKUP(B69,Parameters!E60:F150,2)</f>
        <v>0.28660000000000002</v>
      </c>
      <c r="H69">
        <f>VLOOKUP(B69,Parameters!H60:I150,2)</f>
        <v>0.01</v>
      </c>
      <c r="J69">
        <f>VLOOKUP(B69,Parameters!K60:L150,2)</f>
        <v>0.03</v>
      </c>
      <c r="L69">
        <f>VLOOKUP(B69,Parameters!N60:O150,2)</f>
        <v>0.26</v>
      </c>
      <c r="N69">
        <f>VLOOKUP(B69,Parameters!T60:U150,2)</f>
        <v>0.375</v>
      </c>
      <c r="P69">
        <f>VLOOKUP(B69,Parameters!T60:U150,2)</f>
        <v>0.375</v>
      </c>
      <c r="R69" s="78">
        <f>VLOOKUP(B69,Parameters!W60:X150,2)</f>
        <v>0.1</v>
      </c>
      <c r="S69" s="108"/>
      <c r="T69" s="102">
        <f t="shared" si="10"/>
        <v>4.4769069891601582E-4</v>
      </c>
      <c r="V69" s="94">
        <f t="shared" si="11"/>
        <v>2.8154972317038588E-5</v>
      </c>
      <c r="X69" s="34">
        <f t="shared" si="12"/>
        <v>9.2106907230743501E-6</v>
      </c>
      <c r="Z69" s="94">
        <f t="shared" si="13"/>
        <v>3.6343232113659378E-3</v>
      </c>
      <c r="AB69" s="94">
        <f t="shared" si="14"/>
        <v>3.6343232113659378E-3</v>
      </c>
      <c r="AD69" s="110">
        <f t="shared" si="15"/>
        <v>0.99225550790603567</v>
      </c>
      <c r="AE69" s="111"/>
      <c r="AF69" s="112">
        <f t="shared" si="8"/>
        <v>1.0000000000000007</v>
      </c>
      <c r="AG69" s="108"/>
      <c r="AH69" s="131" t="e">
        <f>(#REF!/1000000)*(1-(F69+H69))</f>
        <v>#REF!</v>
      </c>
      <c r="AJ69" s="54">
        <f t="shared" ca="1" si="16"/>
        <v>3.9765073939213069</v>
      </c>
      <c r="AL69" s="138">
        <f t="shared" ca="1" si="17"/>
        <v>0.30856920536762367</v>
      </c>
      <c r="AO69" s="135" t="e">
        <f t="shared" ca="1" si="18"/>
        <v>#REF!</v>
      </c>
      <c r="AP69" s="108"/>
      <c r="AQ69" s="31">
        <f t="shared" ca="1" si="19"/>
        <v>4.4641432559645942E-4</v>
      </c>
      <c r="AR69" s="31"/>
      <c r="AS69" s="31">
        <f t="shared" si="9"/>
        <v>2.2523977853630873E-5</v>
      </c>
      <c r="AT69" s="31"/>
      <c r="AU69" s="31">
        <f t="shared" ca="1" si="20"/>
        <v>2.4652229327451996E-6</v>
      </c>
      <c r="AV69" s="31"/>
      <c r="AW69" s="31">
        <f t="shared" ca="1" si="21"/>
        <v>2.4728200597407603E-4</v>
      </c>
      <c r="AX69" s="31"/>
      <c r="AY69" s="31">
        <f t="shared" ca="1" si="22"/>
        <v>4.2054920823020959E-4</v>
      </c>
      <c r="AZ69" s="31"/>
      <c r="BA69" s="134">
        <f t="shared" ca="1" si="23"/>
        <v>2.1763494834001583E-4</v>
      </c>
    </row>
    <row r="70" spans="1:53">
      <c r="A70" s="78"/>
      <c r="B70">
        <v>72</v>
      </c>
      <c r="D70" s="78">
        <v>57</v>
      </c>
      <c r="E70" s="108"/>
      <c r="F70">
        <f>VLOOKUP(B70,Parameters!E61:F151,2)</f>
        <v>0.28660000000000002</v>
      </c>
      <c r="H70">
        <f>VLOOKUP(B70,Parameters!H61:I151,2)</f>
        <v>0.01</v>
      </c>
      <c r="J70">
        <f>VLOOKUP(B70,Parameters!K61:L151,2)</f>
        <v>0.03</v>
      </c>
      <c r="L70">
        <f>VLOOKUP(B70,Parameters!N61:O151,2)</f>
        <v>0.26</v>
      </c>
      <c r="N70">
        <f>VLOOKUP(B70,Parameters!T61:U151,2)</f>
        <v>0.375</v>
      </c>
      <c r="P70">
        <f>VLOOKUP(B70,Parameters!T61:U151,2)</f>
        <v>0.375</v>
      </c>
      <c r="R70" s="78">
        <f>VLOOKUP(B70,Parameters!W61:X151,2)</f>
        <v>0.1</v>
      </c>
      <c r="S70" s="108"/>
      <c r="T70" s="102">
        <f t="shared" si="10"/>
        <v>3.0595182363920523E-4</v>
      </c>
      <c r="V70" s="94">
        <f t="shared" si="11"/>
        <v>2.0187914323569739E-5</v>
      </c>
      <c r="X70" s="34">
        <f t="shared" si="12"/>
        <v>7.3202928024300335E-6</v>
      </c>
      <c r="Z70" s="94">
        <f t="shared" si="13"/>
        <v>3.2814490048482334E-3</v>
      </c>
      <c r="AB70" s="94">
        <f t="shared" si="14"/>
        <v>3.2814490048482334E-3</v>
      </c>
      <c r="AD70" s="110">
        <f t="shared" si="15"/>
        <v>0.9931109622523413</v>
      </c>
      <c r="AE70" s="111"/>
      <c r="AF70" s="112">
        <f t="shared" si="8"/>
        <v>1.0000000000000004</v>
      </c>
      <c r="AG70" s="108"/>
      <c r="AH70" s="131" t="e">
        <f>(#REF!/1000000)*(1-(F70+H70))</f>
        <v>#REF!</v>
      </c>
      <c r="AJ70" s="54">
        <f t="shared" ca="1" si="16"/>
        <v>3.9765073939213069</v>
      </c>
      <c r="AL70" s="138">
        <f t="shared" ca="1" si="17"/>
        <v>0.27855403295826892</v>
      </c>
      <c r="AO70" s="135" t="e">
        <f t="shared" ca="1" si="18"/>
        <v>#REF!</v>
      </c>
      <c r="AP70" s="108"/>
      <c r="AQ70" s="31">
        <f t="shared" ca="1" si="19"/>
        <v>3.0507955011262037E-4</v>
      </c>
      <c r="AR70" s="31"/>
      <c r="AS70" s="31">
        <f t="shared" si="9"/>
        <v>1.6150331458855791E-5</v>
      </c>
      <c r="AT70" s="31"/>
      <c r="AU70" s="31">
        <f t="shared" ca="1" si="20"/>
        <v>1.9592617137552404E-6</v>
      </c>
      <c r="AV70" s="31"/>
      <c r="AW70" s="31">
        <f t="shared" ca="1" si="21"/>
        <v>2.232721872074583E-4</v>
      </c>
      <c r="AX70" s="31"/>
      <c r="AY70" s="31">
        <f t="shared" ca="1" si="22"/>
        <v>3.7971602980189131E-4</v>
      </c>
      <c r="AZ70" s="31"/>
      <c r="BA70" s="134">
        <f t="shared" ca="1" si="23"/>
        <v>1.717799027717331E-4</v>
      </c>
    </row>
    <row r="71" spans="1:53">
      <c r="A71" s="78"/>
      <c r="B71">
        <v>73</v>
      </c>
      <c r="D71" s="78">
        <v>58</v>
      </c>
      <c r="E71" s="108"/>
      <c r="F71">
        <f>VLOOKUP(B71,Parameters!E62:F152,2)</f>
        <v>0.28660000000000002</v>
      </c>
      <c r="H71">
        <f>VLOOKUP(B71,Parameters!H62:I152,2)</f>
        <v>0.01</v>
      </c>
      <c r="J71">
        <f>VLOOKUP(B71,Parameters!K62:L152,2)</f>
        <v>0.03</v>
      </c>
      <c r="L71">
        <f>VLOOKUP(B71,Parameters!N62:O152,2)</f>
        <v>0.26</v>
      </c>
      <c r="N71">
        <f>VLOOKUP(B71,Parameters!T62:U152,2)</f>
        <v>0.375</v>
      </c>
      <c r="P71">
        <f>VLOOKUP(B71,Parameters!T62:U152,2)</f>
        <v>0.375</v>
      </c>
      <c r="R71" s="78">
        <f>VLOOKUP(B71,Parameters!W62:X152,2)</f>
        <v>0.1</v>
      </c>
      <c r="S71" s="108"/>
      <c r="T71" s="102">
        <f t="shared" si="10"/>
        <v>2.0908747627503287E-4</v>
      </c>
      <c r="V71" s="94">
        <f t="shared" si="11"/>
        <v>1.402365414683289E-5</v>
      </c>
      <c r="X71" s="34">
        <f t="shared" si="12"/>
        <v>5.2488577241281326E-6</v>
      </c>
      <c r="Z71" s="94">
        <f t="shared" si="13"/>
        <v>2.9608745722347488E-3</v>
      </c>
      <c r="AB71" s="94">
        <f t="shared" si="14"/>
        <v>2.9608745722347488E-3</v>
      </c>
      <c r="AD71" s="110">
        <f t="shared" si="15"/>
        <v>0.99385513972510919</v>
      </c>
      <c r="AE71" s="111"/>
      <c r="AF71" s="112">
        <f t="shared" si="8"/>
        <v>1.0000000000000007</v>
      </c>
      <c r="AG71" s="108"/>
      <c r="AH71" s="131" t="e">
        <f>(#REF!/1000000)*(1-(F71+H71))</f>
        <v>#REF!</v>
      </c>
      <c r="AJ71" s="54">
        <f t="shared" ca="1" si="16"/>
        <v>3.9765073939213069</v>
      </c>
      <c r="AL71" s="138">
        <f t="shared" ca="1" si="17"/>
        <v>0.25126681451450772</v>
      </c>
      <c r="AO71" s="135" t="e">
        <f t="shared" ca="1" si="18"/>
        <v>#REF!</v>
      </c>
      <c r="AP71" s="108"/>
      <c r="AQ71" s="31">
        <f t="shared" ca="1" si="19"/>
        <v>2.0849136454696479E-4</v>
      </c>
      <c r="AR71" s="31"/>
      <c r="AS71" s="31">
        <f t="shared" si="9"/>
        <v>1.1218923317466314E-5</v>
      </c>
      <c r="AT71" s="31"/>
      <c r="AU71" s="31">
        <f t="shared" ca="1" si="20"/>
        <v>1.4048462619444528E-6</v>
      </c>
      <c r="AV71" s="31"/>
      <c r="AW71" s="31">
        <f t="shared" ca="1" si="21"/>
        <v>2.0146006865048776E-4</v>
      </c>
      <c r="AX71" s="31"/>
      <c r="AY71" s="31">
        <f t="shared" ca="1" si="22"/>
        <v>3.4262045079757393E-4</v>
      </c>
      <c r="AZ71" s="31"/>
      <c r="BA71" s="134">
        <f t="shared" ca="1" si="23"/>
        <v>1.377886552336943E-4</v>
      </c>
    </row>
    <row r="72" spans="1:53">
      <c r="A72" s="78"/>
      <c r="B72">
        <v>74</v>
      </c>
      <c r="D72" s="78">
        <v>59</v>
      </c>
      <c r="E72" s="108"/>
      <c r="F72">
        <f>VLOOKUP(B72,Parameters!E63:F153,2)</f>
        <v>0.28660000000000002</v>
      </c>
      <c r="H72">
        <f>VLOOKUP(B72,Parameters!H63:I153,2)</f>
        <v>0.01</v>
      </c>
      <c r="J72">
        <f>VLOOKUP(B72,Parameters!K63:L153,2)</f>
        <v>0.03</v>
      </c>
      <c r="L72">
        <f>VLOOKUP(B72,Parameters!N63:O153,2)</f>
        <v>0.26</v>
      </c>
      <c r="N72">
        <f>VLOOKUP(B72,Parameters!T63:U153,2)</f>
        <v>0.375</v>
      </c>
      <c r="P72">
        <f>VLOOKUP(B72,Parameters!T63:U153,2)</f>
        <v>0.375</v>
      </c>
      <c r="R72" s="78">
        <f>VLOOKUP(B72,Parameters!W63:X153,2)</f>
        <v>0.1</v>
      </c>
      <c r="S72" s="108"/>
      <c r="T72" s="102">
        <f t="shared" si="10"/>
        <v>1.4289038128635745E-4</v>
      </c>
      <c r="V72" s="94">
        <f t="shared" si="11"/>
        <v>9.6383012834908821E-6</v>
      </c>
      <c r="X72" s="34">
        <f t="shared" si="12"/>
        <v>3.6461500781765516E-6</v>
      </c>
      <c r="Z72" s="94">
        <f t="shared" si="13"/>
        <v>2.6700459853163361E-3</v>
      </c>
      <c r="AB72" s="94">
        <f t="shared" si="14"/>
        <v>2.6700459853163361E-3</v>
      </c>
      <c r="AD72" s="110">
        <f t="shared" si="15"/>
        <v>0.994507379346798</v>
      </c>
      <c r="AE72" s="111"/>
      <c r="AF72" s="112">
        <f t="shared" si="8"/>
        <v>1.0000000000000004</v>
      </c>
      <c r="AG72" s="108"/>
      <c r="AH72" s="131" t="e">
        <f>(#REF!/1000000)*(1-(F72+H72))</f>
        <v>#REF!</v>
      </c>
      <c r="AJ72" s="54">
        <f t="shared" ca="1" si="16"/>
        <v>3.9765073939213069</v>
      </c>
      <c r="AL72" s="138">
        <f t="shared" ca="1" si="17"/>
        <v>0.2265267347945894</v>
      </c>
      <c r="AO72" s="135" t="e">
        <f t="shared" ca="1" si="18"/>
        <v>#REF!</v>
      </c>
      <c r="AP72" s="108"/>
      <c r="AQ72" s="31">
        <f t="shared" ca="1" si="19"/>
        <v>1.4248299853139573E-4</v>
      </c>
      <c r="AR72" s="31"/>
      <c r="AS72" s="31">
        <f t="shared" si="9"/>
        <v>7.7106410267927067E-6</v>
      </c>
      <c r="AT72" s="31"/>
      <c r="AU72" s="31">
        <f t="shared" ca="1" si="20"/>
        <v>9.7588476903622777E-7</v>
      </c>
      <c r="AV72" s="31"/>
      <c r="AW72" s="31">
        <f t="shared" ca="1" si="21"/>
        <v>1.8167187916231026E-4</v>
      </c>
      <c r="AX72" s="31"/>
      <c r="AY72" s="31">
        <f t="shared" ca="1" si="22"/>
        <v>3.0896694095652693E-4</v>
      </c>
      <c r="AZ72" s="31"/>
      <c r="BA72" s="134">
        <f t="shared" ca="1" si="23"/>
        <v>1.1220419690618596E-4</v>
      </c>
    </row>
    <row r="73" spans="1:53">
      <c r="A73" s="78"/>
      <c r="B73">
        <v>75</v>
      </c>
      <c r="D73" s="78">
        <v>60</v>
      </c>
      <c r="E73" s="108"/>
      <c r="F73">
        <f>VLOOKUP(B73,Parameters!E64:F154,2)</f>
        <v>0.2903</v>
      </c>
      <c r="H73">
        <f>VLOOKUP(B73,Parameters!H64:I154,2)</f>
        <v>0.01</v>
      </c>
      <c r="J73">
        <f>VLOOKUP(B73,Parameters!K64:L154,2)</f>
        <v>0.03</v>
      </c>
      <c r="L73">
        <f>VLOOKUP(B73,Parameters!N64:O154,2)</f>
        <v>0.26</v>
      </c>
      <c r="N73">
        <f>VLOOKUP(B73,Parameters!T64:U154,2)</f>
        <v>0.375</v>
      </c>
      <c r="P73">
        <f>VLOOKUP(B73,Parameters!T64:U154,2)</f>
        <v>0.375</v>
      </c>
      <c r="R73" s="78">
        <f>VLOOKUP(B73,Parameters!W64:X154,2)</f>
        <v>0.1</v>
      </c>
      <c r="S73" s="108"/>
      <c r="T73" s="102">
        <f t="shared" si="10"/>
        <v>9.7651286571096664E-5</v>
      </c>
      <c r="V73" s="94">
        <f t="shared" si="11"/>
        <v>6.5999037466285357E-6</v>
      </c>
      <c r="X73" s="34">
        <f t="shared" si="12"/>
        <v>2.5059583337076293E-6</v>
      </c>
      <c r="Z73" s="94">
        <f t="shared" si="13"/>
        <v>2.4066557497660116E-3</v>
      </c>
      <c r="AB73" s="94">
        <f t="shared" si="14"/>
        <v>2.4066557497660116E-3</v>
      </c>
      <c r="AD73" s="110">
        <f t="shared" si="15"/>
        <v>0.99508243731015078</v>
      </c>
      <c r="AE73" s="111"/>
      <c r="AF73" s="112">
        <f t="shared" si="8"/>
        <v>1.0000000000000004</v>
      </c>
      <c r="AG73" s="108"/>
      <c r="AH73" s="131" t="e">
        <f>(#REF!/1000000)*(1-(F73+H73))</f>
        <v>#REF!</v>
      </c>
      <c r="AJ73" s="54">
        <f t="shared" ca="1" si="16"/>
        <v>3.9765073939213069</v>
      </c>
      <c r="AL73" s="138">
        <f t="shared" ca="1" si="17"/>
        <v>0.20413785794733119</v>
      </c>
      <c r="AO73" s="135" t="e">
        <f t="shared" ca="1" si="18"/>
        <v>#REF!</v>
      </c>
      <c r="AP73" s="108"/>
      <c r="AQ73" s="31">
        <f t="shared" ca="1" si="19"/>
        <v>9.7372881196355822E-5</v>
      </c>
      <c r="AR73" s="31"/>
      <c r="AS73" s="31">
        <f t="shared" si="9"/>
        <v>5.279922997302829E-6</v>
      </c>
      <c r="AT73" s="31"/>
      <c r="AU73" s="31">
        <f t="shared" ca="1" si="20"/>
        <v>6.707147312289717E-7</v>
      </c>
      <c r="AV73" s="31"/>
      <c r="AW73" s="31">
        <f t="shared" ca="1" si="21"/>
        <v>1.6375061514342038E-4</v>
      </c>
      <c r="AX73" s="31"/>
      <c r="AY73" s="31">
        <f t="shared" ca="1" si="22"/>
        <v>2.784884863518728E-4</v>
      </c>
      <c r="AZ73" s="31"/>
      <c r="BA73" s="134">
        <f t="shared" ca="1" si="23"/>
        <v>9.2600029361371273E-5</v>
      </c>
    </row>
    <row r="74" spans="1:53">
      <c r="A74" s="78"/>
      <c r="B74">
        <v>76</v>
      </c>
      <c r="D74" s="78">
        <v>61</v>
      </c>
      <c r="E74" s="108"/>
      <c r="F74">
        <f>VLOOKUP(B74,Parameters!E65:F155,2)</f>
        <v>0.2903</v>
      </c>
      <c r="H74">
        <f>VLOOKUP(B74,Parameters!H65:I155,2)</f>
        <v>0.01</v>
      </c>
      <c r="J74">
        <f>VLOOKUP(B74,Parameters!K65:L155,2)</f>
        <v>0.03</v>
      </c>
      <c r="L74">
        <f>VLOOKUP(B74,Parameters!N65:O155,2)</f>
        <v>0.26</v>
      </c>
      <c r="N74">
        <f>VLOOKUP(B74,Parameters!T65:U155,2)</f>
        <v>0.375</v>
      </c>
      <c r="P74">
        <f>VLOOKUP(B74,Parameters!T65:U155,2)</f>
        <v>0.375</v>
      </c>
      <c r="R74" s="78">
        <f>VLOOKUP(B74,Parameters!W65:X155,2)</f>
        <v>0.1</v>
      </c>
      <c r="S74" s="108"/>
      <c r="T74" s="102">
        <f t="shared" si="10"/>
        <v>6.6373579482374394E-5</v>
      </c>
      <c r="V74" s="94">
        <f t="shared" si="11"/>
        <v>4.5135154963237482E-6</v>
      </c>
      <c r="X74" s="34">
        <f t="shared" si="12"/>
        <v>1.7159749741234193E-6</v>
      </c>
      <c r="Z74" s="94">
        <f t="shared" si="13"/>
        <v>2.1684651386943963E-3</v>
      </c>
      <c r="AB74" s="94">
        <f t="shared" si="14"/>
        <v>2.1684651386943963E-3</v>
      </c>
      <c r="AD74" s="110">
        <f t="shared" si="15"/>
        <v>0.99559218262763305</v>
      </c>
      <c r="AE74" s="111"/>
      <c r="AF74" s="112">
        <f t="shared" si="8"/>
        <v>1.0000000000000004</v>
      </c>
      <c r="AG74" s="108"/>
      <c r="AH74" s="131" t="e">
        <f>(#REF!/1000000)*(1-(F74+H74))</f>
        <v>#REF!</v>
      </c>
      <c r="AJ74" s="54">
        <f t="shared" ca="1" si="16"/>
        <v>3.9765073939213069</v>
      </c>
      <c r="AL74" s="138">
        <f t="shared" si="17"/>
        <v>0</v>
      </c>
      <c r="AO74" s="135" t="e">
        <f t="shared" ca="1" si="18"/>
        <v>#REF!</v>
      </c>
      <c r="AP74" s="108"/>
      <c r="AQ74" s="31">
        <f t="shared" ca="1" si="19"/>
        <v>6.6184347349163038E-5</v>
      </c>
      <c r="AR74" s="31"/>
      <c r="AS74" s="31">
        <f t="shared" si="9"/>
        <v>3.6108123970589986E-6</v>
      </c>
      <c r="AT74" s="31"/>
      <c r="AU74" s="31">
        <f t="shared" ca="1" si="20"/>
        <v>4.5927726653858643E-7</v>
      </c>
      <c r="AV74" s="31"/>
      <c r="AW74" s="31">
        <f t="shared" ca="1" si="21"/>
        <v>1.4754395198099827E-4</v>
      </c>
      <c r="AX74" s="31"/>
      <c r="AY74" s="31">
        <f t="shared" ca="1" si="22"/>
        <v>2.5092603054696134E-4</v>
      </c>
      <c r="AZ74" s="31"/>
      <c r="BA74" s="134">
        <f t="shared" ca="1" si="23"/>
        <v>7.7240819509512821E-5</v>
      </c>
    </row>
    <row r="75" spans="1:53">
      <c r="A75" s="78"/>
      <c r="B75">
        <v>77</v>
      </c>
      <c r="D75" s="78">
        <v>62</v>
      </c>
      <c r="E75" s="108"/>
      <c r="F75">
        <f>VLOOKUP(B75,Parameters!E66:F156,2)</f>
        <v>0.2903</v>
      </c>
      <c r="H75">
        <f>VLOOKUP(B75,Parameters!H66:I156,2)</f>
        <v>0.01</v>
      </c>
      <c r="J75">
        <f>VLOOKUP(B75,Parameters!K66:L156,2)</f>
        <v>0.03</v>
      </c>
      <c r="L75">
        <f>VLOOKUP(B75,Parameters!N66:O156,2)</f>
        <v>0.26</v>
      </c>
      <c r="N75">
        <f>VLOOKUP(B75,Parameters!T66:U156,2)</f>
        <v>0.375</v>
      </c>
      <c r="P75">
        <f>VLOOKUP(B75,Parameters!T66:U156,2)</f>
        <v>0.375</v>
      </c>
      <c r="R75" s="78">
        <f>VLOOKUP(B75,Parameters!W66:X156,2)</f>
        <v>0.1</v>
      </c>
      <c r="S75" s="108"/>
      <c r="T75" s="102">
        <f t="shared" si="10"/>
        <v>4.5114121974169875E-5</v>
      </c>
      <c r="V75" s="94">
        <f t="shared" si="11"/>
        <v>3.0744511035889311E-6</v>
      </c>
      <c r="X75" s="34">
        <f t="shared" si="12"/>
        <v>1.1735140290441745E-6</v>
      </c>
      <c r="Z75" s="94">
        <f t="shared" si="13"/>
        <v>1.953311193136078E-3</v>
      </c>
      <c r="AB75" s="94">
        <f t="shared" si="14"/>
        <v>1.953311193136078E-3</v>
      </c>
      <c r="AD75" s="110">
        <f t="shared" si="15"/>
        <v>0.99604518904065065</v>
      </c>
      <c r="AE75" s="111"/>
      <c r="AF75" s="112">
        <f t="shared" si="8"/>
        <v>1.0000000000000007</v>
      </c>
      <c r="AG75" s="108"/>
      <c r="AH75" s="131" t="e">
        <f>(#REF!/1000000)*(1-(F75+H75))</f>
        <v>#REF!</v>
      </c>
      <c r="AJ75" s="54">
        <f t="shared" ca="1" si="16"/>
        <v>3.9765073939213069</v>
      </c>
      <c r="AL75" s="138">
        <f t="shared" si="17"/>
        <v>0</v>
      </c>
      <c r="AO75" s="135" t="e">
        <f t="shared" ca="1" si="18"/>
        <v>#REF!</v>
      </c>
      <c r="AP75" s="108"/>
      <c r="AQ75" s="31">
        <f t="shared" ca="1" si="19"/>
        <v>4.4985500893226118E-5</v>
      </c>
      <c r="AR75" s="31"/>
      <c r="AS75" s="31">
        <f t="shared" si="9"/>
        <v>2.4595608828711449E-6</v>
      </c>
      <c r="AT75" s="31"/>
      <c r="AU75" s="31">
        <f t="shared" ca="1" si="20"/>
        <v>3.140886805644796E-7</v>
      </c>
      <c r="AV75" s="31"/>
      <c r="AW75" s="31">
        <f t="shared" ca="1" si="21"/>
        <v>1.3290472036711496E-4</v>
      </c>
      <c r="AX75" s="31"/>
      <c r="AY75" s="31">
        <f t="shared" ca="1" si="22"/>
        <v>2.2602928466338625E-4</v>
      </c>
      <c r="AZ75" s="31"/>
      <c r="BA75" s="134">
        <f t="shared" ca="1" si="23"/>
        <v>6.5066722565146188E-5</v>
      </c>
    </row>
    <row r="76" spans="1:53">
      <c r="A76" s="78"/>
      <c r="B76">
        <v>78</v>
      </c>
      <c r="D76" s="78">
        <v>63</v>
      </c>
      <c r="E76" s="108"/>
      <c r="F76">
        <f>VLOOKUP(B76,Parameters!E67:F157,2)</f>
        <v>0.2903</v>
      </c>
      <c r="H76">
        <f>VLOOKUP(B76,Parameters!H67:I157,2)</f>
        <v>0.01</v>
      </c>
      <c r="J76">
        <f>VLOOKUP(B76,Parameters!K67:L157,2)</f>
        <v>0.03</v>
      </c>
      <c r="L76">
        <f>VLOOKUP(B76,Parameters!N67:O157,2)</f>
        <v>0.26</v>
      </c>
      <c r="N76">
        <f>VLOOKUP(B76,Parameters!T67:U157,2)</f>
        <v>0.375</v>
      </c>
      <c r="P76">
        <f>VLOOKUP(B76,Parameters!T67:U157,2)</f>
        <v>0.375</v>
      </c>
      <c r="R76" s="78">
        <f>VLOOKUP(B76,Parameters!W67:X157,2)</f>
        <v>0.1</v>
      </c>
      <c r="S76" s="108"/>
      <c r="T76" s="102">
        <f t="shared" si="10"/>
        <v>3.0664068705843264E-5</v>
      </c>
      <c r="V76" s="94">
        <f t="shared" si="11"/>
        <v>2.0912919240864394E-6</v>
      </c>
      <c r="X76" s="34">
        <f t="shared" si="12"/>
        <v>7.9935728693312207E-7</v>
      </c>
      <c r="Z76" s="94">
        <f t="shared" si="13"/>
        <v>1.7591329929863158E-3</v>
      </c>
      <c r="AB76" s="94">
        <f t="shared" si="14"/>
        <v>1.7591329929863158E-3</v>
      </c>
      <c r="AD76" s="110">
        <f t="shared" si="15"/>
        <v>0.99644897865339799</v>
      </c>
      <c r="AE76" s="111"/>
      <c r="AF76" s="112">
        <f t="shared" si="8"/>
        <v>1.0000000000000004</v>
      </c>
      <c r="AG76" s="108"/>
      <c r="AH76" s="131" t="e">
        <f>(#REF!/1000000)*(1-(F76+H76))</f>
        <v>#REF!</v>
      </c>
      <c r="AJ76" s="54">
        <f t="shared" ca="1" si="16"/>
        <v>3.9765073939213069</v>
      </c>
      <c r="AL76" s="138">
        <f t="shared" si="17"/>
        <v>0</v>
      </c>
      <c r="AO76" s="135" t="e">
        <f t="shared" ca="1" si="18"/>
        <v>#REF!</v>
      </c>
      <c r="AP76" s="108"/>
      <c r="AQ76" s="31">
        <f t="shared" ca="1" si="19"/>
        <v>3.0576644957125792E-5</v>
      </c>
      <c r="AR76" s="31"/>
      <c r="AS76" s="31">
        <f t="shared" si="9"/>
        <v>1.6730335392691516E-6</v>
      </c>
      <c r="AT76" s="31"/>
      <c r="AU76" s="31">
        <f t="shared" ca="1" si="20"/>
        <v>2.1394637757924535E-7</v>
      </c>
      <c r="AV76" s="31"/>
      <c r="AW76" s="31">
        <f t="shared" ca="1" si="21"/>
        <v>1.1969269379245542E-4</v>
      </c>
      <c r="AX76" s="31"/>
      <c r="AY76" s="31">
        <f t="shared" ca="1" si="22"/>
        <v>2.0355976734771038E-4</v>
      </c>
      <c r="AZ76" s="31"/>
      <c r="BA76" s="134">
        <f t="shared" ca="1" si="23"/>
        <v>5.5253316196749788E-5</v>
      </c>
    </row>
    <row r="77" spans="1:53">
      <c r="A77" s="78"/>
      <c r="B77">
        <v>79</v>
      </c>
      <c r="D77" s="78">
        <v>64</v>
      </c>
      <c r="E77" s="108"/>
      <c r="F77">
        <f>VLOOKUP(B77,Parameters!E68:F158,2)</f>
        <v>0.2903</v>
      </c>
      <c r="H77">
        <f>VLOOKUP(B77,Parameters!H68:I158,2)</f>
        <v>0.01</v>
      </c>
      <c r="J77">
        <f>VLOOKUP(B77,Parameters!K68:L158,2)</f>
        <v>0.03</v>
      </c>
      <c r="L77">
        <f>VLOOKUP(B77,Parameters!N68:O158,2)</f>
        <v>0.26</v>
      </c>
      <c r="N77">
        <f>VLOOKUP(B77,Parameters!T68:U158,2)</f>
        <v>0.375</v>
      </c>
      <c r="P77">
        <f>VLOOKUP(B77,Parameters!T68:U158,2)</f>
        <v>0.375</v>
      </c>
      <c r="R77" s="78">
        <f>VLOOKUP(B77,Parameters!W68:X158,2)</f>
        <v>0.1</v>
      </c>
      <c r="S77" s="108"/>
      <c r="T77" s="102">
        <f t="shared" si="10"/>
        <v>2.0842367499361666E-5</v>
      </c>
      <c r="V77" s="94">
        <f t="shared" si="11"/>
        <v>1.4218321229560435E-6</v>
      </c>
      <c r="X77" s="34">
        <f t="shared" si="12"/>
        <v>5.4373590026247431E-7</v>
      </c>
      <c r="Z77" s="94">
        <f t="shared" si="13"/>
        <v>1.5840039281592166E-3</v>
      </c>
      <c r="AB77" s="94">
        <f t="shared" si="14"/>
        <v>1.5840039281592166E-3</v>
      </c>
      <c r="AD77" s="110">
        <f t="shared" si="15"/>
        <v>0.99680972794405986</v>
      </c>
      <c r="AE77" s="111"/>
      <c r="AF77" s="112">
        <f t="shared" si="8"/>
        <v>1.0000000000000007</v>
      </c>
      <c r="AG77" s="108"/>
      <c r="AH77" s="131" t="e">
        <f>(#REF!/1000000)*(1-(F77+H77))</f>
        <v>#REF!</v>
      </c>
      <c r="AJ77" s="54">
        <f t="shared" ref="AJ77:AJ103" ca="1" si="24">(ccc_adl*L77)+(ccc_hydrocele*P77)+(ccc_le*N77)</f>
        <v>3.9765073939213069</v>
      </c>
      <c r="AL77" s="138">
        <f t="shared" ref="AL77:AL103" si="25">IF(study_perspective=1,0,IF(age&lt;15,0,IF(age&gt;75,0,min_daily_wage*adl_episode_duration*annual_adl_episodes*X77 + prod_loss_hydrocele*min_annual_wage*Z77+prod_loss_lymphedema*min_annual_wage*AB77)))</f>
        <v>0</v>
      </c>
      <c r="AO77" s="135" t="e">
        <f t="shared" ref="AO77:AO103" ca="1" si="26">IF(study_perspective=1,((AH77+AJ77)/(1+discount_cost)^cycle),((AH77+AJ77+AL77+hh_costs_adl+hh_costs_hydrocele+hh_costs_lymphedema)/(1+discount_cost)^cycle))</f>
        <v>#REF!</v>
      </c>
      <c r="AP77" s="108"/>
      <c r="AQ77" s="31">
        <f t="shared" ref="AQ77:AQ103" ca="1" si="27">util_healthy*T77*1</f>
        <v>2.0782945577358399E-5</v>
      </c>
      <c r="AR77" s="31"/>
      <c r="AS77" s="31">
        <f t="shared" si="9"/>
        <v>1.1374656983648349E-6</v>
      </c>
      <c r="AT77" s="31"/>
      <c r="AU77" s="31">
        <f t="shared" ref="AU77:AU103" ca="1" si="28">util_adl*X77</f>
        <v>1.4552982517650952E-7</v>
      </c>
      <c r="AV77" s="31"/>
      <c r="AW77" s="31">
        <f t="shared" ref="AW77:AW103" ca="1" si="29">util_lymphedema*AB77</f>
        <v>1.0777678429949298E-4</v>
      </c>
      <c r="AX77" s="31"/>
      <c r="AY77" s="31">
        <f t="shared" ref="AY77:AY103" ca="1" si="30">util_hydrocele*Z77</f>
        <v>1.8329453905959327E-4</v>
      </c>
      <c r="AZ77" s="31"/>
      <c r="BA77" s="134">
        <f t="shared" ref="BA77:BA103" ca="1" si="31">(AQ77+AS77+AU77+AW77+AY77)/((1+discount_effects)^cycle)</f>
        <v>4.7222869358154207E-5</v>
      </c>
    </row>
    <row r="78" spans="1:53">
      <c r="A78" s="78"/>
      <c r="B78">
        <v>80</v>
      </c>
      <c r="D78" s="78">
        <v>65</v>
      </c>
      <c r="E78" s="108"/>
      <c r="F78">
        <f>VLOOKUP(B78,Parameters!E69:F159,2)</f>
        <v>0.44719999999999999</v>
      </c>
      <c r="H78">
        <f>VLOOKUP(B78,Parameters!H69:I159,2)</f>
        <v>0.01</v>
      </c>
      <c r="J78">
        <f>VLOOKUP(B78,Parameters!K69:L159,2)</f>
        <v>0.03</v>
      </c>
      <c r="L78">
        <f>VLOOKUP(B78,Parameters!N69:O159,2)</f>
        <v>0.26</v>
      </c>
      <c r="N78">
        <f>VLOOKUP(B78,Parameters!T69:U159,2)</f>
        <v>0.375</v>
      </c>
      <c r="P78">
        <f>VLOOKUP(B78,Parameters!T69:U159,2)</f>
        <v>0.375</v>
      </c>
      <c r="R78" s="78">
        <f>VLOOKUP(B78,Parameters!W69:X159,2)</f>
        <v>0.1</v>
      </c>
      <c r="S78" s="108"/>
      <c r="T78" s="102">
        <f t="shared" si="10"/>
        <v>1.4166557189316124E-5</v>
      </c>
      <c r="V78" s="94">
        <f t="shared" si="11"/>
        <v>9.665107344903001E-7</v>
      </c>
      <c r="X78" s="34">
        <f t="shared" si="12"/>
        <v>3.6967635196857133E-7</v>
      </c>
      <c r="Z78" s="94">
        <f t="shared" si="13"/>
        <v>1.4261367223894034E-3</v>
      </c>
      <c r="AB78" s="94">
        <f t="shared" si="14"/>
        <v>1.4261367223894034E-3</v>
      </c>
      <c r="AD78" s="110">
        <f t="shared" si="15"/>
        <v>0.99713259348729788</v>
      </c>
      <c r="AE78" s="111"/>
      <c r="AF78" s="112">
        <f t="shared" ref="AF78:AF103" si="32">T78+V78+Z78+AB78+AD78</f>
        <v>1.0000000000000004</v>
      </c>
      <c r="AG78" s="108"/>
      <c r="AH78" s="131" t="e">
        <f>(#REF!/1000000)*(1-(F78+H78))</f>
        <v>#REF!</v>
      </c>
      <c r="AJ78" s="54">
        <f t="shared" ca="1" si="24"/>
        <v>3.9765073939213069</v>
      </c>
      <c r="AL78" s="138">
        <f t="shared" si="25"/>
        <v>0</v>
      </c>
      <c r="AO78" s="135" t="e">
        <f t="shared" ca="1" si="26"/>
        <v>#REF!</v>
      </c>
      <c r="AP78" s="108"/>
      <c r="AQ78" s="31">
        <f t="shared" ca="1" si="27"/>
        <v>1.4126168108930505E-5</v>
      </c>
      <c r="AR78" s="31"/>
      <c r="AS78" s="31">
        <f t="shared" ref="AS78:AS103" si="33">0.8*V78*1</f>
        <v>7.7320858759224013E-7</v>
      </c>
      <c r="AT78" s="31"/>
      <c r="AU78" s="31">
        <f t="shared" ca="1" si="28"/>
        <v>9.8943135533088697E-8</v>
      </c>
      <c r="AV78" s="31"/>
      <c r="AW78" s="31">
        <f t="shared" ca="1" si="29"/>
        <v>9.7035384305624645E-5</v>
      </c>
      <c r="AX78" s="31"/>
      <c r="AY78" s="31">
        <f t="shared" ca="1" si="30"/>
        <v>1.6502678340583624E-4</v>
      </c>
      <c r="AZ78" s="31"/>
      <c r="BA78" s="134">
        <f t="shared" ca="1" si="31"/>
        <v>4.0565327660425805E-5</v>
      </c>
    </row>
    <row r="79" spans="1:53">
      <c r="A79" s="78"/>
      <c r="B79">
        <v>81</v>
      </c>
      <c r="D79" s="78">
        <v>66</v>
      </c>
      <c r="E79" s="108"/>
      <c r="F79">
        <f>VLOOKUP(B79,Parameters!E70:F160,2)</f>
        <v>0.44719999999999999</v>
      </c>
      <c r="H79">
        <f>VLOOKUP(B79,Parameters!H70:I160,2)</f>
        <v>0.01</v>
      </c>
      <c r="J79">
        <f>VLOOKUP(B79,Parameters!K70:L160,2)</f>
        <v>0.03</v>
      </c>
      <c r="L79">
        <f>VLOOKUP(B79,Parameters!N70:O160,2)</f>
        <v>0.26</v>
      </c>
      <c r="N79">
        <f>VLOOKUP(B79,Parameters!T70:U160,2)</f>
        <v>0.375</v>
      </c>
      <c r="P79">
        <f>VLOOKUP(B79,Parameters!T70:U160,2)</f>
        <v>0.375</v>
      </c>
      <c r="R79" s="78">
        <f>VLOOKUP(B79,Parameters!W70:X160,2)</f>
        <v>0.1</v>
      </c>
      <c r="S79" s="108"/>
      <c r="T79" s="102">
        <f t="shared" ref="T79:T103" si="34">T78 -T78*F78 - T78*J78</f>
        <v>7.4062760985744705E-6</v>
      </c>
      <c r="V79" s="94">
        <f t="shared" ref="V79:V103" si="35">V78+T78*J78-V78*N78-V78*P78-V78*H78</f>
        <v>6.5695929195715586E-7</v>
      </c>
      <c r="X79" s="34">
        <f t="shared" ref="X79:X103" si="36">V78*L78</f>
        <v>2.5129279096747805E-7</v>
      </c>
      <c r="Z79" s="94">
        <f t="shared" ref="Z79:Z103" si="37">Z78+V78*P78-Z78*R78</f>
        <v>1.2838854916758971E-3</v>
      </c>
      <c r="AB79" s="94">
        <f t="shared" ref="AB79:AB103" si="38">AB78+V78*N78-AB78*R78</f>
        <v>1.2838854916758971E-3</v>
      </c>
      <c r="AD79" s="110">
        <f t="shared" ref="AD79:AD103" si="39">AD78+T78*F78+V78*H78+Z78*R78 +AB78*R78</f>
        <v>0.99742416578125814</v>
      </c>
      <c r="AE79" s="111"/>
      <c r="AF79" s="112">
        <f t="shared" si="32"/>
        <v>1.0000000000000004</v>
      </c>
      <c r="AG79" s="108"/>
      <c r="AH79" s="131" t="e">
        <f>(#REF!/1000000)*(1-(F79+H79))</f>
        <v>#REF!</v>
      </c>
      <c r="AJ79" s="54">
        <f t="shared" ca="1" si="24"/>
        <v>3.9765073939213069</v>
      </c>
      <c r="AL79" s="138">
        <f t="shared" si="25"/>
        <v>0</v>
      </c>
      <c r="AO79" s="135" t="e">
        <f t="shared" ca="1" si="26"/>
        <v>#REF!</v>
      </c>
      <c r="AP79" s="108"/>
      <c r="AQ79" s="31">
        <f t="shared" ca="1" si="27"/>
        <v>7.3851606873488686E-6</v>
      </c>
      <c r="AR79" s="31"/>
      <c r="AS79" s="31">
        <f t="shared" si="33"/>
        <v>5.2556743356572475E-7</v>
      </c>
      <c r="AT79" s="31"/>
      <c r="AU79" s="31">
        <f t="shared" ca="1" si="28"/>
        <v>6.7258012428387995E-8</v>
      </c>
      <c r="AV79" s="31"/>
      <c r="AW79" s="31">
        <f t="shared" ca="1" si="29"/>
        <v>8.7356506661196256E-5</v>
      </c>
      <c r="AX79" s="31"/>
      <c r="AY79" s="31">
        <f t="shared" ca="1" si="30"/>
        <v>1.4856604533519733E-4</v>
      </c>
      <c r="AZ79" s="31"/>
      <c r="BA79" s="134">
        <f t="shared" ca="1" si="31"/>
        <v>3.4670166552811343E-5</v>
      </c>
    </row>
    <row r="80" spans="1:53">
      <c r="A80" s="78"/>
      <c r="B80">
        <v>82</v>
      </c>
      <c r="D80" s="78">
        <v>67</v>
      </c>
      <c r="E80" s="108"/>
      <c r="F80">
        <f>VLOOKUP(B80,Parameters!E71:F161,2)</f>
        <v>0.44719999999999999</v>
      </c>
      <c r="H80">
        <f>VLOOKUP(B80,Parameters!H71:I161,2)</f>
        <v>0.01</v>
      </c>
      <c r="J80">
        <f>VLOOKUP(B80,Parameters!K71:L161,2)</f>
        <v>0.03</v>
      </c>
      <c r="L80">
        <f>VLOOKUP(B80,Parameters!N71:O161,2)</f>
        <v>0.26</v>
      </c>
      <c r="N80">
        <f>VLOOKUP(B80,Parameters!T71:U161,2)</f>
        <v>0.375</v>
      </c>
      <c r="P80">
        <f>VLOOKUP(B80,Parameters!T71:U161,2)</f>
        <v>0.375</v>
      </c>
      <c r="R80" s="78">
        <f>VLOOKUP(B80,Parameters!W71:X161,2)</f>
        <v>0.1</v>
      </c>
      <c r="S80" s="108"/>
      <c r="T80" s="102">
        <f t="shared" si="34"/>
        <v>3.8720011443347333E-6</v>
      </c>
      <c r="V80" s="94">
        <f t="shared" si="35"/>
        <v>3.7985851302695144E-7</v>
      </c>
      <c r="X80" s="34">
        <f t="shared" si="36"/>
        <v>1.7080941590886053E-7</v>
      </c>
      <c r="Z80" s="94">
        <f t="shared" si="37"/>
        <v>1.1557433022427912E-3</v>
      </c>
      <c r="AB80" s="94">
        <f t="shared" si="38"/>
        <v>1.1557433022427912E-3</v>
      </c>
      <c r="AD80" s="110">
        <f t="shared" si="39"/>
        <v>0.99768426153585754</v>
      </c>
      <c r="AE80" s="111"/>
      <c r="AF80" s="112">
        <f t="shared" si="32"/>
        <v>1.0000000000000004</v>
      </c>
      <c r="AG80" s="108"/>
      <c r="AH80" s="131" t="e">
        <f>(#REF!/1000000)*(1-(F80+H80))</f>
        <v>#REF!</v>
      </c>
      <c r="AJ80" s="54">
        <f t="shared" ca="1" si="24"/>
        <v>3.9765073939213069</v>
      </c>
      <c r="AL80" s="138">
        <f t="shared" si="25"/>
        <v>0</v>
      </c>
      <c r="AO80" s="135" t="e">
        <f t="shared" ca="1" si="26"/>
        <v>#REF!</v>
      </c>
      <c r="AP80" s="108"/>
      <c r="AQ80" s="31">
        <f t="shared" ca="1" si="27"/>
        <v>3.8609620073459883E-6</v>
      </c>
      <c r="AR80" s="31"/>
      <c r="AS80" s="31">
        <f t="shared" si="33"/>
        <v>3.0388681042156118E-7</v>
      </c>
      <c r="AT80" s="31"/>
      <c r="AU80" s="31">
        <f t="shared" ca="1" si="28"/>
        <v>4.5716798217146769E-8</v>
      </c>
      <c r="AV80" s="31"/>
      <c r="AW80" s="31">
        <f t="shared" ca="1" si="29"/>
        <v>7.8637618491363118E-5</v>
      </c>
      <c r="AX80" s="31"/>
      <c r="AY80" s="31">
        <f t="shared" ca="1" si="30"/>
        <v>1.3373794855546045E-4</v>
      </c>
      <c r="AZ80" s="31"/>
      <c r="BA80" s="134">
        <f t="shared" ca="1" si="31"/>
        <v>2.9890734802194165E-5</v>
      </c>
    </row>
    <row r="81" spans="1:53">
      <c r="A81" s="78"/>
      <c r="B81">
        <v>83</v>
      </c>
      <c r="D81" s="78">
        <v>68</v>
      </c>
      <c r="E81" s="108"/>
      <c r="F81">
        <f>VLOOKUP(B81,Parameters!E72:F162,2)</f>
        <v>0.44719999999999999</v>
      </c>
      <c r="H81">
        <f>VLOOKUP(B81,Parameters!H72:I162,2)</f>
        <v>0.01</v>
      </c>
      <c r="J81">
        <f>VLOOKUP(B81,Parameters!K72:L162,2)</f>
        <v>0.03</v>
      </c>
      <c r="L81">
        <f>VLOOKUP(B81,Parameters!N72:O162,2)</f>
        <v>0.26</v>
      </c>
      <c r="N81">
        <f>VLOOKUP(B81,Parameters!T72:U162,2)</f>
        <v>0.375</v>
      </c>
      <c r="P81">
        <f>VLOOKUP(B81,Parameters!T72:U162,2)</f>
        <v>0.375</v>
      </c>
      <c r="R81" s="78">
        <f>VLOOKUP(B81,Parameters!W72:X162,2)</f>
        <v>0.1</v>
      </c>
      <c r="S81" s="108"/>
      <c r="T81" s="102">
        <f t="shared" si="34"/>
        <v>2.0242821982581984E-6</v>
      </c>
      <c r="V81" s="94">
        <f t="shared" si="35"/>
        <v>2.0732607745651031E-7</v>
      </c>
      <c r="X81" s="34">
        <f t="shared" si="36"/>
        <v>9.8763213387007382E-8</v>
      </c>
      <c r="Z81" s="94">
        <f t="shared" si="37"/>
        <v>1.0403114189608972E-3</v>
      </c>
      <c r="AB81" s="94">
        <f t="shared" si="38"/>
        <v>1.0403114189608972E-3</v>
      </c>
      <c r="AD81" s="110">
        <f t="shared" si="39"/>
        <v>0.99791714555380284</v>
      </c>
      <c r="AE81" s="111"/>
      <c r="AF81" s="112">
        <f t="shared" si="32"/>
        <v>1.0000000000000004</v>
      </c>
      <c r="AG81" s="108"/>
      <c r="AH81" s="131" t="e">
        <f>(#REF!/1000000)*(1-(F81+H81))</f>
        <v>#REF!</v>
      </c>
      <c r="AJ81" s="54">
        <f t="shared" ca="1" si="24"/>
        <v>3.9765073939213069</v>
      </c>
      <c r="AL81" s="138">
        <f t="shared" si="25"/>
        <v>0</v>
      </c>
      <c r="AO81" s="135" t="e">
        <f t="shared" ca="1" si="26"/>
        <v>#REF!</v>
      </c>
      <c r="AP81" s="108"/>
      <c r="AQ81" s="31">
        <f t="shared" ca="1" si="27"/>
        <v>2.0185109374404825E-6</v>
      </c>
      <c r="AR81" s="31"/>
      <c r="AS81" s="31">
        <f t="shared" si="33"/>
        <v>1.6586086196520826E-7</v>
      </c>
      <c r="AT81" s="31"/>
      <c r="AU81" s="31">
        <f t="shared" ca="1" si="28"/>
        <v>2.6433776344624849E-8</v>
      </c>
      <c r="AV81" s="31"/>
      <c r="AW81" s="31">
        <f t="shared" ca="1" si="29"/>
        <v>7.0783548836236322E-5</v>
      </c>
      <c r="AX81" s="31"/>
      <c r="AY81" s="31">
        <f t="shared" ca="1" si="30"/>
        <v>1.2038063708494949E-4</v>
      </c>
      <c r="AZ81" s="31"/>
      <c r="BA81" s="134">
        <f t="shared" ca="1" si="31"/>
        <v>2.5910096331545982E-5</v>
      </c>
    </row>
    <row r="82" spans="1:53">
      <c r="A82" s="78"/>
      <c r="B82">
        <v>84</v>
      </c>
      <c r="D82" s="78">
        <v>69</v>
      </c>
      <c r="E82" s="108"/>
      <c r="F82">
        <f>VLOOKUP(B82,Parameters!E73:F163,2)</f>
        <v>0.44719999999999999</v>
      </c>
      <c r="H82">
        <f>VLOOKUP(B82,Parameters!H73:I163,2)</f>
        <v>0.01</v>
      </c>
      <c r="J82">
        <f>VLOOKUP(B82,Parameters!K73:L163,2)</f>
        <v>0.03</v>
      </c>
      <c r="L82">
        <f>VLOOKUP(B82,Parameters!N73:O163,2)</f>
        <v>0.26</v>
      </c>
      <c r="N82">
        <f>VLOOKUP(B82,Parameters!T73:U163,2)</f>
        <v>0.375</v>
      </c>
      <c r="P82">
        <f>VLOOKUP(B82,Parameters!T73:U163,2)</f>
        <v>0.375</v>
      </c>
      <c r="R82" s="78">
        <f>VLOOKUP(B82,Parameters!W73:X163,2)</f>
        <v>0.1</v>
      </c>
      <c r="S82" s="108"/>
      <c r="T82" s="102">
        <f t="shared" si="34"/>
        <v>1.0582947332493861E-6</v>
      </c>
      <c r="V82" s="94">
        <f t="shared" si="35"/>
        <v>1.104867245373084E-7</v>
      </c>
      <c r="X82" s="34">
        <f t="shared" si="36"/>
        <v>5.3904780138692686E-8</v>
      </c>
      <c r="Z82" s="94">
        <f t="shared" si="37"/>
        <v>9.3635802434385363E-4</v>
      </c>
      <c r="AB82" s="94">
        <f t="shared" si="38"/>
        <v>9.3635802434385363E-4</v>
      </c>
      <c r="AD82" s="110">
        <f t="shared" si="39"/>
        <v>0.99812611516985483</v>
      </c>
      <c r="AE82" s="111"/>
      <c r="AF82" s="112">
        <f t="shared" si="32"/>
        <v>1.0000000000000002</v>
      </c>
      <c r="AG82" s="108"/>
      <c r="AH82" s="131" t="e">
        <f>(#REF!/1000000)*(1-(F82+H82))</f>
        <v>#REF!</v>
      </c>
      <c r="AJ82" s="54">
        <f t="shared" ca="1" si="24"/>
        <v>3.9765073939213069</v>
      </c>
      <c r="AL82" s="138">
        <f t="shared" si="25"/>
        <v>0</v>
      </c>
      <c r="AO82" s="135" t="e">
        <f t="shared" ca="1" si="26"/>
        <v>#REF!</v>
      </c>
      <c r="AP82" s="108"/>
      <c r="AQ82" s="31">
        <f t="shared" ca="1" si="27"/>
        <v>1.0552775180938843E-6</v>
      </c>
      <c r="AR82" s="31"/>
      <c r="AS82" s="31">
        <f t="shared" si="33"/>
        <v>8.8389379629846721E-8</v>
      </c>
      <c r="AT82" s="31"/>
      <c r="AU82" s="31">
        <f t="shared" ca="1" si="28"/>
        <v>1.4427506489777997E-8</v>
      </c>
      <c r="AV82" s="31"/>
      <c r="AW82" s="31">
        <f t="shared" ca="1" si="29"/>
        <v>6.3710483934269094E-5</v>
      </c>
      <c r="AX82" s="31"/>
      <c r="AY82" s="31">
        <f t="shared" ca="1" si="30"/>
        <v>1.0835156997767665E-4</v>
      </c>
      <c r="AZ82" s="31"/>
      <c r="BA82" s="134">
        <f t="shared" ca="1" si="31"/>
        <v>2.2533564753773802E-5</v>
      </c>
    </row>
    <row r="83" spans="1:53">
      <c r="A83" s="78"/>
      <c r="B83">
        <v>85</v>
      </c>
      <c r="D83" s="78">
        <v>70</v>
      </c>
      <c r="E83" s="108"/>
      <c r="F83">
        <f>VLOOKUP(B83,Parameters!E74:F164,2)</f>
        <v>0.47620000000000001</v>
      </c>
      <c r="H83">
        <f>VLOOKUP(B83,Parameters!H74:I164,2)</f>
        <v>0.01</v>
      </c>
      <c r="J83">
        <f>VLOOKUP(B83,Parameters!K74:L164,2)</f>
        <v>0.03</v>
      </c>
      <c r="L83">
        <f>VLOOKUP(B83,Parameters!N74:O164,2)</f>
        <v>0.26</v>
      </c>
      <c r="N83">
        <f>VLOOKUP(B83,Parameters!T74:U164,2)</f>
        <v>0.375</v>
      </c>
      <c r="P83">
        <f>VLOOKUP(B83,Parameters!T74:U164,2)</f>
        <v>0.375</v>
      </c>
      <c r="R83" s="78">
        <f>VLOOKUP(B83,Parameters!W74:X164,2)</f>
        <v>0.1</v>
      </c>
      <c r="S83" s="108"/>
      <c r="T83" s="102">
        <f t="shared" si="34"/>
        <v>5.5327648654277914E-7</v>
      </c>
      <c r="V83" s="94">
        <f t="shared" si="35"/>
        <v>5.8265655886435589E-8</v>
      </c>
      <c r="X83" s="34">
        <f t="shared" si="36"/>
        <v>2.8726548379700185E-8</v>
      </c>
      <c r="Z83" s="94">
        <f t="shared" si="37"/>
        <v>8.427636544311698E-4</v>
      </c>
      <c r="AB83" s="94">
        <f t="shared" si="38"/>
        <v>8.427636544311698E-4</v>
      </c>
      <c r="AD83" s="110">
        <f t="shared" si="39"/>
        <v>0.99831386114899545</v>
      </c>
      <c r="AE83" s="111"/>
      <c r="AF83" s="112">
        <f t="shared" si="32"/>
        <v>1.0000000000000002</v>
      </c>
      <c r="AG83" s="108"/>
      <c r="AH83" s="131" t="e">
        <f>(#REF!/1000000)*(1-(F83+H83))</f>
        <v>#REF!</v>
      </c>
      <c r="AJ83" s="54">
        <f t="shared" ca="1" si="24"/>
        <v>3.9765073939213069</v>
      </c>
      <c r="AL83" s="138">
        <f t="shared" si="25"/>
        <v>0</v>
      </c>
      <c r="AO83" s="135" t="e">
        <f t="shared" ca="1" si="26"/>
        <v>#REF!</v>
      </c>
      <c r="AP83" s="108"/>
      <c r="AQ83" s="31">
        <f t="shared" ca="1" si="27"/>
        <v>5.5169908645948278E-7</v>
      </c>
      <c r="AR83" s="31"/>
      <c r="AS83" s="31">
        <f t="shared" si="33"/>
        <v>4.6612524709148473E-8</v>
      </c>
      <c r="AT83" s="31"/>
      <c r="AU83" s="31">
        <f t="shared" ca="1" si="28"/>
        <v>7.6886031648898849E-9</v>
      </c>
      <c r="AV83" s="31"/>
      <c r="AW83" s="31">
        <f t="shared" ca="1" si="29"/>
        <v>5.7342254639882931E-5</v>
      </c>
      <c r="AX83" s="31"/>
      <c r="AY83" s="31">
        <f t="shared" ca="1" si="30"/>
        <v>9.7521207384034103E-5</v>
      </c>
      <c r="AZ83" s="31"/>
      <c r="BA83" s="134">
        <f t="shared" ca="1" si="31"/>
        <v>1.9635382553911174E-5</v>
      </c>
    </row>
    <row r="84" spans="1:53">
      <c r="A84" s="78"/>
      <c r="B84">
        <v>86</v>
      </c>
      <c r="D84" s="78">
        <v>71</v>
      </c>
      <c r="E84" s="108"/>
      <c r="F84">
        <f>VLOOKUP(B84,Parameters!E75:F165,2)</f>
        <v>0.47620000000000001</v>
      </c>
      <c r="H84">
        <f>VLOOKUP(B84,Parameters!H75:I165,2)</f>
        <v>0.01</v>
      </c>
      <c r="J84">
        <f>VLOOKUP(B84,Parameters!K75:L165,2)</f>
        <v>0.03</v>
      </c>
      <c r="L84">
        <f>VLOOKUP(B84,Parameters!N75:O165,2)</f>
        <v>0.26</v>
      </c>
      <c r="N84">
        <f>VLOOKUP(B84,Parameters!T75:U165,2)</f>
        <v>0.375</v>
      </c>
      <c r="P84">
        <f>VLOOKUP(B84,Parameters!T75:U165,2)</f>
        <v>0.375</v>
      </c>
      <c r="R84" s="78">
        <f>VLOOKUP(B84,Parameters!W75:X165,2)</f>
        <v>0.1</v>
      </c>
      <c r="S84" s="108"/>
      <c r="T84" s="102">
        <f t="shared" si="34"/>
        <v>2.7320792905482431E-7</v>
      </c>
      <c r="V84" s="94">
        <f t="shared" si="35"/>
        <v>3.0582052009027921E-8</v>
      </c>
      <c r="X84" s="34">
        <f t="shared" si="36"/>
        <v>1.5149070530473254E-8</v>
      </c>
      <c r="Z84" s="94">
        <f t="shared" si="37"/>
        <v>7.5850913860901021E-4</v>
      </c>
      <c r="AB84" s="94">
        <f t="shared" si="38"/>
        <v>7.5850913860901021E-4</v>
      </c>
      <c r="AD84" s="110">
        <f t="shared" si="39"/>
        <v>0.99848267793280132</v>
      </c>
      <c r="AE84" s="111"/>
      <c r="AF84" s="112">
        <f t="shared" si="32"/>
        <v>1.0000000000000004</v>
      </c>
      <c r="AG84" s="108"/>
      <c r="AH84" s="131" t="e">
        <f>(#REF!/1000000)*(1-(F84+H84))</f>
        <v>#REF!</v>
      </c>
      <c r="AJ84" s="54">
        <f t="shared" ca="1" si="24"/>
        <v>3.9765073939213069</v>
      </c>
      <c r="AL84" s="138">
        <f t="shared" si="25"/>
        <v>0</v>
      </c>
      <c r="AO84" s="135" t="e">
        <f t="shared" ca="1" si="26"/>
        <v>#REF!</v>
      </c>
      <c r="AP84" s="108"/>
      <c r="AQ84" s="31">
        <f t="shared" ca="1" si="27"/>
        <v>2.7242900889369262E-7</v>
      </c>
      <c r="AR84" s="31"/>
      <c r="AS84" s="31">
        <f t="shared" si="33"/>
        <v>2.4465641607222339E-8</v>
      </c>
      <c r="AT84" s="31"/>
      <c r="AU84" s="31">
        <f t="shared" ca="1" si="28"/>
        <v>4.0546183998925804E-9</v>
      </c>
      <c r="AV84" s="31"/>
      <c r="AW84" s="31">
        <f t="shared" ca="1" si="29"/>
        <v>5.1609515840064525E-5</v>
      </c>
      <c r="AX84" s="31"/>
      <c r="AY84" s="31">
        <f t="shared" ca="1" si="30"/>
        <v>8.7771614995548773E-5</v>
      </c>
      <c r="AZ84" s="31"/>
      <c r="BA84" s="134">
        <f t="shared" ca="1" si="31"/>
        <v>1.7127648425227392E-5</v>
      </c>
    </row>
    <row r="85" spans="1:53">
      <c r="A85" s="78"/>
      <c r="B85">
        <v>87</v>
      </c>
      <c r="D85" s="78">
        <v>72</v>
      </c>
      <c r="E85" s="108"/>
      <c r="F85">
        <f>VLOOKUP(B85,Parameters!E76:F166,2)</f>
        <v>0.47620000000000001</v>
      </c>
      <c r="H85">
        <f>VLOOKUP(B85,Parameters!H76:I166,2)</f>
        <v>0.01</v>
      </c>
      <c r="J85">
        <f>VLOOKUP(B85,Parameters!K76:L166,2)</f>
        <v>0.03</v>
      </c>
      <c r="L85">
        <f>VLOOKUP(B85,Parameters!N76:O166,2)</f>
        <v>0.26</v>
      </c>
      <c r="N85">
        <f>VLOOKUP(B85,Parameters!T76:U166,2)</f>
        <v>0.375</v>
      </c>
      <c r="P85">
        <f>VLOOKUP(B85,Parameters!T76:U166,2)</f>
        <v>0.375</v>
      </c>
      <c r="R85" s="78">
        <f>VLOOKUP(B85,Parameters!W76:X166,2)</f>
        <v>0.1</v>
      </c>
      <c r="S85" s="108"/>
      <c r="T85" s="102">
        <f t="shared" si="34"/>
        <v>1.3491007536727226E-7</v>
      </c>
      <c r="V85" s="94">
        <f t="shared" si="35"/>
        <v>1.5535930353811431E-8</v>
      </c>
      <c r="X85" s="34">
        <f t="shared" si="36"/>
        <v>7.9513335223472603E-9</v>
      </c>
      <c r="Z85" s="94">
        <f t="shared" si="37"/>
        <v>6.8266969301761259E-4</v>
      </c>
      <c r="AB85" s="94">
        <f t="shared" si="38"/>
        <v>6.8266969301761259E-4</v>
      </c>
      <c r="AD85" s="110">
        <f t="shared" si="39"/>
        <v>0.99863451016795934</v>
      </c>
      <c r="AE85" s="111"/>
      <c r="AF85" s="112">
        <f t="shared" si="32"/>
        <v>1.0000000000000002</v>
      </c>
      <c r="AG85" s="108"/>
      <c r="AH85" s="131" t="e">
        <f>(#REF!/1000000)*(1-(F85+H85))</f>
        <v>#REF!</v>
      </c>
      <c r="AJ85" s="54">
        <f t="shared" ca="1" si="24"/>
        <v>3.9765073939213069</v>
      </c>
      <c r="AL85" s="138">
        <f t="shared" si="25"/>
        <v>0</v>
      </c>
      <c r="AO85" s="135" t="e">
        <f t="shared" ca="1" si="26"/>
        <v>#REF!</v>
      </c>
      <c r="AP85" s="108"/>
      <c r="AQ85" s="31">
        <f t="shared" ca="1" si="27"/>
        <v>1.3452544459170542E-7</v>
      </c>
      <c r="AR85" s="31"/>
      <c r="AS85" s="31">
        <f t="shared" si="33"/>
        <v>1.2428744283049145E-8</v>
      </c>
      <c r="AT85" s="31"/>
      <c r="AU85" s="31">
        <f t="shared" ca="1" si="28"/>
        <v>2.1281584991329974E-9</v>
      </c>
      <c r="AV85" s="31"/>
      <c r="AW85" s="31">
        <f t="shared" ca="1" si="29"/>
        <v>4.6449344565492019E-5</v>
      </c>
      <c r="AX85" s="31"/>
      <c r="AY85" s="31">
        <f t="shared" ca="1" si="30"/>
        <v>7.8995780557837033E-5</v>
      </c>
      <c r="AZ85" s="31"/>
      <c r="BA85" s="134">
        <f t="shared" ca="1" si="31"/>
        <v>1.495166063176297E-5</v>
      </c>
    </row>
    <row r="86" spans="1:53">
      <c r="A86" s="78"/>
      <c r="B86">
        <v>88</v>
      </c>
      <c r="D86" s="78">
        <v>73</v>
      </c>
      <c r="E86" s="108"/>
      <c r="F86">
        <f>VLOOKUP(B86,Parameters!E77:F167,2)</f>
        <v>0.47620000000000001</v>
      </c>
      <c r="H86">
        <f>VLOOKUP(B86,Parameters!H77:I167,2)</f>
        <v>0.01</v>
      </c>
      <c r="J86">
        <f>VLOOKUP(B86,Parameters!K77:L167,2)</f>
        <v>0.03</v>
      </c>
      <c r="L86">
        <f>VLOOKUP(B86,Parameters!N77:O167,2)</f>
        <v>0.26</v>
      </c>
      <c r="N86">
        <f>VLOOKUP(B86,Parameters!T77:U167,2)</f>
        <v>0.375</v>
      </c>
      <c r="P86">
        <f>VLOOKUP(B86,Parameters!T77:U167,2)</f>
        <v>0.375</v>
      </c>
      <c r="R86" s="78">
        <f>VLOOKUP(B86,Parameters!W77:X167,2)</f>
        <v>0.1</v>
      </c>
      <c r="S86" s="108"/>
      <c r="T86" s="102">
        <f t="shared" si="34"/>
        <v>6.6618595216359038E-8</v>
      </c>
      <c r="V86" s="94">
        <f t="shared" si="35"/>
        <v>7.77592554593291E-9</v>
      </c>
      <c r="X86" s="34">
        <f t="shared" si="36"/>
        <v>4.0393418919909722E-9</v>
      </c>
      <c r="Z86" s="94">
        <f t="shared" si="37"/>
        <v>6.1440854968973404E-4</v>
      </c>
      <c r="AB86" s="94">
        <f t="shared" si="38"/>
        <v>6.1440854968973404E-4</v>
      </c>
      <c r="AD86" s="110">
        <f t="shared" si="39"/>
        <v>0.99877110850609996</v>
      </c>
      <c r="AE86" s="111"/>
      <c r="AF86" s="112">
        <f t="shared" si="32"/>
        <v>1.0000000000000002</v>
      </c>
      <c r="AG86" s="108"/>
      <c r="AH86" s="131" t="e">
        <f>(#REF!/1000000)*(1-(F86+H86))</f>
        <v>#REF!</v>
      </c>
      <c r="AJ86" s="54">
        <f t="shared" ca="1" si="24"/>
        <v>3.9765073939213069</v>
      </c>
      <c r="AL86" s="138">
        <f t="shared" si="25"/>
        <v>0</v>
      </c>
      <c r="AO86" s="135" t="e">
        <f t="shared" ca="1" si="26"/>
        <v>#REF!</v>
      </c>
      <c r="AP86" s="108"/>
      <c r="AQ86" s="31">
        <f t="shared" ca="1" si="27"/>
        <v>6.6428664539384126E-8</v>
      </c>
      <c r="AR86" s="31"/>
      <c r="AS86" s="31">
        <f t="shared" si="33"/>
        <v>6.2207404367463281E-9</v>
      </c>
      <c r="AT86" s="31"/>
      <c r="AU86" s="31">
        <f t="shared" ca="1" si="28"/>
        <v>1.0811217708557238E-9</v>
      </c>
      <c r="AV86" s="31"/>
      <c r="AW86" s="31">
        <f t="shared" ca="1" si="29"/>
        <v>4.180480651246135E-5</v>
      </c>
      <c r="AX86" s="31"/>
      <c r="AY86" s="31">
        <f t="shared" ca="1" si="30"/>
        <v>7.1096876660228336E-5</v>
      </c>
      <c r="AZ86" s="31"/>
      <c r="BA86" s="134">
        <f t="shared" ca="1" si="31"/>
        <v>1.3057695500921831E-5</v>
      </c>
    </row>
    <row r="87" spans="1:53">
      <c r="A87" s="78"/>
      <c r="B87">
        <v>89</v>
      </c>
      <c r="D87" s="78">
        <v>74</v>
      </c>
      <c r="E87" s="108"/>
      <c r="F87">
        <f>VLOOKUP(B87,Parameters!E78:F168,2)</f>
        <v>0.47620000000000001</v>
      </c>
      <c r="H87">
        <f>VLOOKUP(B87,Parameters!H78:I168,2)</f>
        <v>0.01</v>
      </c>
      <c r="J87">
        <f>VLOOKUP(B87,Parameters!K78:L168,2)</f>
        <v>0.03</v>
      </c>
      <c r="L87">
        <f>VLOOKUP(B87,Parameters!N78:O168,2)</f>
        <v>0.26</v>
      </c>
      <c r="N87">
        <f>VLOOKUP(B87,Parameters!T78:U168,2)</f>
        <v>0.375</v>
      </c>
      <c r="P87">
        <f>VLOOKUP(B87,Parameters!T78:U168,2)</f>
        <v>0.375</v>
      </c>
      <c r="R87" s="78">
        <f>VLOOKUP(B87,Parameters!W78:X168,2)</f>
        <v>0.1</v>
      </c>
      <c r="S87" s="108"/>
      <c r="T87" s="102">
        <f t="shared" si="34"/>
        <v>3.2896262317838092E-8</v>
      </c>
      <c r="V87" s="94">
        <f t="shared" si="35"/>
        <v>3.8647799875146702E-9</v>
      </c>
      <c r="X87" s="34">
        <f t="shared" si="36"/>
        <v>2.0217406419425568E-9</v>
      </c>
      <c r="Z87" s="94">
        <f t="shared" si="37"/>
        <v>5.5297061069284033E-4</v>
      </c>
      <c r="AB87" s="94">
        <f t="shared" si="38"/>
        <v>5.5297061069284033E-4</v>
      </c>
      <c r="AD87" s="110">
        <f t="shared" si="39"/>
        <v>0.99889402201757216</v>
      </c>
      <c r="AE87" s="111"/>
      <c r="AF87" s="112">
        <f t="shared" si="32"/>
        <v>1.0000000000000002</v>
      </c>
      <c r="AG87" s="108"/>
      <c r="AH87" s="131" t="e">
        <f>(#REF!/1000000)*(1-(F87+H87))</f>
        <v>#REF!</v>
      </c>
      <c r="AJ87" s="54">
        <f t="shared" ca="1" si="24"/>
        <v>3.9765073939213069</v>
      </c>
      <c r="AL87" s="138">
        <f t="shared" si="25"/>
        <v>0</v>
      </c>
      <c r="AO87" s="135" t="e">
        <f t="shared" ca="1" si="26"/>
        <v>#REF!</v>
      </c>
      <c r="AP87" s="108"/>
      <c r="AQ87" s="31">
        <f t="shared" ca="1" si="27"/>
        <v>3.2802474549547879E-8</v>
      </c>
      <c r="AR87" s="31"/>
      <c r="AS87" s="31">
        <f t="shared" si="33"/>
        <v>3.0918239900117364E-9</v>
      </c>
      <c r="AT87" s="31"/>
      <c r="AU87" s="31">
        <f t="shared" ca="1" si="28"/>
        <v>5.4111483540468026E-10</v>
      </c>
      <c r="AV87" s="31"/>
      <c r="AW87" s="31">
        <f t="shared" ca="1" si="29"/>
        <v>3.7624524266085478E-5</v>
      </c>
      <c r="AX87" s="31"/>
      <c r="AY87" s="31">
        <f t="shared" ca="1" si="30"/>
        <v>6.3987526418721164E-5</v>
      </c>
      <c r="AZ87" s="31"/>
      <c r="BA87" s="134">
        <f t="shared" ca="1" si="31"/>
        <v>1.1406339311598786E-5</v>
      </c>
    </row>
    <row r="88" spans="1:53">
      <c r="A88" s="78"/>
      <c r="B88">
        <v>90</v>
      </c>
      <c r="D88" s="78">
        <v>75</v>
      </c>
      <c r="E88" s="108"/>
      <c r="F88">
        <f>VLOOKUP(B88,Parameters!E79:F169,2)</f>
        <v>0.47620000000000001</v>
      </c>
      <c r="H88">
        <f>VLOOKUP(B88,Parameters!H79:I169,2)</f>
        <v>0.01</v>
      </c>
      <c r="J88">
        <f>VLOOKUP(B88,Parameters!K79:L169,2)</f>
        <v>0.03</v>
      </c>
      <c r="L88">
        <f>VLOOKUP(B88,Parameters!N79:O169,2)</f>
        <v>0.26</v>
      </c>
      <c r="N88">
        <f>VLOOKUP(B88,Parameters!T79:U169,2)</f>
        <v>0.375</v>
      </c>
      <c r="P88">
        <f>VLOOKUP(B88,Parameters!T79:U169,2)</f>
        <v>0.375</v>
      </c>
      <c r="R88" s="78">
        <f>VLOOKUP(B88,Parameters!W79:X169,2)</f>
        <v>0.1</v>
      </c>
      <c r="S88" s="108"/>
      <c r="T88" s="102">
        <f t="shared" si="34"/>
        <v>1.6244174332548449E-8</v>
      </c>
      <c r="V88" s="94">
        <f t="shared" si="35"/>
        <v>1.9144350665386636E-9</v>
      </c>
      <c r="X88" s="34">
        <f t="shared" si="36"/>
        <v>1.0048427967538143E-9</v>
      </c>
      <c r="Z88" s="94">
        <f t="shared" si="37"/>
        <v>4.9767499891605169E-4</v>
      </c>
      <c r="AB88" s="94">
        <f t="shared" si="38"/>
        <v>4.9767499891605169E-4</v>
      </c>
      <c r="AD88" s="110">
        <f t="shared" si="39"/>
        <v>0.9990046318435587</v>
      </c>
      <c r="AE88" s="111"/>
      <c r="AF88" s="112">
        <f t="shared" si="32"/>
        <v>1.0000000000000002</v>
      </c>
      <c r="AG88" s="108"/>
      <c r="AH88" s="131" t="e">
        <f>(#REF!/1000000)*(1-(F88+H88))</f>
        <v>#REF!</v>
      </c>
      <c r="AJ88" s="54">
        <f t="shared" ca="1" si="24"/>
        <v>3.9765073939213069</v>
      </c>
      <c r="AL88" s="138">
        <f t="shared" si="25"/>
        <v>0</v>
      </c>
      <c r="AO88" s="135" t="e">
        <f t="shared" ca="1" si="26"/>
        <v>#REF!</v>
      </c>
      <c r="AP88" s="108"/>
      <c r="AQ88" s="31">
        <f t="shared" ca="1" si="27"/>
        <v>1.6197861932566744E-8</v>
      </c>
      <c r="AR88" s="31"/>
      <c r="AS88" s="31">
        <f t="shared" si="33"/>
        <v>1.531548053230931E-9</v>
      </c>
      <c r="AT88" s="31"/>
      <c r="AU88" s="31">
        <f t="shared" ca="1" si="28"/>
        <v>2.6894416291230093E-10</v>
      </c>
      <c r="AV88" s="31"/>
      <c r="AW88" s="31">
        <f t="shared" ca="1" si="29"/>
        <v>3.3862170450396943E-5</v>
      </c>
      <c r="AX88" s="31"/>
      <c r="AY88" s="31">
        <f t="shared" ca="1" si="30"/>
        <v>5.7588941483125007E-5</v>
      </c>
      <c r="AZ88" s="31"/>
      <c r="BA88" s="134">
        <f t="shared" ca="1" si="31"/>
        <v>9.9651215838984874E-6</v>
      </c>
    </row>
    <row r="89" spans="1:53">
      <c r="A89" s="78"/>
      <c r="B89">
        <v>91</v>
      </c>
      <c r="D89" s="78">
        <v>76</v>
      </c>
      <c r="E89" s="108"/>
      <c r="F89">
        <f>VLOOKUP(B89,Parameters!E80:F170,2)</f>
        <v>0.47620000000000001</v>
      </c>
      <c r="H89">
        <f>VLOOKUP(B89,Parameters!H80:I170,2)</f>
        <v>0.01</v>
      </c>
      <c r="J89">
        <f>VLOOKUP(B89,Parameters!K80:L170,2)</f>
        <v>0.03</v>
      </c>
      <c r="L89">
        <f>VLOOKUP(B89,Parameters!N80:O170,2)</f>
        <v>0.26</v>
      </c>
      <c r="N89">
        <f>VLOOKUP(B89,Parameters!T80:U170,2)</f>
        <v>0.375</v>
      </c>
      <c r="P89">
        <f>VLOOKUP(B89,Parameters!T80:U170,2)</f>
        <v>0.375</v>
      </c>
      <c r="R89" s="78">
        <f>VLOOKUP(B89,Parameters!W80:X170,2)</f>
        <v>0.1</v>
      </c>
      <c r="S89" s="108"/>
      <c r="T89" s="102">
        <f t="shared" si="34"/>
        <v>8.0213732854124244E-9</v>
      </c>
      <c r="V89" s="94">
        <f t="shared" si="35"/>
        <v>9.4678964594573231E-10</v>
      </c>
      <c r="X89" s="34">
        <f t="shared" si="36"/>
        <v>4.977531173000525E-10</v>
      </c>
      <c r="Z89" s="94">
        <f t="shared" si="37"/>
        <v>4.4790821693759648E-4</v>
      </c>
      <c r="AB89" s="94">
        <f t="shared" si="38"/>
        <v>4.4790821693759648E-4</v>
      </c>
      <c r="AD89" s="110">
        <f t="shared" si="39"/>
        <v>0.99910417459796208</v>
      </c>
      <c r="AE89" s="111"/>
      <c r="AF89" s="112">
        <f t="shared" si="32"/>
        <v>1.0000000000000002</v>
      </c>
      <c r="AG89" s="108"/>
      <c r="AH89" s="131" t="e">
        <f>(#REF!/1000000)*(1-(F89+H89))</f>
        <v>#REF!</v>
      </c>
      <c r="AJ89" s="54">
        <f t="shared" ca="1" si="24"/>
        <v>3.9765073939213069</v>
      </c>
      <c r="AL89" s="138">
        <f t="shared" si="25"/>
        <v>0</v>
      </c>
      <c r="AO89" s="135" t="e">
        <f t="shared" ca="1" si="26"/>
        <v>#REF!</v>
      </c>
      <c r="AP89" s="108"/>
      <c r="AQ89" s="31">
        <f t="shared" ca="1" si="27"/>
        <v>7.9985042223014578E-9</v>
      </c>
      <c r="AR89" s="31"/>
      <c r="AS89" s="31">
        <f t="shared" si="33"/>
        <v>7.5743171675658589E-10</v>
      </c>
      <c r="AT89" s="31"/>
      <c r="AU89" s="31">
        <f t="shared" ca="1" si="28"/>
        <v>1.3322262537156691E-10</v>
      </c>
      <c r="AV89" s="31"/>
      <c r="AW89" s="31">
        <f t="shared" ca="1" si="29"/>
        <v>3.0476002252692367E-5</v>
      </c>
      <c r="AX89" s="31"/>
      <c r="AY89" s="31">
        <f t="shared" ca="1" si="30"/>
        <v>5.1830130408823602E-5</v>
      </c>
      <c r="AZ89" s="31"/>
      <c r="BA89" s="134">
        <f t="shared" ca="1" si="31"/>
        <v>8.7066286193365189E-6</v>
      </c>
    </row>
    <row r="90" spans="1:53">
      <c r="A90" s="78"/>
      <c r="B90">
        <v>92</v>
      </c>
      <c r="D90" s="78">
        <v>77</v>
      </c>
      <c r="E90" s="108"/>
      <c r="F90">
        <f>VLOOKUP(B90,Parameters!E81:F171,2)</f>
        <v>0.47620000000000001</v>
      </c>
      <c r="H90">
        <f>VLOOKUP(B90,Parameters!H81:I171,2)</f>
        <v>0.01</v>
      </c>
      <c r="J90">
        <f>VLOOKUP(B90,Parameters!K81:L171,2)</f>
        <v>0.03</v>
      </c>
      <c r="L90">
        <f>VLOOKUP(B90,Parameters!N81:O171,2)</f>
        <v>0.26</v>
      </c>
      <c r="N90">
        <f>VLOOKUP(B90,Parameters!T81:U171,2)</f>
        <v>0.375</v>
      </c>
      <c r="P90">
        <f>VLOOKUP(B90,Parameters!T81:U171,2)</f>
        <v>0.375</v>
      </c>
      <c r="R90" s="78">
        <f>VLOOKUP(B90,Parameters!W81:X171,2)</f>
        <v>0.1</v>
      </c>
      <c r="S90" s="108"/>
      <c r="T90" s="102">
        <f t="shared" si="34"/>
        <v>3.9609541283366552E-9</v>
      </c>
      <c r="V90" s="94">
        <f t="shared" si="35"/>
        <v>4.6787071358934856E-10</v>
      </c>
      <c r="X90" s="34">
        <f t="shared" si="36"/>
        <v>2.4616530794589039E-10</v>
      </c>
      <c r="Z90" s="94">
        <f t="shared" si="37"/>
        <v>4.0311775028995406E-4</v>
      </c>
      <c r="AB90" s="94">
        <f t="shared" si="38"/>
        <v>4.0311775028995406E-4</v>
      </c>
      <c r="AD90" s="110">
        <f t="shared" si="39"/>
        <v>0.99919376007059535</v>
      </c>
      <c r="AE90" s="111"/>
      <c r="AF90" s="112">
        <f t="shared" si="32"/>
        <v>1</v>
      </c>
      <c r="AG90" s="108"/>
      <c r="AH90" s="131" t="e">
        <f>(#REF!/1000000)*(1-(F90+H90))</f>
        <v>#REF!</v>
      </c>
      <c r="AJ90" s="54">
        <f t="shared" ca="1" si="24"/>
        <v>3.9765073939213069</v>
      </c>
      <c r="AL90" s="138">
        <f t="shared" si="25"/>
        <v>0</v>
      </c>
      <c r="AO90" s="135" t="e">
        <f t="shared" ca="1" si="26"/>
        <v>#REF!</v>
      </c>
      <c r="AP90" s="108"/>
      <c r="AQ90" s="31">
        <f t="shared" ca="1" si="27"/>
        <v>3.9496613849724603E-9</v>
      </c>
      <c r="AR90" s="31"/>
      <c r="AS90" s="31">
        <f t="shared" si="33"/>
        <v>3.7429657087147889E-10</v>
      </c>
      <c r="AT90" s="31"/>
      <c r="AU90" s="31">
        <f t="shared" ca="1" si="28"/>
        <v>6.5885651862593166E-11</v>
      </c>
      <c r="AV90" s="31"/>
      <c r="AW90" s="31">
        <f t="shared" ca="1" si="29"/>
        <v>2.7428426185020288E-5</v>
      </c>
      <c r="AX90" s="31"/>
      <c r="AY90" s="31">
        <f t="shared" ca="1" si="30"/>
        <v>4.6647158452444412E-5</v>
      </c>
      <c r="AZ90" s="31"/>
      <c r="BA90" s="134">
        <f t="shared" ca="1" si="31"/>
        <v>7.607369688231785E-6</v>
      </c>
    </row>
    <row r="91" spans="1:53">
      <c r="A91" s="78"/>
      <c r="B91">
        <v>93</v>
      </c>
      <c r="D91" s="78">
        <v>78</v>
      </c>
      <c r="E91" s="108"/>
      <c r="F91">
        <f>VLOOKUP(B91,Parameters!E82:F172,2)</f>
        <v>0.47620000000000001</v>
      </c>
      <c r="H91">
        <f>VLOOKUP(B91,Parameters!H82:I172,2)</f>
        <v>0.01</v>
      </c>
      <c r="J91">
        <f>VLOOKUP(B91,Parameters!K82:L172,2)</f>
        <v>0.03</v>
      </c>
      <c r="L91">
        <f>VLOOKUP(B91,Parameters!N82:O172,2)</f>
        <v>0.26</v>
      </c>
      <c r="N91">
        <f>VLOOKUP(B91,Parameters!T82:U172,2)</f>
        <v>0.375</v>
      </c>
      <c r="P91">
        <f>VLOOKUP(B91,Parameters!T82:U172,2)</f>
        <v>0.375</v>
      </c>
      <c r="R91" s="78">
        <f>VLOOKUP(B91,Parameters!W82:X172,2)</f>
        <v>0.1</v>
      </c>
      <c r="S91" s="108"/>
      <c r="T91" s="102">
        <f t="shared" si="34"/>
        <v>1.9559191485726404E-9</v>
      </c>
      <c r="V91" s="94">
        <f t="shared" si="35"/>
        <v>2.3111759511154322E-10</v>
      </c>
      <c r="X91" s="34">
        <f t="shared" si="36"/>
        <v>1.2164638553323062E-10</v>
      </c>
      <c r="Z91" s="94">
        <f t="shared" si="37"/>
        <v>3.6280615071247621E-4</v>
      </c>
      <c r="AB91" s="94">
        <f t="shared" si="38"/>
        <v>3.6280615071247621E-4</v>
      </c>
      <c r="AD91" s="110">
        <f t="shared" si="39"/>
        <v>0.99927438551153824</v>
      </c>
      <c r="AE91" s="111"/>
      <c r="AF91" s="112">
        <f t="shared" si="32"/>
        <v>0.99999999999999989</v>
      </c>
      <c r="AG91" s="108"/>
      <c r="AH91" s="131" t="e">
        <f>(#REF!/1000000)*(1-(F91+H91))</f>
        <v>#REF!</v>
      </c>
      <c r="AJ91" s="54">
        <f t="shared" ca="1" si="24"/>
        <v>3.9765073939213069</v>
      </c>
      <c r="AL91" s="138">
        <f t="shared" si="25"/>
        <v>0</v>
      </c>
      <c r="AO91" s="135" t="e">
        <f t="shared" ca="1" si="26"/>
        <v>#REF!</v>
      </c>
      <c r="AP91" s="108"/>
      <c r="AQ91" s="31">
        <f t="shared" ca="1" si="27"/>
        <v>1.950342791899401E-9</v>
      </c>
      <c r="AR91" s="31"/>
      <c r="AS91" s="31">
        <f t="shared" si="33"/>
        <v>1.8489407608923459E-10</v>
      </c>
      <c r="AT91" s="31"/>
      <c r="AU91" s="31">
        <f t="shared" ca="1" si="28"/>
        <v>3.2558411558735749E-11</v>
      </c>
      <c r="AV91" s="31"/>
      <c r="AW91" s="31">
        <f t="shared" ca="1" si="29"/>
        <v>2.4685595504367672E-5</v>
      </c>
      <c r="AX91" s="31"/>
      <c r="AY91" s="31">
        <f t="shared" ca="1" si="30"/>
        <v>4.1982462909741184E-5</v>
      </c>
      <c r="AZ91" s="31"/>
      <c r="BA91" s="134">
        <f t="shared" ca="1" si="31"/>
        <v>6.6470416747965195E-6</v>
      </c>
    </row>
    <row r="92" spans="1:53">
      <c r="A92" s="78"/>
      <c r="B92">
        <v>94</v>
      </c>
      <c r="D92" s="78">
        <v>79</v>
      </c>
      <c r="E92" s="108"/>
      <c r="F92">
        <f>VLOOKUP(B92,Parameters!E83:F173,2)</f>
        <v>0.47620000000000001</v>
      </c>
      <c r="H92">
        <f>VLOOKUP(B92,Parameters!H83:I173,2)</f>
        <v>0.01</v>
      </c>
      <c r="J92">
        <f>VLOOKUP(B92,Parameters!K83:L173,2)</f>
        <v>0.03</v>
      </c>
      <c r="L92">
        <f>VLOOKUP(B92,Parameters!N83:O173,2)</f>
        <v>0.26</v>
      </c>
      <c r="N92">
        <f>VLOOKUP(B92,Parameters!T83:U173,2)</f>
        <v>0.375</v>
      </c>
      <c r="P92">
        <f>VLOOKUP(B92,Parameters!T83:U173,2)</f>
        <v>0.375</v>
      </c>
      <c r="R92" s="78">
        <f>VLOOKUP(B92,Parameters!W83:X173,2)</f>
        <v>0.1</v>
      </c>
      <c r="S92" s="108"/>
      <c r="T92" s="102">
        <f t="shared" si="34"/>
        <v>9.6583287556516996E-10</v>
      </c>
      <c r="V92" s="94">
        <f t="shared" si="35"/>
        <v>1.1414579728394961E-10</v>
      </c>
      <c r="X92" s="34">
        <f t="shared" si="36"/>
        <v>6.0090574729001245E-11</v>
      </c>
      <c r="Z92" s="94">
        <f t="shared" si="37"/>
        <v>3.2652562231032679E-4</v>
      </c>
      <c r="AB92" s="94">
        <f t="shared" si="38"/>
        <v>3.2652562231032679E-4</v>
      </c>
      <c r="AD92" s="110">
        <f t="shared" si="39"/>
        <v>0.99934694767540055</v>
      </c>
      <c r="AE92" s="111"/>
      <c r="AF92" s="112">
        <f t="shared" si="32"/>
        <v>0.99999999999999989</v>
      </c>
      <c r="AG92" s="108"/>
      <c r="AH92" s="131" t="e">
        <f>(#REF!/1000000)*(1-(F92+H92))</f>
        <v>#REF!</v>
      </c>
      <c r="AJ92" s="54">
        <f t="shared" ca="1" si="24"/>
        <v>3.9765073939213069</v>
      </c>
      <c r="AL92" s="138">
        <f t="shared" si="25"/>
        <v>0</v>
      </c>
      <c r="AO92" s="135" t="e">
        <f t="shared" ca="1" si="26"/>
        <v>#REF!</v>
      </c>
      <c r="AP92" s="108"/>
      <c r="AQ92" s="31">
        <f t="shared" ca="1" si="27"/>
        <v>9.630792706399243E-10</v>
      </c>
      <c r="AR92" s="31"/>
      <c r="AS92" s="31">
        <f t="shared" si="33"/>
        <v>9.1316637827159692E-11</v>
      </c>
      <c r="AT92" s="31"/>
      <c r="AU92" s="31">
        <f t="shared" ca="1" si="28"/>
        <v>1.6083122028260642E-11</v>
      </c>
      <c r="AV92" s="31"/>
      <c r="AW92" s="31">
        <f t="shared" ca="1" si="29"/>
        <v>2.2217041850959653E-5</v>
      </c>
      <c r="AX92" s="31"/>
      <c r="AY92" s="31">
        <f t="shared" ca="1" si="30"/>
        <v>3.7784226647765181E-5</v>
      </c>
      <c r="AZ92" s="31"/>
      <c r="BA92" s="134">
        <f t="shared" ca="1" si="31"/>
        <v>5.8080109760870921E-6</v>
      </c>
    </row>
    <row r="93" spans="1:53">
      <c r="A93" s="78"/>
      <c r="B93">
        <v>95</v>
      </c>
      <c r="D93" s="78">
        <v>80</v>
      </c>
      <c r="E93" s="108"/>
      <c r="F93">
        <f>VLOOKUP(B93,Parameters!E84:F174,2)</f>
        <v>0.47620000000000001</v>
      </c>
      <c r="H93">
        <f>VLOOKUP(B93,Parameters!H84:I174,2)</f>
        <v>0.01</v>
      </c>
      <c r="J93">
        <f>VLOOKUP(B93,Parameters!K84:L174,2)</f>
        <v>0.03</v>
      </c>
      <c r="L93">
        <f>VLOOKUP(B93,Parameters!N84:O174,2)</f>
        <v>0.26</v>
      </c>
      <c r="N93">
        <f>VLOOKUP(B93,Parameters!T84:U174,2)</f>
        <v>0.375</v>
      </c>
      <c r="P93">
        <f>VLOOKUP(B93,Parameters!T84:U174,2)</f>
        <v>0.375</v>
      </c>
      <c r="R93" s="78">
        <f>VLOOKUP(B93,Parameters!W84:X174,2)</f>
        <v>0.1</v>
      </c>
      <c r="S93" s="108"/>
      <c r="T93" s="102">
        <f t="shared" si="34"/>
        <v>4.7692827395408088E-10</v>
      </c>
      <c r="V93" s="94">
        <f t="shared" si="35"/>
        <v>5.6369977615103008E-11</v>
      </c>
      <c r="X93" s="34">
        <f t="shared" si="36"/>
        <v>2.9677907293826898E-11</v>
      </c>
      <c r="Z93" s="94">
        <f t="shared" si="37"/>
        <v>2.9387310288396811E-4</v>
      </c>
      <c r="AB93" s="94">
        <f t="shared" si="38"/>
        <v>2.9387310288396811E-4</v>
      </c>
      <c r="AD93" s="110">
        <f t="shared" si="39"/>
        <v>0.99941225326093375</v>
      </c>
      <c r="AE93" s="111"/>
      <c r="AF93" s="112">
        <f t="shared" si="32"/>
        <v>0.99999999999999989</v>
      </c>
      <c r="AG93" s="108"/>
      <c r="AH93" s="131" t="e">
        <f>(#REF!/1000000)*(1-(F93+H93))</f>
        <v>#REF!</v>
      </c>
      <c r="AJ93" s="54">
        <f t="shared" ca="1" si="24"/>
        <v>3.9765073939213069</v>
      </c>
      <c r="AL93" s="138">
        <f t="shared" si="25"/>
        <v>0</v>
      </c>
      <c r="AO93" s="135" t="e">
        <f t="shared" ca="1" si="26"/>
        <v>#REF!</v>
      </c>
      <c r="AP93" s="108"/>
      <c r="AQ93" s="31">
        <f t="shared" ca="1" si="27"/>
        <v>4.7556854384199458E-10</v>
      </c>
      <c r="AR93" s="31"/>
      <c r="AS93" s="31">
        <f t="shared" si="33"/>
        <v>4.509598209208241E-11</v>
      </c>
      <c r="AT93" s="31"/>
      <c r="AU93" s="31">
        <f t="shared" ca="1" si="28"/>
        <v>7.943232473688773E-12</v>
      </c>
      <c r="AV93" s="31"/>
      <c r="AW93" s="31">
        <f t="shared" ca="1" si="29"/>
        <v>1.9995340578324973E-5</v>
      </c>
      <c r="AX93" s="31"/>
      <c r="AY93" s="31">
        <f t="shared" ca="1" si="30"/>
        <v>3.400580893617271E-5</v>
      </c>
      <c r="AZ93" s="31"/>
      <c r="BA93" s="134">
        <f t="shared" ca="1" si="31"/>
        <v>5.0749209228191365E-6</v>
      </c>
    </row>
    <row r="94" spans="1:53">
      <c r="A94" s="78"/>
      <c r="B94">
        <v>96</v>
      </c>
      <c r="D94" s="78">
        <v>81</v>
      </c>
      <c r="E94" s="108"/>
      <c r="F94">
        <f>VLOOKUP(B94,Parameters!E85:F175,2)</f>
        <v>0.47620000000000001</v>
      </c>
      <c r="H94">
        <f>VLOOKUP(B94,Parameters!H85:I175,2)</f>
        <v>0.01</v>
      </c>
      <c r="J94">
        <f>VLOOKUP(B94,Parameters!K85:L175,2)</f>
        <v>0.03</v>
      </c>
      <c r="L94">
        <f>VLOOKUP(B94,Parameters!N85:O175,2)</f>
        <v>0.26</v>
      </c>
      <c r="N94">
        <f>VLOOKUP(B94,Parameters!T85:U175,2)</f>
        <v>0.375</v>
      </c>
      <c r="P94">
        <f>VLOOKUP(B94,Parameters!T85:U175,2)</f>
        <v>0.375</v>
      </c>
      <c r="R94" s="78">
        <f>VLOOKUP(B94,Parameters!W85:X175,2)</f>
        <v>0.1</v>
      </c>
      <c r="S94" s="108"/>
      <c r="T94" s="102">
        <f t="shared" si="34"/>
        <v>2.3550718167852513E-10</v>
      </c>
      <c r="V94" s="94">
        <f t="shared" si="35"/>
        <v>2.7836642846247143E-11</v>
      </c>
      <c r="X94" s="34">
        <f t="shared" si="36"/>
        <v>1.4656194179926783E-11</v>
      </c>
      <c r="Z94" s="94">
        <f t="shared" si="37"/>
        <v>2.6448581373431286E-4</v>
      </c>
      <c r="AB94" s="94">
        <f t="shared" si="38"/>
        <v>2.6448581373431286E-4</v>
      </c>
      <c r="AD94" s="110">
        <f t="shared" si="39"/>
        <v>0.99947102810918731</v>
      </c>
      <c r="AE94" s="111"/>
      <c r="AF94" s="112">
        <f t="shared" si="32"/>
        <v>0.99999999999999978</v>
      </c>
      <c r="AG94" s="108"/>
      <c r="AH94" s="131" t="e">
        <f>(#REF!/1000000)*(1-(F94+H94))</f>
        <v>#REF!</v>
      </c>
      <c r="AJ94" s="54">
        <f t="shared" ca="1" si="24"/>
        <v>3.9765073939213069</v>
      </c>
      <c r="AL94" s="138">
        <f t="shared" si="25"/>
        <v>0</v>
      </c>
      <c r="AO94" s="135" t="e">
        <f t="shared" ca="1" si="26"/>
        <v>#REF!</v>
      </c>
      <c r="AP94" s="108"/>
      <c r="AQ94" s="31">
        <f t="shared" ca="1" si="27"/>
        <v>2.3483574694917693E-10</v>
      </c>
      <c r="AR94" s="31"/>
      <c r="AS94" s="31">
        <f t="shared" si="33"/>
        <v>2.2269314276997716E-11</v>
      </c>
      <c r="AT94" s="31"/>
      <c r="AU94" s="31">
        <f t="shared" ca="1" si="28"/>
        <v>3.9227010313795962E-12</v>
      </c>
      <c r="AV94" s="31"/>
      <c r="AW94" s="31">
        <f t="shared" ca="1" si="29"/>
        <v>1.7995807958787893E-5</v>
      </c>
      <c r="AX94" s="31"/>
      <c r="AY94" s="31">
        <f t="shared" ca="1" si="30"/>
        <v>3.0605230488645262E-5</v>
      </c>
      <c r="AZ94" s="31"/>
      <c r="BA94" s="134">
        <f t="shared" ca="1" si="31"/>
        <v>4.4343776863024814E-6</v>
      </c>
    </row>
    <row r="95" spans="1:53">
      <c r="A95" s="78"/>
      <c r="B95">
        <v>97</v>
      </c>
      <c r="D95" s="78">
        <v>82</v>
      </c>
      <c r="E95" s="108"/>
      <c r="F95">
        <f>VLOOKUP(B95,Parameters!E86:F176,2)</f>
        <v>0.47620000000000001</v>
      </c>
      <c r="H95">
        <f>VLOOKUP(B95,Parameters!H86:I176,2)</f>
        <v>0.01</v>
      </c>
      <c r="J95">
        <f>VLOOKUP(B95,Parameters!K86:L176,2)</f>
        <v>0.03</v>
      </c>
      <c r="L95">
        <f>VLOOKUP(B95,Parameters!N86:O176,2)</f>
        <v>0.26</v>
      </c>
      <c r="N95">
        <f>VLOOKUP(B95,Parameters!T86:U176,2)</f>
        <v>0.375</v>
      </c>
      <c r="P95">
        <f>VLOOKUP(B95,Parameters!T86:U176,2)</f>
        <v>0.375</v>
      </c>
      <c r="R95" s="78">
        <f>VLOOKUP(B95,Parameters!W86:X176,2)</f>
        <v>0.1</v>
      </c>
      <c r="S95" s="108"/>
      <c r="T95" s="102">
        <f t="shared" si="34"/>
        <v>1.1629344631285573E-10</v>
      </c>
      <c r="V95" s="94">
        <f t="shared" si="35"/>
        <v>1.3746009733455071E-11</v>
      </c>
      <c r="X95" s="34">
        <f t="shared" si="36"/>
        <v>7.2375271400242573E-12</v>
      </c>
      <c r="Z95" s="94">
        <f t="shared" si="37"/>
        <v>2.3803724279962264E-4</v>
      </c>
      <c r="AB95" s="94">
        <f t="shared" si="38"/>
        <v>2.3803724279962264E-4</v>
      </c>
      <c r="AD95" s="110">
        <f t="shared" si="39"/>
        <v>0.99952392538436108</v>
      </c>
      <c r="AE95" s="111"/>
      <c r="AF95" s="112">
        <f t="shared" si="32"/>
        <v>0.99999999999999978</v>
      </c>
      <c r="AG95" s="108"/>
      <c r="AH95" s="131" t="e">
        <f>(#REF!/1000000)*(1-(F95+H95))</f>
        <v>#REF!</v>
      </c>
      <c r="AJ95" s="54">
        <f t="shared" ca="1" si="24"/>
        <v>3.9765073939213069</v>
      </c>
      <c r="AL95" s="138">
        <f t="shared" si="25"/>
        <v>0</v>
      </c>
      <c r="AO95" s="135" t="e">
        <f t="shared" ca="1" si="26"/>
        <v>#REF!</v>
      </c>
      <c r="AP95" s="108"/>
      <c r="AQ95" s="31">
        <f t="shared" ca="1" si="27"/>
        <v>1.1596189184350358E-10</v>
      </c>
      <c r="AR95" s="31"/>
      <c r="AS95" s="31">
        <f t="shared" si="33"/>
        <v>1.0996807786764057E-11</v>
      </c>
      <c r="AT95" s="31"/>
      <c r="AU95" s="31">
        <f t="shared" ca="1" si="28"/>
        <v>1.9371096499045432E-12</v>
      </c>
      <c r="AV95" s="31"/>
      <c r="AW95" s="31">
        <f t="shared" ca="1" si="29"/>
        <v>1.619622787316867E-5</v>
      </c>
      <c r="AX95" s="31"/>
      <c r="AY95" s="31">
        <f t="shared" ca="1" si="30"/>
        <v>2.7544708647709706E-5</v>
      </c>
      <c r="AZ95" s="31"/>
      <c r="BA95" s="134">
        <f t="shared" ca="1" si="31"/>
        <v>3.8746897267923465E-6</v>
      </c>
    </row>
    <row r="96" spans="1:53">
      <c r="A96" s="78"/>
      <c r="B96">
        <v>98</v>
      </c>
      <c r="D96" s="78">
        <v>83</v>
      </c>
      <c r="E96" s="108"/>
      <c r="F96">
        <f>VLOOKUP(B96,Parameters!E87:F177,2)</f>
        <v>0.47620000000000001</v>
      </c>
      <c r="H96">
        <f>VLOOKUP(B96,Parameters!H87:I177,2)</f>
        <v>0.01</v>
      </c>
      <c r="J96">
        <f>VLOOKUP(B96,Parameters!K87:L177,2)</f>
        <v>0.03</v>
      </c>
      <c r="L96">
        <f>VLOOKUP(B96,Parameters!N87:O177,2)</f>
        <v>0.26</v>
      </c>
      <c r="N96">
        <f>VLOOKUP(B96,Parameters!T87:U177,2)</f>
        <v>0.375</v>
      </c>
      <c r="P96">
        <f>VLOOKUP(B96,Parameters!T87:U177,2)</f>
        <v>0.375</v>
      </c>
      <c r="R96" s="78">
        <f>VLOOKUP(B96,Parameters!W87:X177,2)</f>
        <v>0.1</v>
      </c>
      <c r="S96" s="108"/>
      <c r="T96" s="102">
        <f t="shared" si="34"/>
        <v>5.7425703789288157E-11</v>
      </c>
      <c r="V96" s="94">
        <f t="shared" si="35"/>
        <v>6.787845725414888E-12</v>
      </c>
      <c r="X96" s="34">
        <f t="shared" si="36"/>
        <v>3.5739625306983185E-12</v>
      </c>
      <c r="Z96" s="94">
        <f t="shared" si="37"/>
        <v>2.1423352367441403E-4</v>
      </c>
      <c r="AB96" s="94">
        <f t="shared" si="38"/>
        <v>2.1423352367441403E-4</v>
      </c>
      <c r="AD96" s="110">
        <f t="shared" si="39"/>
        <v>0.99957153288843748</v>
      </c>
      <c r="AE96" s="111"/>
      <c r="AF96" s="112">
        <f t="shared" si="32"/>
        <v>0.99999999999999989</v>
      </c>
      <c r="AG96" s="108"/>
      <c r="AH96" s="131" t="e">
        <f>(#REF!/1000000)*(1-(F96+H96))</f>
        <v>#REF!</v>
      </c>
      <c r="AJ96" s="54">
        <f t="shared" ca="1" si="24"/>
        <v>3.9765073939213069</v>
      </c>
      <c r="AL96" s="138">
        <f t="shared" si="25"/>
        <v>0</v>
      </c>
      <c r="AO96" s="135" t="e">
        <f t="shared" ca="1" si="26"/>
        <v>#REF!</v>
      </c>
      <c r="AP96" s="108"/>
      <c r="AQ96" s="31">
        <f t="shared" ca="1" si="27"/>
        <v>5.7261982192322063E-11</v>
      </c>
      <c r="AR96" s="31"/>
      <c r="AS96" s="31">
        <f t="shared" si="33"/>
        <v>5.4302765803319107E-12</v>
      </c>
      <c r="AT96" s="31"/>
      <c r="AU96" s="31">
        <f t="shared" ca="1" si="28"/>
        <v>9.5656391646909546E-13</v>
      </c>
      <c r="AV96" s="31"/>
      <c r="AW96" s="31">
        <f t="shared" ca="1" si="29"/>
        <v>1.4576605436585007E-5</v>
      </c>
      <c r="AX96" s="31"/>
      <c r="AY96" s="31">
        <f t="shared" ca="1" si="30"/>
        <v>2.4790238379426016E-5</v>
      </c>
      <c r="AZ96" s="31"/>
      <c r="BA96" s="134">
        <f t="shared" ca="1" si="31"/>
        <v>3.3856467961884908E-6</v>
      </c>
    </row>
    <row r="97" spans="1:53">
      <c r="A97" s="78"/>
      <c r="B97">
        <v>99</v>
      </c>
      <c r="D97" s="78">
        <v>84</v>
      </c>
      <c r="E97" s="108"/>
      <c r="F97">
        <f>VLOOKUP(B97,Parameters!E88:F178,2)</f>
        <v>0.47620000000000001</v>
      </c>
      <c r="H97">
        <f>VLOOKUP(B97,Parameters!H88:I178,2)</f>
        <v>0.01</v>
      </c>
      <c r="J97">
        <f>VLOOKUP(B97,Parameters!K88:L178,2)</f>
        <v>0.03</v>
      </c>
      <c r="L97">
        <f>VLOOKUP(B97,Parameters!N88:O178,2)</f>
        <v>0.26</v>
      </c>
      <c r="N97">
        <f>VLOOKUP(B97,Parameters!T88:U178,2)</f>
        <v>0.375</v>
      </c>
      <c r="P97">
        <f>VLOOKUP(B97,Parameters!T88:U178,2)</f>
        <v>0.375</v>
      </c>
      <c r="R97" s="78">
        <f>VLOOKUP(B97,Parameters!W88:X178,2)</f>
        <v>0.1</v>
      </c>
      <c r="S97" s="108"/>
      <c r="T97" s="102">
        <f t="shared" si="34"/>
        <v>2.8356812531150492E-11</v>
      </c>
      <c r="V97" s="94">
        <f t="shared" si="35"/>
        <v>3.3518540877782179E-12</v>
      </c>
      <c r="X97" s="34">
        <f t="shared" si="36"/>
        <v>1.764839888607871E-12</v>
      </c>
      <c r="Z97" s="94">
        <f t="shared" si="37"/>
        <v>1.928101738524148E-4</v>
      </c>
      <c r="AB97" s="94">
        <f t="shared" si="38"/>
        <v>1.928101738524148E-4</v>
      </c>
      <c r="AD97" s="110">
        <f t="shared" si="39"/>
        <v>0.9996143796205863</v>
      </c>
      <c r="AE97" s="111"/>
      <c r="AF97" s="112">
        <f t="shared" si="32"/>
        <v>0.99999999999999978</v>
      </c>
      <c r="AG97" s="108"/>
      <c r="AH97" s="131" t="e">
        <f>(#REF!/1000000)*(1-(F97+H97))</f>
        <v>#REF!</v>
      </c>
      <c r="AJ97" s="54">
        <f t="shared" ca="1" si="24"/>
        <v>3.9765073939213069</v>
      </c>
      <c r="AL97" s="138">
        <f t="shared" si="25"/>
        <v>0</v>
      </c>
      <c r="AO97" s="135" t="e">
        <f t="shared" ca="1" si="26"/>
        <v>#REF!</v>
      </c>
      <c r="AP97" s="108"/>
      <c r="AQ97" s="31">
        <f t="shared" ca="1" si="27"/>
        <v>2.8275966806568634E-11</v>
      </c>
      <c r="AR97" s="31"/>
      <c r="AS97" s="31">
        <f t="shared" si="33"/>
        <v>2.6814832702225746E-12</v>
      </c>
      <c r="AT97" s="31"/>
      <c r="AU97" s="31">
        <f t="shared" ca="1" si="28"/>
        <v>4.723558630755349E-13</v>
      </c>
      <c r="AV97" s="31"/>
      <c r="AW97" s="31">
        <f t="shared" ca="1" si="29"/>
        <v>1.3118945066120251E-5</v>
      </c>
      <c r="AX97" s="31"/>
      <c r="AY97" s="31">
        <f t="shared" ca="1" si="30"/>
        <v>2.2311214836031706E-5</v>
      </c>
      <c r="AZ97" s="31"/>
      <c r="BA97" s="134">
        <f t="shared" ca="1" si="31"/>
        <v>2.9583300323107546E-6</v>
      </c>
    </row>
    <row r="98" spans="1:53">
      <c r="A98" s="78"/>
      <c r="B98">
        <v>100</v>
      </c>
      <c r="D98" s="78">
        <v>85</v>
      </c>
      <c r="E98" s="108"/>
      <c r="F98">
        <f>VLOOKUP(B98,Parameters!E89:F179,2)</f>
        <v>0.47620000000000001</v>
      </c>
      <c r="H98">
        <f>VLOOKUP(B98,Parameters!H89:I179,2)</f>
        <v>0.01</v>
      </c>
      <c r="J98">
        <f>VLOOKUP(B98,Parameters!K89:L179,2)</f>
        <v>0.03</v>
      </c>
      <c r="L98">
        <f>VLOOKUP(B98,Parameters!N89:O179,2)</f>
        <v>0.26</v>
      </c>
      <c r="N98">
        <f>VLOOKUP(B98,Parameters!T89:U179,2)</f>
        <v>0.375</v>
      </c>
      <c r="P98">
        <f>VLOOKUP(B98,Parameters!T89:U179,2)</f>
        <v>0.375</v>
      </c>
      <c r="R98" s="78">
        <f>VLOOKUP(B98,Parameters!W89:X179,2)</f>
        <v>0.1</v>
      </c>
      <c r="S98" s="108"/>
      <c r="T98" s="102">
        <f t="shared" si="34"/>
        <v>1.4002594027882113E-11</v>
      </c>
      <c r="V98" s="94">
        <f t="shared" si="35"/>
        <v>1.6551493570012875E-12</v>
      </c>
      <c r="X98" s="34">
        <f t="shared" si="36"/>
        <v>8.7148206282233671E-13</v>
      </c>
      <c r="Z98" s="94">
        <f t="shared" si="37"/>
        <v>1.7352915772411861E-4</v>
      </c>
      <c r="AB98" s="94">
        <f t="shared" si="38"/>
        <v>1.7352915772411861E-4</v>
      </c>
      <c r="AD98" s="110">
        <f t="shared" si="39"/>
        <v>0.99965294166889385</v>
      </c>
      <c r="AE98" s="111"/>
      <c r="AF98" s="112">
        <f t="shared" si="32"/>
        <v>0.99999999999999978</v>
      </c>
      <c r="AG98" s="108"/>
      <c r="AH98" s="131" t="e">
        <f>(#REF!/1000000)*(1-(F98+H98))</f>
        <v>#REF!</v>
      </c>
      <c r="AJ98" s="54">
        <f t="shared" ca="1" si="24"/>
        <v>3.9765073939213069</v>
      </c>
      <c r="AL98" s="138">
        <f t="shared" si="25"/>
        <v>0</v>
      </c>
      <c r="AO98" s="135" t="e">
        <f t="shared" ca="1" si="26"/>
        <v>#REF!</v>
      </c>
      <c r="AP98" s="108"/>
      <c r="AQ98" s="31">
        <f t="shared" ca="1" si="27"/>
        <v>1.3962672409083593E-11</v>
      </c>
      <c r="AR98" s="31"/>
      <c r="AS98" s="31">
        <f t="shared" si="33"/>
        <v>1.3241194856010301E-12</v>
      </c>
      <c r="AT98" s="31"/>
      <c r="AU98" s="31">
        <f t="shared" ca="1" si="28"/>
        <v>2.3325042945624212E-13</v>
      </c>
      <c r="AV98" s="31"/>
      <c r="AW98" s="31">
        <f t="shared" ca="1" si="29"/>
        <v>1.1807050645031701E-5</v>
      </c>
      <c r="AX98" s="31"/>
      <c r="AY98" s="31">
        <f t="shared" ca="1" si="30"/>
        <v>2.0080093497877169E-5</v>
      </c>
      <c r="AZ98" s="31"/>
      <c r="BA98" s="134">
        <f t="shared" ca="1" si="31"/>
        <v>2.5849475557006274E-6</v>
      </c>
    </row>
    <row r="99" spans="1:53">
      <c r="A99" s="78"/>
      <c r="B99">
        <v>101</v>
      </c>
      <c r="D99" s="78">
        <v>86</v>
      </c>
      <c r="E99" s="108"/>
      <c r="F99">
        <f>VLOOKUP(B99,Parameters!E90:F180,2)</f>
        <v>0.47620000000000001</v>
      </c>
      <c r="H99">
        <f>VLOOKUP(B99,Parameters!H90:I180,2)</f>
        <v>0.01</v>
      </c>
      <c r="J99">
        <f>VLOOKUP(B99,Parameters!K90:L180,2)</f>
        <v>0.03</v>
      </c>
      <c r="L99">
        <f>VLOOKUP(B99,Parameters!N90:O180,2)</f>
        <v>0.26</v>
      </c>
      <c r="N99">
        <f>VLOOKUP(B99,Parameters!T90:U180,2)</f>
        <v>0.375</v>
      </c>
      <c r="P99">
        <f>VLOOKUP(B99,Parameters!T90:U180,2)</f>
        <v>0.375</v>
      </c>
      <c r="R99" s="78">
        <f>VLOOKUP(B99,Parameters!W90:X180,2)</f>
        <v>0.1</v>
      </c>
      <c r="S99" s="108"/>
      <c r="T99" s="102">
        <f t="shared" si="34"/>
        <v>6.9144809309681885E-12</v>
      </c>
      <c r="V99" s="94">
        <f t="shared" si="35"/>
        <v>8.1731366651677237E-13</v>
      </c>
      <c r="X99" s="34">
        <f t="shared" si="36"/>
        <v>4.3033883282033478E-13</v>
      </c>
      <c r="Z99" s="94">
        <f t="shared" si="37"/>
        <v>1.5617624257238774E-4</v>
      </c>
      <c r="AB99" s="94">
        <f t="shared" si="38"/>
        <v>1.5617624257238774E-4</v>
      </c>
      <c r="AD99" s="110">
        <f t="shared" si="39"/>
        <v>0.99968764750712324</v>
      </c>
      <c r="AE99" s="111"/>
      <c r="AF99" s="112">
        <f t="shared" si="32"/>
        <v>0.99999999999999978</v>
      </c>
      <c r="AG99" s="108"/>
      <c r="AH99" s="131" t="e">
        <f>(#REF!/1000000)*(1-(F99+H99))</f>
        <v>#REF!</v>
      </c>
      <c r="AJ99" s="54">
        <f t="shared" ca="1" si="24"/>
        <v>3.9765073939213069</v>
      </c>
      <c r="AL99" s="138">
        <f t="shared" si="25"/>
        <v>0</v>
      </c>
      <c r="AO99" s="135" t="e">
        <f t="shared" ca="1" si="26"/>
        <v>#REF!</v>
      </c>
      <c r="AP99" s="108"/>
      <c r="AQ99" s="31">
        <f t="shared" ca="1" si="27"/>
        <v>6.8947676356054789E-12</v>
      </c>
      <c r="AR99" s="31"/>
      <c r="AS99" s="31">
        <f t="shared" si="33"/>
        <v>6.5385093321341791E-13</v>
      </c>
      <c r="AT99" s="31"/>
      <c r="AU99" s="31">
        <f t="shared" ca="1" si="28"/>
        <v>1.151793270901827E-13</v>
      </c>
      <c r="AV99" s="31"/>
      <c r="AW99" s="31">
        <f t="shared" ca="1" si="29"/>
        <v>1.0626345622760121E-5</v>
      </c>
      <c r="AX99" s="31"/>
      <c r="AY99" s="31">
        <f t="shared" ca="1" si="30"/>
        <v>1.8072084219912151E-5</v>
      </c>
      <c r="AZ99" s="31"/>
      <c r="BA99" s="134">
        <f t="shared" ca="1" si="31"/>
        <v>2.2586915517672234E-6</v>
      </c>
    </row>
    <row r="100" spans="1:53">
      <c r="A100" s="78"/>
      <c r="B100">
        <v>102</v>
      </c>
      <c r="D100" s="78">
        <v>87</v>
      </c>
      <c r="E100" s="108"/>
      <c r="F100">
        <f>VLOOKUP(B100,Parameters!E91:F181,2)</f>
        <v>0.47620000000000001</v>
      </c>
      <c r="H100">
        <f>VLOOKUP(B100,Parameters!H91:I181,2)</f>
        <v>0.01</v>
      </c>
      <c r="J100">
        <f>VLOOKUP(B100,Parameters!K91:L181,2)</f>
        <v>0.03</v>
      </c>
      <c r="L100">
        <f>VLOOKUP(B100,Parameters!N91:O181,2)</f>
        <v>0.26</v>
      </c>
      <c r="N100">
        <f>VLOOKUP(B100,Parameters!T91:U181,2)</f>
        <v>0.375</v>
      </c>
      <c r="P100">
        <f>VLOOKUP(B100,Parameters!T91:U181,2)</f>
        <v>0.375</v>
      </c>
      <c r="R100" s="78">
        <f>VLOOKUP(B100,Parameters!W91:X181,2)</f>
        <v>0.1</v>
      </c>
      <c r="S100" s="108"/>
      <c r="T100" s="102">
        <f t="shared" si="34"/>
        <v>3.4143706837120917E-12</v>
      </c>
      <c r="V100" s="94">
        <f t="shared" si="35"/>
        <v>4.0358970789307103E-13</v>
      </c>
      <c r="X100" s="34">
        <f t="shared" si="36"/>
        <v>2.1250155329436083E-13</v>
      </c>
      <c r="Z100" s="94">
        <f t="shared" si="37"/>
        <v>1.4055861862164159E-4</v>
      </c>
      <c r="AB100" s="94">
        <f t="shared" si="38"/>
        <v>1.4055861862164159E-4</v>
      </c>
      <c r="AD100" s="110">
        <f t="shared" si="39"/>
        <v>0.99971888275893872</v>
      </c>
      <c r="AE100" s="111"/>
      <c r="AF100" s="112">
        <f t="shared" si="32"/>
        <v>1</v>
      </c>
      <c r="AG100" s="108"/>
      <c r="AH100" s="131" t="e">
        <f>(#REF!/1000000)*(1-(F100+H100))</f>
        <v>#REF!</v>
      </c>
      <c r="AJ100" s="54">
        <f t="shared" ca="1" si="24"/>
        <v>3.9765073939213069</v>
      </c>
      <c r="AL100" s="138">
        <f t="shared" si="25"/>
        <v>0</v>
      </c>
      <c r="AO100" s="135" t="e">
        <f t="shared" ca="1" si="26"/>
        <v>#REF!</v>
      </c>
      <c r="AP100" s="108"/>
      <c r="AQ100" s="31">
        <f t="shared" ca="1" si="27"/>
        <v>3.4046362584619855E-12</v>
      </c>
      <c r="AR100" s="31"/>
      <c r="AS100" s="31">
        <f t="shared" si="33"/>
        <v>3.2287176631445683E-13</v>
      </c>
      <c r="AT100" s="31"/>
      <c r="AU100" s="31">
        <f t="shared" ca="1" si="28"/>
        <v>5.6875615323057884E-14</v>
      </c>
      <c r="AV100" s="31"/>
      <c r="AW100" s="31">
        <f t="shared" ca="1" si="29"/>
        <v>9.5637110813380901E-6</v>
      </c>
      <c r="AX100" s="31"/>
      <c r="AY100" s="31">
        <f t="shared" ca="1" si="30"/>
        <v>1.6264875833387025E-5</v>
      </c>
      <c r="AZ100" s="31"/>
      <c r="BA100" s="134">
        <f t="shared" ca="1" si="31"/>
        <v>1.9736137437027333E-6</v>
      </c>
    </row>
    <row r="101" spans="1:53">
      <c r="A101" s="78"/>
      <c r="B101">
        <v>103</v>
      </c>
      <c r="D101" s="78">
        <v>88</v>
      </c>
      <c r="E101" s="108"/>
      <c r="F101">
        <f>VLOOKUP(B101,Parameters!E92:F182,2)</f>
        <v>0.47620000000000001</v>
      </c>
      <c r="H101">
        <f>VLOOKUP(B101,Parameters!H92:I182,2)</f>
        <v>0.01</v>
      </c>
      <c r="J101">
        <f>VLOOKUP(B101,Parameters!K92:L182,2)</f>
        <v>0.03</v>
      </c>
      <c r="L101">
        <f>VLOOKUP(B101,Parameters!N92:O182,2)</f>
        <v>0.26</v>
      </c>
      <c r="N101">
        <f>VLOOKUP(B101,Parameters!T92:U182,2)</f>
        <v>0.375</v>
      </c>
      <c r="P101">
        <f>VLOOKUP(B101,Parameters!T92:U182,2)</f>
        <v>0.375</v>
      </c>
      <c r="R101" s="78">
        <f>VLOOKUP(B101,Parameters!W92:X182,2)</f>
        <v>0.1</v>
      </c>
      <c r="S101" s="108"/>
      <c r="T101" s="102">
        <f t="shared" si="34"/>
        <v>1.6860162436170307E-12</v>
      </c>
      <c r="V101" s="94">
        <f t="shared" si="35"/>
        <v>1.9929265040569975E-13</v>
      </c>
      <c r="X101" s="34">
        <f t="shared" si="36"/>
        <v>1.0493332405219847E-13</v>
      </c>
      <c r="Z101" s="94">
        <f t="shared" si="37"/>
        <v>1.2650275691082356E-4</v>
      </c>
      <c r="AB101" s="94">
        <f t="shared" si="38"/>
        <v>1.2650275691082356E-4</v>
      </c>
      <c r="AD101" s="110">
        <f t="shared" si="39"/>
        <v>0.99974699448429305</v>
      </c>
      <c r="AE101" s="111"/>
      <c r="AF101" s="112">
        <f t="shared" si="32"/>
        <v>1</v>
      </c>
      <c r="AG101" s="108"/>
      <c r="AH101" s="131" t="e">
        <f>(#REF!/1000000)*(1-(F101+H101))</f>
        <v>#REF!</v>
      </c>
      <c r="AJ101" s="54">
        <f t="shared" ca="1" si="24"/>
        <v>3.9765073939213069</v>
      </c>
      <c r="AL101" s="138">
        <f t="shared" si="25"/>
        <v>0</v>
      </c>
      <c r="AO101" s="135" t="e">
        <f t="shared" ca="1" si="26"/>
        <v>#REF!</v>
      </c>
      <c r="AP101" s="108"/>
      <c r="AQ101" s="31">
        <f t="shared" ca="1" si="27"/>
        <v>1.6812093844285282E-12</v>
      </c>
      <c r="AR101" s="31"/>
      <c r="AS101" s="31">
        <f t="shared" si="33"/>
        <v>1.5943412032455982E-13</v>
      </c>
      <c r="AT101" s="31"/>
      <c r="AU101" s="31">
        <f t="shared" ca="1" si="28"/>
        <v>2.8085194111948142E-14</v>
      </c>
      <c r="AV101" s="31"/>
      <c r="AW101" s="31">
        <f t="shared" ca="1" si="29"/>
        <v>8.607339983501981E-6</v>
      </c>
      <c r="AX101" s="31"/>
      <c r="AY101" s="31">
        <f t="shared" ca="1" si="30"/>
        <v>1.4638388267561485E-5</v>
      </c>
      <c r="AZ101" s="31"/>
      <c r="BA101" s="134">
        <f t="shared" ca="1" si="31"/>
        <v>1.7245167514522151E-6</v>
      </c>
    </row>
    <row r="102" spans="1:53">
      <c r="A102" s="78"/>
      <c r="B102">
        <v>104</v>
      </c>
      <c r="D102" s="78">
        <v>89</v>
      </c>
      <c r="E102" s="108"/>
      <c r="F102">
        <f>VLOOKUP(B102,Parameters!E93:F183,2)</f>
        <v>0.47620000000000001</v>
      </c>
      <c r="H102">
        <f>VLOOKUP(B102,Parameters!H93:I183,2)</f>
        <v>0.01</v>
      </c>
      <c r="J102">
        <f>VLOOKUP(B102,Parameters!K93:L183,2)</f>
        <v>0.03</v>
      </c>
      <c r="L102">
        <f>VLOOKUP(B102,Parameters!N93:O183,2)</f>
        <v>0.26</v>
      </c>
      <c r="N102">
        <f>VLOOKUP(B102,Parameters!T93:U183,2)</f>
        <v>0.375</v>
      </c>
      <c r="P102">
        <f>VLOOKUP(B102,Parameters!T93:U183,2)</f>
        <v>0.375</v>
      </c>
      <c r="R102" s="78">
        <f>VLOOKUP(B102,Parameters!W93:X183,2)</f>
        <v>0.1</v>
      </c>
      <c r="S102" s="108"/>
      <c r="T102" s="102">
        <f t="shared" si="34"/>
        <v>8.3255482109808977E-13</v>
      </c>
      <c r="V102" s="94">
        <f t="shared" si="35"/>
        <v>9.8410723405878866E-14</v>
      </c>
      <c r="X102" s="34">
        <f t="shared" si="36"/>
        <v>5.1816089105481934E-14</v>
      </c>
      <c r="Z102" s="94">
        <f t="shared" si="37"/>
        <v>1.1385248129447593E-4</v>
      </c>
      <c r="AB102" s="94">
        <f t="shared" si="38"/>
        <v>1.1385248129447593E-4</v>
      </c>
      <c r="AD102" s="110">
        <f t="shared" si="39"/>
        <v>0.99977229503648013</v>
      </c>
      <c r="AE102" s="111"/>
      <c r="AF102" s="112">
        <f t="shared" si="32"/>
        <v>1</v>
      </c>
      <c r="AG102" s="108"/>
      <c r="AH102" s="131" t="e">
        <f>(#REF!/1000000)*(1-(F102+H102))</f>
        <v>#REF!</v>
      </c>
      <c r="AJ102" s="54">
        <f t="shared" ca="1" si="24"/>
        <v>3.9765073939213069</v>
      </c>
      <c r="AL102" s="138">
        <f t="shared" si="25"/>
        <v>0</v>
      </c>
      <c r="AO102" s="135" t="e">
        <f t="shared" ca="1" si="26"/>
        <v>#REF!</v>
      </c>
      <c r="AP102" s="108"/>
      <c r="AQ102" s="31">
        <f t="shared" ca="1" si="27"/>
        <v>8.3018119403080731E-13</v>
      </c>
      <c r="AR102" s="31"/>
      <c r="AS102" s="31">
        <f t="shared" si="33"/>
        <v>7.87285787247031E-14</v>
      </c>
      <c r="AT102" s="31"/>
      <c r="AU102" s="31">
        <f t="shared" ca="1" si="28"/>
        <v>1.3868472516181308E-14</v>
      </c>
      <c r="AV102" s="31"/>
      <c r="AW102" s="31">
        <f t="shared" ca="1" si="29"/>
        <v>7.7466059902367893E-6</v>
      </c>
      <c r="AX102" s="31"/>
      <c r="AY102" s="31">
        <f t="shared" ca="1" si="30"/>
        <v>1.3174549449453337E-5</v>
      </c>
      <c r="AZ102" s="31"/>
      <c r="BA102" s="134">
        <f t="shared" ca="1" si="31"/>
        <v>1.5068592437015258E-6</v>
      </c>
    </row>
    <row r="103" spans="1:53" ht="15" thickBot="1">
      <c r="A103" s="78"/>
      <c r="B103">
        <v>105</v>
      </c>
      <c r="D103" s="78">
        <v>90</v>
      </c>
      <c r="E103" s="108"/>
      <c r="F103">
        <f>VLOOKUP(B103,Parameters!E94:F184,2)</f>
        <v>0.47620000000000001</v>
      </c>
      <c r="H103">
        <f>VLOOKUP(B103,Parameters!H94:I184,2)</f>
        <v>0.01</v>
      </c>
      <c r="J103">
        <f>VLOOKUP(B103,Parameters!K94:L184,2)</f>
        <v>0.03</v>
      </c>
      <c r="L103">
        <f>VLOOKUP(B103,Parameters!N94:O184,2)</f>
        <v>0.26</v>
      </c>
      <c r="N103">
        <f>VLOOKUP(B103,Parameters!T94:U184,2)</f>
        <v>0.375</v>
      </c>
      <c r="P103">
        <f>VLOOKUP(B103,Parameters!T94:U184,2)</f>
        <v>0.375</v>
      </c>
      <c r="R103" s="78">
        <f>VLOOKUP(B103,Parameters!W94:X184,2)</f>
        <v>0.1</v>
      </c>
      <c r="S103" s="108"/>
      <c r="T103" s="102">
        <f t="shared" si="34"/>
        <v>4.1111557065823669E-13</v>
      </c>
      <c r="V103" s="94">
        <f t="shared" si="35"/>
        <v>4.8595218250353621E-14</v>
      </c>
      <c r="X103" s="34">
        <f t="shared" si="36"/>
        <v>2.5586788085528507E-14</v>
      </c>
      <c r="Z103" s="94">
        <f t="shared" si="37"/>
        <v>1.0246723320193235E-4</v>
      </c>
      <c r="AB103" s="94">
        <f t="shared" si="38"/>
        <v>1.0246723320193235E-4</v>
      </c>
      <c r="AD103" s="110">
        <f t="shared" si="39"/>
        <v>0.99979506553313657</v>
      </c>
      <c r="AE103" s="111"/>
      <c r="AF103" s="112">
        <f t="shared" si="32"/>
        <v>1.0000000000000002</v>
      </c>
      <c r="AG103" s="115"/>
      <c r="AH103" s="131" t="e">
        <f>(#REF!/1000000)*(1-(F103+H103))</f>
        <v>#REF!</v>
      </c>
      <c r="AJ103" s="54">
        <f t="shared" ca="1" si="24"/>
        <v>3.9765073939213069</v>
      </c>
      <c r="AL103" s="138">
        <f t="shared" si="25"/>
        <v>0</v>
      </c>
      <c r="AO103" s="135" t="e">
        <f t="shared" ca="1" si="26"/>
        <v>#REF!</v>
      </c>
      <c r="AP103" s="108"/>
      <c r="AQ103" s="31">
        <f t="shared" ca="1" si="27"/>
        <v>4.0994347361241261E-13</v>
      </c>
      <c r="AR103" s="31"/>
      <c r="AS103" s="31">
        <f t="shared" si="33"/>
        <v>3.88761746002829E-14</v>
      </c>
      <c r="AT103" s="31"/>
      <c r="AU103" s="31">
        <f t="shared" ca="1" si="28"/>
        <v>6.8482526077786477E-15</v>
      </c>
      <c r="AV103" s="31"/>
      <c r="AW103" s="31">
        <f t="shared" ca="1" si="29"/>
        <v>6.971945393724086E-6</v>
      </c>
      <c r="AX103" s="31"/>
      <c r="AY103" s="31">
        <f t="shared" ca="1" si="30"/>
        <v>1.1857094508778387E-5</v>
      </c>
      <c r="AZ103" s="31"/>
      <c r="BA103" s="134">
        <f t="shared" ca="1" si="31"/>
        <v>1.316673099827437E-6</v>
      </c>
    </row>
    <row r="104" spans="1:53">
      <c r="E104" s="105"/>
      <c r="S104" s="105"/>
      <c r="AG104" s="105"/>
    </row>
  </sheetData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E3420-1F97-6D4D-AB37-BFDF7CECFE51}">
  <sheetPr codeName="Sheet7">
    <tabColor rgb="FFC00000"/>
  </sheetPr>
  <dimension ref="A1:AE113"/>
  <sheetViews>
    <sheetView topLeftCell="D1" workbookViewId="0">
      <selection activeCell="U41" sqref="U41"/>
    </sheetView>
  </sheetViews>
  <sheetFormatPr baseColWidth="10" defaultColWidth="8.83203125" defaultRowHeight="14"/>
  <cols>
    <col min="1" max="1" width="4.83203125" customWidth="1"/>
  </cols>
  <sheetData>
    <row r="1" spans="1:31" ht="15">
      <c r="A1" s="155" t="s">
        <v>445</v>
      </c>
      <c r="D1" t="s">
        <v>399</v>
      </c>
      <c r="H1" t="s">
        <v>400</v>
      </c>
      <c r="L1" t="s">
        <v>401</v>
      </c>
      <c r="P1" t="s">
        <v>402</v>
      </c>
      <c r="V1" t="s">
        <v>403</v>
      </c>
      <c r="AD1" t="s">
        <v>404</v>
      </c>
    </row>
    <row r="2" spans="1:31" ht="15" thickBot="1">
      <c r="A2" s="156"/>
      <c r="B2" s="156"/>
      <c r="Y2" t="s">
        <v>405</v>
      </c>
      <c r="Z2">
        <v>0.05</v>
      </c>
    </row>
    <row r="3" spans="1:31" ht="16" thickTop="1">
      <c r="B3" s="157" t="s">
        <v>455</v>
      </c>
      <c r="D3" s="158" t="s">
        <v>406</v>
      </c>
      <c r="E3" s="158" t="s">
        <v>407</v>
      </c>
      <c r="F3" s="158" t="s">
        <v>408</v>
      </c>
      <c r="H3" s="158" t="s">
        <v>409</v>
      </c>
      <c r="I3" s="158" t="s">
        <v>410</v>
      </c>
      <c r="J3" s="158" t="s">
        <v>411</v>
      </c>
      <c r="L3" s="158" t="s">
        <v>412</v>
      </c>
      <c r="M3" s="158" t="s">
        <v>413</v>
      </c>
      <c r="N3" s="158" t="s">
        <v>414</v>
      </c>
      <c r="P3" s="158" t="s">
        <v>415</v>
      </c>
      <c r="Q3" s="158" t="s">
        <v>416</v>
      </c>
      <c r="R3" s="158" t="s">
        <v>417</v>
      </c>
      <c r="S3" s="158" t="s">
        <v>418</v>
      </c>
      <c r="T3" s="158" t="s">
        <v>419</v>
      </c>
      <c r="V3" s="158" t="s">
        <v>406</v>
      </c>
      <c r="W3" s="158" t="s">
        <v>407</v>
      </c>
      <c r="X3" s="158" t="s">
        <v>408</v>
      </c>
      <c r="Y3" s="158" t="s">
        <v>420</v>
      </c>
      <c r="Z3" s="158" t="s">
        <v>417</v>
      </c>
      <c r="AA3" s="158" t="s">
        <v>421</v>
      </c>
      <c r="AB3" s="158" t="s">
        <v>422</v>
      </c>
      <c r="AD3" s="158" t="s">
        <v>406</v>
      </c>
      <c r="AE3" s="158" t="s">
        <v>423</v>
      </c>
    </row>
    <row r="4" spans="1:31">
      <c r="A4">
        <v>2001</v>
      </c>
      <c r="B4">
        <v>10.1176756475655</v>
      </c>
      <c r="D4">
        <v>1</v>
      </c>
      <c r="E4">
        <f>B6-2*B5+B4-J$6</f>
        <v>4.9641452494934195E-3</v>
      </c>
      <c r="F4">
        <v>0</v>
      </c>
      <c r="H4" s="154">
        <v>2</v>
      </c>
      <c r="I4">
        <v>-0.14877473524912185</v>
      </c>
      <c r="J4">
        <v>0</v>
      </c>
      <c r="L4" t="e">
        <f t="array" aca="1" ref="L4:N5" ca="1">ARRoots(I4:I5)</f>
        <v>#NAME?</v>
      </c>
      <c r="M4" t="e">
        <f ca="1"/>
        <v>#NAME?</v>
      </c>
      <c r="N4" t="e">
        <f ca="1"/>
        <v>#NAME?</v>
      </c>
      <c r="P4" s="159" t="s">
        <v>383</v>
      </c>
      <c r="Q4" s="159">
        <f>J16</f>
        <v>4.9641452494951811E-3</v>
      </c>
      <c r="R4" s="159">
        <f>J17/SQRT(J18)</f>
        <v>7.8191439277248529E-16</v>
      </c>
      <c r="S4" s="159">
        <f>Q4/R4</f>
        <v>6348706834636.3145</v>
      </c>
      <c r="T4" s="159">
        <f>TDIST(ABS(S4),J$18-1,2)</f>
        <v>0</v>
      </c>
      <c r="V4">
        <f>D4</f>
        <v>1</v>
      </c>
      <c r="W4">
        <f>E4</f>
        <v>4.9641452494934195E-3</v>
      </c>
      <c r="X4">
        <f>F4</f>
        <v>0</v>
      </c>
      <c r="Y4">
        <f>W4-X4</f>
        <v>4.9641452494934195E-3</v>
      </c>
      <c r="Z4">
        <f>J$15</f>
        <v>0.10442117958827564</v>
      </c>
      <c r="AA4">
        <f>Y4-NORMSINV(1-Z$2/2)*Z4</f>
        <v>-0.19969760596671582</v>
      </c>
      <c r="AB4">
        <f>Y4+NORMSINV(1-Z$2/2)*Z4</f>
        <v>0.20962589646570268</v>
      </c>
      <c r="AD4">
        <v>1</v>
      </c>
      <c r="AE4">
        <f>B4</f>
        <v>10.1176756475655</v>
      </c>
    </row>
    <row r="5" spans="1:31">
      <c r="A5">
        <v>2002</v>
      </c>
      <c r="B5">
        <v>10.011767600000001</v>
      </c>
      <c r="D5">
        <f>D4+1</f>
        <v>2</v>
      </c>
      <c r="E5">
        <f t="shared" ref="E5:E68" si="0">B7-2*B6+B5-J$6</f>
        <v>4.9641452494969722E-3</v>
      </c>
      <c r="F5">
        <v>0</v>
      </c>
      <c r="H5" s="154">
        <f>H4-1</f>
        <v>1</v>
      </c>
      <c r="I5">
        <v>-0.5185446393154074</v>
      </c>
      <c r="J5">
        <v>-0.9289447533261459</v>
      </c>
      <c r="L5" s="1" t="e">
        <f ca="1"/>
        <v>#NAME?</v>
      </c>
      <c r="M5" s="1" t="e">
        <f ca="1"/>
        <v>#NAME?</v>
      </c>
      <c r="N5" s="1" t="e">
        <f ca="1"/>
        <v>#NAME?</v>
      </c>
      <c r="V5">
        <f t="shared" ref="V5:X68" si="1">D5</f>
        <v>2</v>
      </c>
      <c r="W5">
        <f t="shared" si="1"/>
        <v>4.9641452494969722E-3</v>
      </c>
      <c r="X5">
        <f t="shared" si="1"/>
        <v>0</v>
      </c>
      <c r="Y5">
        <f t="shared" ref="Y5:Y68" si="2">W5-X5</f>
        <v>4.9641452494969722E-3</v>
      </c>
      <c r="Z5">
        <f t="shared" ref="Z5:Z68" si="3">J$15</f>
        <v>0.10442117958827564</v>
      </c>
      <c r="AA5">
        <f t="shared" ref="AA5:AA68" si="4">Y5-NORMSINV(1-Z$2/2)*Z5</f>
        <v>-0.19969760596671227</v>
      </c>
      <c r="AB5">
        <f t="shared" ref="AB5:AB68" si="5">Y5+NORMSINV(1-Z$2/2)*Z5</f>
        <v>0.20962589646570623</v>
      </c>
      <c r="AD5">
        <f>AD4+1</f>
        <v>2</v>
      </c>
      <c r="AE5">
        <f>B5</f>
        <v>10.011767600000001</v>
      </c>
    </row>
    <row r="6" spans="1:31">
      <c r="A6">
        <f t="shared" ref="A6:A68" si="6">A5+1</f>
        <v>2003</v>
      </c>
      <c r="B6">
        <v>9.9058595524344994</v>
      </c>
      <c r="D6">
        <f t="shared" ref="D6:D69" si="7">D5+1</f>
        <v>3</v>
      </c>
      <c r="E6">
        <f t="shared" si="0"/>
        <v>4.9641452494951959E-3</v>
      </c>
      <c r="F6">
        <f>E6-SUMPRODUCT(E4:E5,I$4:I$5)-SUMPRODUCT(F5,J$5)</f>
        <v>8.276815552636466E-3</v>
      </c>
      <c r="H6" s="153" t="s">
        <v>424</v>
      </c>
      <c r="I6" s="1">
        <f>J6*(1-SUM(I4:I5))</f>
        <v>-8.2768155526358085E-3</v>
      </c>
      <c r="J6" s="1">
        <v>-4.9641452494951959E-3</v>
      </c>
      <c r="V6">
        <f t="shared" si="1"/>
        <v>3</v>
      </c>
      <c r="W6">
        <f t="shared" si="1"/>
        <v>4.9641452494951959E-3</v>
      </c>
      <c r="X6">
        <f t="shared" si="1"/>
        <v>8.276815552636466E-3</v>
      </c>
      <c r="Y6">
        <f t="shared" si="2"/>
        <v>-3.3126703031412701E-3</v>
      </c>
      <c r="Z6">
        <f t="shared" si="3"/>
        <v>0.10442117958827564</v>
      </c>
      <c r="AA6">
        <f t="shared" si="4"/>
        <v>-0.20797442151935053</v>
      </c>
      <c r="AB6">
        <f t="shared" si="5"/>
        <v>0.20134908091306797</v>
      </c>
      <c r="AD6">
        <f t="shared" ref="AD6:AD69" si="8">AD5+1</f>
        <v>3</v>
      </c>
      <c r="AE6">
        <f t="shared" ref="AE6:AE69" si="9">B6</f>
        <v>9.9058595524344994</v>
      </c>
    </row>
    <row r="7" spans="1:31">
      <c r="A7">
        <f t="shared" si="6"/>
        <v>2004</v>
      </c>
      <c r="B7">
        <v>9.799951504869</v>
      </c>
      <c r="D7">
        <f t="shared" si="7"/>
        <v>4</v>
      </c>
      <c r="E7">
        <f t="shared" si="0"/>
        <v>4.9641452494934195E-3</v>
      </c>
      <c r="F7">
        <f t="shared" ref="F7:F70" si="10">E7-SUMPRODUCT(E5:E6,I$4:I$5)-SUMPRODUCT(F6,J$5)</f>
        <v>1.5965519934504187E-2</v>
      </c>
      <c r="L7" t="s">
        <v>425</v>
      </c>
      <c r="V7">
        <f t="shared" si="1"/>
        <v>4</v>
      </c>
      <c r="W7">
        <f t="shared" si="1"/>
        <v>4.9641452494934195E-3</v>
      </c>
      <c r="X7">
        <f t="shared" si="1"/>
        <v>1.5965519934504187E-2</v>
      </c>
      <c r="Y7">
        <f t="shared" si="2"/>
        <v>-1.1001374685010768E-2</v>
      </c>
      <c r="Z7">
        <f t="shared" si="3"/>
        <v>0.10442117958827564</v>
      </c>
      <c r="AA7">
        <f t="shared" si="4"/>
        <v>-0.21566312590122003</v>
      </c>
      <c r="AB7">
        <f t="shared" si="5"/>
        <v>0.19366037653119847</v>
      </c>
      <c r="AD7">
        <f t="shared" si="8"/>
        <v>4</v>
      </c>
      <c r="AE7">
        <f t="shared" si="9"/>
        <v>9.799951504869</v>
      </c>
    </row>
    <row r="8" spans="1:31" ht="15" thickBot="1">
      <c r="A8">
        <f t="shared" si="6"/>
        <v>2005</v>
      </c>
      <c r="B8">
        <v>9.6940434573035006</v>
      </c>
      <c r="D8">
        <f t="shared" si="7"/>
        <v>5</v>
      </c>
      <c r="E8">
        <f t="shared" si="0"/>
        <v>4.9641452494969722E-3</v>
      </c>
      <c r="F8">
        <f t="shared" si="10"/>
        <v>2.3107901529918321E-2</v>
      </c>
      <c r="I8" t="s">
        <v>426</v>
      </c>
      <c r="J8" s="160">
        <f>SUMSQ(F6:F106)</f>
        <v>1.1012820574072981</v>
      </c>
      <c r="V8">
        <f t="shared" si="1"/>
        <v>5</v>
      </c>
      <c r="W8">
        <f t="shared" si="1"/>
        <v>4.9641452494969722E-3</v>
      </c>
      <c r="X8">
        <f t="shared" si="1"/>
        <v>2.3107901529918321E-2</v>
      </c>
      <c r="Y8">
        <f t="shared" si="2"/>
        <v>-1.814375628042135E-2</v>
      </c>
      <c r="Z8">
        <f t="shared" si="3"/>
        <v>0.10442117958827564</v>
      </c>
      <c r="AA8">
        <f t="shared" si="4"/>
        <v>-0.22280550749663058</v>
      </c>
      <c r="AB8">
        <f t="shared" si="5"/>
        <v>0.18651799493578791</v>
      </c>
      <c r="AD8">
        <f t="shared" si="8"/>
        <v>5</v>
      </c>
      <c r="AE8">
        <f t="shared" si="9"/>
        <v>9.6940434573035006</v>
      </c>
    </row>
    <row r="9" spans="1:31" ht="16" thickTop="1">
      <c r="A9">
        <f t="shared" si="6"/>
        <v>2006</v>
      </c>
      <c r="B9">
        <v>9.5881354097379994</v>
      </c>
      <c r="D9">
        <f t="shared" si="7"/>
        <v>6</v>
      </c>
      <c r="E9">
        <f t="shared" si="0"/>
        <v>4.9641452494951959E-3</v>
      </c>
      <c r="F9">
        <f t="shared" si="10"/>
        <v>2.9742779439231308E-2</v>
      </c>
      <c r="L9" s="158" t="s">
        <v>412</v>
      </c>
      <c r="M9" s="158" t="s">
        <v>413</v>
      </c>
      <c r="N9" s="158" t="s">
        <v>414</v>
      </c>
      <c r="V9">
        <f t="shared" si="1"/>
        <v>6</v>
      </c>
      <c r="W9">
        <f t="shared" si="1"/>
        <v>4.9641452494951959E-3</v>
      </c>
      <c r="X9">
        <f t="shared" si="1"/>
        <v>2.9742779439231308E-2</v>
      </c>
      <c r="Y9">
        <f t="shared" si="2"/>
        <v>-2.4778634189736113E-2</v>
      </c>
      <c r="Z9">
        <f t="shared" si="3"/>
        <v>0.10442117958827564</v>
      </c>
      <c r="AA9">
        <f t="shared" si="4"/>
        <v>-0.22944038540594536</v>
      </c>
      <c r="AB9">
        <f t="shared" si="5"/>
        <v>0.17988311702647314</v>
      </c>
      <c r="AD9">
        <f t="shared" si="8"/>
        <v>6</v>
      </c>
      <c r="AE9">
        <f t="shared" si="9"/>
        <v>9.5881354097379994</v>
      </c>
    </row>
    <row r="10" spans="1:31">
      <c r="A10">
        <f t="shared" si="6"/>
        <v>2007</v>
      </c>
      <c r="B10">
        <v>9.4822273621725</v>
      </c>
      <c r="D10">
        <f t="shared" si="7"/>
        <v>7</v>
      </c>
      <c r="E10">
        <f t="shared" si="0"/>
        <v>4.9641452494934195E-3</v>
      </c>
      <c r="F10">
        <f t="shared" si="10"/>
        <v>3.5906214462044991E-2</v>
      </c>
      <c r="I10" t="s">
        <v>427</v>
      </c>
      <c r="J10" s="161">
        <v>1</v>
      </c>
      <c r="L10" s="159" t="e">
        <f t="array" aca="1" ref="L10:N10" ca="1">MARoots(J5)</f>
        <v>#NAME?</v>
      </c>
      <c r="M10" s="159" t="e">
        <f ca="1"/>
        <v>#NAME?</v>
      </c>
      <c r="N10" s="159" t="e">
        <f ca="1"/>
        <v>#NAME?</v>
      </c>
      <c r="V10">
        <f t="shared" si="1"/>
        <v>7</v>
      </c>
      <c r="W10">
        <f t="shared" si="1"/>
        <v>4.9641452494934195E-3</v>
      </c>
      <c r="X10">
        <f t="shared" si="1"/>
        <v>3.5906214462044991E-2</v>
      </c>
      <c r="Y10">
        <f t="shared" si="2"/>
        <v>-3.0942069212551573E-2</v>
      </c>
      <c r="Z10">
        <f t="shared" si="3"/>
        <v>0.10442117958827564</v>
      </c>
      <c r="AA10">
        <f t="shared" si="4"/>
        <v>-0.23560382042876082</v>
      </c>
      <c r="AB10">
        <f t="shared" si="5"/>
        <v>0.17371968200365767</v>
      </c>
      <c r="AD10">
        <f t="shared" si="8"/>
        <v>7</v>
      </c>
      <c r="AE10">
        <f t="shared" si="9"/>
        <v>9.4822273621725</v>
      </c>
    </row>
    <row r="11" spans="1:31">
      <c r="A11">
        <f t="shared" si="6"/>
        <v>2008</v>
      </c>
      <c r="B11">
        <v>9.3763193146070005</v>
      </c>
      <c r="D11">
        <f t="shared" si="7"/>
        <v>8</v>
      </c>
      <c r="E11">
        <f t="shared" si="0"/>
        <v>4.9641452495076304E-3</v>
      </c>
      <c r="F11">
        <f t="shared" si="10"/>
        <v>4.1631705088967401E-2</v>
      </c>
      <c r="I11" t="s">
        <v>428</v>
      </c>
      <c r="J11" s="162">
        <v>1</v>
      </c>
      <c r="V11">
        <f t="shared" si="1"/>
        <v>8</v>
      </c>
      <c r="W11">
        <f t="shared" si="1"/>
        <v>4.9641452495076304E-3</v>
      </c>
      <c r="X11">
        <f t="shared" si="1"/>
        <v>4.1631705088967401E-2</v>
      </c>
      <c r="Y11">
        <f t="shared" si="2"/>
        <v>-3.6667559839459768E-2</v>
      </c>
      <c r="Z11">
        <f t="shared" si="3"/>
        <v>0.10442117958827564</v>
      </c>
      <c r="AA11">
        <f t="shared" si="4"/>
        <v>-0.24132931105566902</v>
      </c>
      <c r="AB11">
        <f t="shared" si="5"/>
        <v>0.16799419137674948</v>
      </c>
      <c r="AD11">
        <f t="shared" si="8"/>
        <v>8</v>
      </c>
      <c r="AE11">
        <f t="shared" si="9"/>
        <v>9.3763193146070005</v>
      </c>
    </row>
    <row r="12" spans="1:31">
      <c r="A12">
        <f t="shared" si="6"/>
        <v>2009</v>
      </c>
      <c r="B12">
        <v>9.2704112670414993</v>
      </c>
      <c r="D12">
        <f t="shared" si="7"/>
        <v>9</v>
      </c>
      <c r="E12">
        <f t="shared" si="0"/>
        <v>4.9641452494827614E-3</v>
      </c>
      <c r="F12">
        <f t="shared" si="10"/>
        <v>4.6950369567047234E-2</v>
      </c>
      <c r="I12" t="s">
        <v>429</v>
      </c>
      <c r="J12" s="162">
        <v>1</v>
      </c>
      <c r="L12" t="s">
        <v>430</v>
      </c>
      <c r="V12">
        <f t="shared" si="1"/>
        <v>9</v>
      </c>
      <c r="W12">
        <f t="shared" si="1"/>
        <v>4.9641452494827614E-3</v>
      </c>
      <c r="X12">
        <f t="shared" si="1"/>
        <v>4.6950369567047234E-2</v>
      </c>
      <c r="Y12">
        <f t="shared" si="2"/>
        <v>-4.198622431756447E-2</v>
      </c>
      <c r="Z12">
        <f t="shared" si="3"/>
        <v>0.10442117958827564</v>
      </c>
      <c r="AA12">
        <f t="shared" si="4"/>
        <v>-0.24664797553377371</v>
      </c>
      <c r="AB12">
        <f t="shared" si="5"/>
        <v>0.16267552689864478</v>
      </c>
      <c r="AD12">
        <f t="shared" si="8"/>
        <v>9</v>
      </c>
      <c r="AE12">
        <f t="shared" si="9"/>
        <v>9.2704112670414993</v>
      </c>
    </row>
    <row r="13" spans="1:31" ht="15" thickBot="1">
      <c r="A13">
        <f t="shared" si="6"/>
        <v>2010</v>
      </c>
      <c r="B13">
        <v>9.1645032194760105</v>
      </c>
      <c r="D13">
        <f t="shared" si="7"/>
        <v>10</v>
      </c>
      <c r="E13">
        <f t="shared" si="0"/>
        <v>4.9641452494969722E-3</v>
      </c>
      <c r="F13">
        <f t="shared" si="10"/>
        <v>5.1891115028665072E-2</v>
      </c>
      <c r="I13" t="s">
        <v>431</v>
      </c>
      <c r="J13" s="162">
        <f>AVERAGE(F6:F106)</f>
        <v>0.10141519255631055</v>
      </c>
      <c r="V13">
        <f t="shared" si="1"/>
        <v>10</v>
      </c>
      <c r="W13">
        <f t="shared" si="1"/>
        <v>4.9641452494969722E-3</v>
      </c>
      <c r="X13">
        <f t="shared" si="1"/>
        <v>5.1891115028665072E-2</v>
      </c>
      <c r="Y13">
        <f t="shared" si="2"/>
        <v>-4.6926969779168097E-2</v>
      </c>
      <c r="Z13">
        <f t="shared" si="3"/>
        <v>0.10442117958827564</v>
      </c>
      <c r="AA13">
        <f t="shared" si="4"/>
        <v>-0.25158872099537732</v>
      </c>
      <c r="AB13">
        <f t="shared" si="5"/>
        <v>0.15773478143704114</v>
      </c>
      <c r="AD13">
        <f t="shared" si="8"/>
        <v>10</v>
      </c>
      <c r="AE13">
        <f t="shared" si="9"/>
        <v>9.1645032194760105</v>
      </c>
    </row>
    <row r="14" spans="1:31" ht="16" thickTop="1">
      <c r="A14">
        <f t="shared" si="6"/>
        <v>2011</v>
      </c>
      <c r="B14">
        <v>9.0585951719105093</v>
      </c>
      <c r="D14">
        <f t="shared" si="7"/>
        <v>11</v>
      </c>
      <c r="E14">
        <f t="shared" si="0"/>
        <v>4.9641452494951959E-3</v>
      </c>
      <c r="F14">
        <f t="shared" si="10"/>
        <v>5.6480794602756818E-2</v>
      </c>
      <c r="I14" t="s">
        <v>432</v>
      </c>
      <c r="J14" s="162">
        <f>STDEV(F6:F106)</f>
        <v>2.4998577560075255E-2</v>
      </c>
      <c r="L14" s="158" t="s">
        <v>409</v>
      </c>
      <c r="M14" s="158" t="s">
        <v>433</v>
      </c>
      <c r="V14">
        <f t="shared" si="1"/>
        <v>11</v>
      </c>
      <c r="W14">
        <f t="shared" si="1"/>
        <v>4.9641452494951959E-3</v>
      </c>
      <c r="X14">
        <f t="shared" si="1"/>
        <v>5.6480794602756818E-2</v>
      </c>
      <c r="Y14">
        <f t="shared" si="2"/>
        <v>-5.1516649353261619E-2</v>
      </c>
      <c r="Z14">
        <f t="shared" si="3"/>
        <v>0.10442117958827564</v>
      </c>
      <c r="AA14">
        <f t="shared" si="4"/>
        <v>-0.25617840056947089</v>
      </c>
      <c r="AB14">
        <f t="shared" si="5"/>
        <v>0.15314510186294764</v>
      </c>
      <c r="AD14">
        <f t="shared" si="8"/>
        <v>11</v>
      </c>
      <c r="AE14">
        <f t="shared" si="9"/>
        <v>9.0585951719105093</v>
      </c>
    </row>
    <row r="15" spans="1:31">
      <c r="A15">
        <f t="shared" si="6"/>
        <v>2012</v>
      </c>
      <c r="B15">
        <v>8.9526871243450099</v>
      </c>
      <c r="D15">
        <f t="shared" si="7"/>
        <v>12</v>
      </c>
      <c r="E15">
        <f t="shared" si="0"/>
        <v>4.9641452494934195E-3</v>
      </c>
      <c r="F15">
        <f t="shared" si="10"/>
        <v>6.0744353362556944E-2</v>
      </c>
      <c r="I15" t="s">
        <v>434</v>
      </c>
      <c r="J15" s="162">
        <f>SQRT(J8/J18)</f>
        <v>0.10442117958827564</v>
      </c>
      <c r="L15" s="163">
        <v>0</v>
      </c>
      <c r="M15" s="163" t="e">
        <f t="array" aca="1" ref="M15:M19" ca="1">PSICoeff(I4:I5,J5)</f>
        <v>#NAME?</v>
      </c>
      <c r="V15">
        <f t="shared" si="1"/>
        <v>12</v>
      </c>
      <c r="W15">
        <f t="shared" si="1"/>
        <v>4.9641452494934195E-3</v>
      </c>
      <c r="X15">
        <f t="shared" si="1"/>
        <v>6.0744353362556944E-2</v>
      </c>
      <c r="Y15">
        <f t="shared" si="2"/>
        <v>-5.5780208113063522E-2</v>
      </c>
      <c r="Z15">
        <f t="shared" si="3"/>
        <v>0.10442117958827564</v>
      </c>
      <c r="AA15">
        <f t="shared" si="4"/>
        <v>-0.26044195932927278</v>
      </c>
      <c r="AB15">
        <f t="shared" si="5"/>
        <v>0.14888154310314572</v>
      </c>
      <c r="AD15">
        <f t="shared" si="8"/>
        <v>12</v>
      </c>
      <c r="AE15">
        <f t="shared" si="9"/>
        <v>8.9526871243450099</v>
      </c>
    </row>
    <row r="16" spans="1:31">
      <c r="A16">
        <f t="shared" si="6"/>
        <v>2013</v>
      </c>
      <c r="B16">
        <v>8.8467790767795105</v>
      </c>
      <c r="D16">
        <f t="shared" si="7"/>
        <v>13</v>
      </c>
      <c r="E16">
        <f t="shared" si="0"/>
        <v>4.9641452494969722E-3</v>
      </c>
      <c r="F16">
        <f t="shared" si="10"/>
        <v>6.4704963902973367E-2</v>
      </c>
      <c r="I16" t="s">
        <v>435</v>
      </c>
      <c r="J16" s="162">
        <f>AVERAGE(E6:E106)</f>
        <v>4.9641452494951811E-3</v>
      </c>
      <c r="L16">
        <f>L15+1</f>
        <v>1</v>
      </c>
      <c r="M16" t="e">
        <f ca="1"/>
        <v>#NAME?</v>
      </c>
      <c r="V16">
        <f t="shared" si="1"/>
        <v>13</v>
      </c>
      <c r="W16">
        <f t="shared" si="1"/>
        <v>4.9641452494969722E-3</v>
      </c>
      <c r="X16">
        <f t="shared" si="1"/>
        <v>6.4704963902973367E-2</v>
      </c>
      <c r="Y16">
        <f t="shared" si="2"/>
        <v>-5.9740818653476392E-2</v>
      </c>
      <c r="Z16">
        <f t="shared" si="3"/>
        <v>0.10442117958827564</v>
      </c>
      <c r="AA16">
        <f t="shared" si="4"/>
        <v>-0.26440256986968563</v>
      </c>
      <c r="AB16">
        <f t="shared" si="5"/>
        <v>0.14492093256273286</v>
      </c>
      <c r="AD16">
        <f t="shared" si="8"/>
        <v>13</v>
      </c>
      <c r="AE16">
        <f t="shared" si="9"/>
        <v>8.8467790767795105</v>
      </c>
    </row>
    <row r="17" spans="1:31">
      <c r="A17">
        <f t="shared" si="6"/>
        <v>2014</v>
      </c>
      <c r="B17">
        <v>8.7408710292140093</v>
      </c>
      <c r="D17">
        <f t="shared" si="7"/>
        <v>14</v>
      </c>
      <c r="E17">
        <f t="shared" si="0"/>
        <v>4.9641452494951959E-3</v>
      </c>
      <c r="F17">
        <f t="shared" si="10"/>
        <v>6.8384152284461236E-2</v>
      </c>
      <c r="I17" t="s">
        <v>436</v>
      </c>
      <c r="J17" s="162">
        <f>STDEV(E6:E106)</f>
        <v>7.858142393727744E-15</v>
      </c>
      <c r="L17">
        <f>L16+1</f>
        <v>2</v>
      </c>
      <c r="M17" t="e">
        <f ca="1"/>
        <v>#NAME?</v>
      </c>
      <c r="V17">
        <f t="shared" si="1"/>
        <v>14</v>
      </c>
      <c r="W17">
        <f t="shared" si="1"/>
        <v>4.9641452494951959E-3</v>
      </c>
      <c r="X17">
        <f t="shared" si="1"/>
        <v>6.8384152284461236E-2</v>
      </c>
      <c r="Y17">
        <f t="shared" si="2"/>
        <v>-6.3420007034966044E-2</v>
      </c>
      <c r="Z17">
        <f t="shared" si="3"/>
        <v>0.10442117958827564</v>
      </c>
      <c r="AA17">
        <f t="shared" si="4"/>
        <v>-0.26808175825117531</v>
      </c>
      <c r="AB17">
        <f t="shared" si="5"/>
        <v>0.14124174418124319</v>
      </c>
      <c r="AD17">
        <f t="shared" si="8"/>
        <v>14</v>
      </c>
      <c r="AE17">
        <f t="shared" si="9"/>
        <v>8.7408710292140093</v>
      </c>
    </row>
    <row r="18" spans="1:31">
      <c r="A18">
        <f t="shared" si="6"/>
        <v>2015</v>
      </c>
      <c r="B18">
        <v>8.6349629816485098</v>
      </c>
      <c r="D18">
        <f t="shared" si="7"/>
        <v>15</v>
      </c>
      <c r="E18">
        <f t="shared" si="0"/>
        <v>4.9641452494934195E-3</v>
      </c>
      <c r="F18">
        <f t="shared" si="10"/>
        <v>7.1801915027940727E-2</v>
      </c>
      <c r="I18" t="s">
        <v>437</v>
      </c>
      <c r="J18" s="164">
        <f>COUNT(E6:E106)</f>
        <v>101</v>
      </c>
      <c r="L18">
        <f>L17+1</f>
        <v>3</v>
      </c>
      <c r="M18" t="e">
        <f ca="1"/>
        <v>#NAME?</v>
      </c>
      <c r="V18">
        <f t="shared" si="1"/>
        <v>15</v>
      </c>
      <c r="W18">
        <f t="shared" si="1"/>
        <v>4.9641452494934195E-3</v>
      </c>
      <c r="X18">
        <f t="shared" si="1"/>
        <v>7.1801915027940727E-2</v>
      </c>
      <c r="Y18">
        <f t="shared" si="2"/>
        <v>-6.6837769778447312E-2</v>
      </c>
      <c r="Z18">
        <f t="shared" si="3"/>
        <v>0.10442117958827564</v>
      </c>
      <c r="AA18">
        <f t="shared" si="4"/>
        <v>-0.27149952099465657</v>
      </c>
      <c r="AB18">
        <f t="shared" si="5"/>
        <v>0.13782398143776192</v>
      </c>
      <c r="AD18">
        <f t="shared" si="8"/>
        <v>15</v>
      </c>
      <c r="AE18">
        <f t="shared" si="9"/>
        <v>8.6349629816485098</v>
      </c>
    </row>
    <row r="19" spans="1:31">
      <c r="A19">
        <f t="shared" si="6"/>
        <v>2016</v>
      </c>
      <c r="B19">
        <v>8.5290549340830104</v>
      </c>
      <c r="D19">
        <f t="shared" si="7"/>
        <v>16</v>
      </c>
      <c r="E19">
        <f t="shared" si="0"/>
        <v>4.9641452494969722E-3</v>
      </c>
      <c r="F19">
        <f t="shared" si="10"/>
        <v>7.4976827796611953E-2</v>
      </c>
      <c r="L19" s="165">
        <f>L18+1</f>
        <v>4</v>
      </c>
      <c r="M19" s="165" t="e">
        <f ca="1"/>
        <v>#NAME?</v>
      </c>
      <c r="V19">
        <f t="shared" si="1"/>
        <v>16</v>
      </c>
      <c r="W19">
        <f t="shared" si="1"/>
        <v>4.9641452494969722E-3</v>
      </c>
      <c r="X19">
        <f t="shared" si="1"/>
        <v>7.4976827796611953E-2</v>
      </c>
      <c r="Y19">
        <f t="shared" si="2"/>
        <v>-7.0012682547114985E-2</v>
      </c>
      <c r="Z19">
        <f t="shared" si="3"/>
        <v>0.10442117958827564</v>
      </c>
      <c r="AA19">
        <f t="shared" si="4"/>
        <v>-0.27467443376332423</v>
      </c>
      <c r="AB19">
        <f t="shared" si="5"/>
        <v>0.13464906866909426</v>
      </c>
      <c r="AD19">
        <f t="shared" si="8"/>
        <v>16</v>
      </c>
      <c r="AE19">
        <f t="shared" si="9"/>
        <v>8.5290549340830104</v>
      </c>
    </row>
    <row r="20" spans="1:31">
      <c r="A20">
        <f t="shared" si="6"/>
        <v>2017</v>
      </c>
      <c r="B20">
        <v>8.4231468865175092</v>
      </c>
      <c r="D20">
        <f t="shared" si="7"/>
        <v>17</v>
      </c>
      <c r="E20">
        <f t="shared" si="0"/>
        <v>4.9641452494951959E-3</v>
      </c>
      <c r="F20">
        <f t="shared" si="10"/>
        <v>7.7926146355337081E-2</v>
      </c>
      <c r="I20" t="s">
        <v>438</v>
      </c>
      <c r="J20" s="161">
        <f>-(J23-2*(J10+J11+2))/2</f>
        <v>84.878806349753319</v>
      </c>
      <c r="V20">
        <f t="shared" si="1"/>
        <v>17</v>
      </c>
      <c r="W20">
        <f t="shared" si="1"/>
        <v>4.9641452494951959E-3</v>
      </c>
      <c r="X20">
        <f t="shared" si="1"/>
        <v>7.7926146355337081E-2</v>
      </c>
      <c r="Y20">
        <f t="shared" si="2"/>
        <v>-7.2962001105841889E-2</v>
      </c>
      <c r="Z20">
        <f t="shared" si="3"/>
        <v>0.10442117958827564</v>
      </c>
      <c r="AA20">
        <f t="shared" si="4"/>
        <v>-0.27762375232205116</v>
      </c>
      <c r="AB20">
        <f t="shared" si="5"/>
        <v>0.13169975011036736</v>
      </c>
      <c r="AD20">
        <f t="shared" si="8"/>
        <v>17</v>
      </c>
      <c r="AE20">
        <f t="shared" si="9"/>
        <v>8.4231468865175092</v>
      </c>
    </row>
    <row r="21" spans="1:31">
      <c r="A21">
        <f t="shared" si="6"/>
        <v>2018</v>
      </c>
      <c r="B21">
        <v>8.3172388389520098</v>
      </c>
      <c r="D21">
        <f t="shared" si="7"/>
        <v>18</v>
      </c>
      <c r="E21">
        <f t="shared" si="0"/>
        <v>4.9641452494934195E-3</v>
      </c>
      <c r="F21">
        <f t="shared" si="10"/>
        <v>8.0665900356350045E-2</v>
      </c>
      <c r="I21" t="s">
        <v>439</v>
      </c>
      <c r="J21" s="162">
        <f>J18*LN(J8/J18)+2*(J10+J11+2)</f>
        <v>-448.38319640685052</v>
      </c>
      <c r="V21">
        <f t="shared" si="1"/>
        <v>18</v>
      </c>
      <c r="W21">
        <f t="shared" si="1"/>
        <v>4.9641452494934195E-3</v>
      </c>
      <c r="X21">
        <f t="shared" si="1"/>
        <v>8.0665900356350045E-2</v>
      </c>
      <c r="Y21">
        <f t="shared" si="2"/>
        <v>-7.570175510685663E-2</v>
      </c>
      <c r="Z21">
        <f t="shared" si="3"/>
        <v>0.10442117958827564</v>
      </c>
      <c r="AA21">
        <f t="shared" si="4"/>
        <v>-0.28036350632306589</v>
      </c>
      <c r="AB21">
        <f t="shared" si="5"/>
        <v>0.1289599961093526</v>
      </c>
      <c r="AD21">
        <f t="shared" si="8"/>
        <v>18</v>
      </c>
      <c r="AE21">
        <f t="shared" si="9"/>
        <v>8.3172388389520098</v>
      </c>
    </row>
    <row r="22" spans="1:31">
      <c r="A22">
        <f t="shared" si="6"/>
        <v>2019</v>
      </c>
      <c r="B22">
        <v>8.2113307913865103</v>
      </c>
      <c r="D22">
        <f t="shared" si="7"/>
        <v>19</v>
      </c>
      <c r="E22">
        <f t="shared" si="0"/>
        <v>4.9641452494969722E-3</v>
      </c>
      <c r="F22">
        <f t="shared" si="10"/>
        <v>8.321098046099773E-2</v>
      </c>
      <c r="I22" t="s">
        <v>440</v>
      </c>
      <c r="J22" s="162">
        <f>J18*LN(J8/J18)+LN(J18)*(J10+J11+2)</f>
        <v>-437.92271433948548</v>
      </c>
      <c r="V22">
        <f t="shared" si="1"/>
        <v>19</v>
      </c>
      <c r="W22">
        <f t="shared" si="1"/>
        <v>4.9641452494969722E-3</v>
      </c>
      <c r="X22">
        <f t="shared" si="1"/>
        <v>8.321098046099773E-2</v>
      </c>
      <c r="Y22">
        <f t="shared" si="2"/>
        <v>-7.8246835211500762E-2</v>
      </c>
      <c r="Z22">
        <f t="shared" si="3"/>
        <v>0.10442117958827564</v>
      </c>
      <c r="AA22">
        <f t="shared" si="4"/>
        <v>-0.28290858642771</v>
      </c>
      <c r="AB22">
        <f t="shared" si="5"/>
        <v>0.1264149160047085</v>
      </c>
      <c r="AD22">
        <f t="shared" si="8"/>
        <v>19</v>
      </c>
      <c r="AE22">
        <f t="shared" si="9"/>
        <v>8.2113307913865103</v>
      </c>
    </row>
    <row r="23" spans="1:31">
      <c r="A23">
        <f t="shared" si="6"/>
        <v>2020</v>
      </c>
      <c r="B23">
        <v>8.1054227438210091</v>
      </c>
      <c r="D23">
        <f t="shared" si="7"/>
        <v>20</v>
      </c>
      <c r="E23">
        <f t="shared" si="0"/>
        <v>4.9641452494951959E-3</v>
      </c>
      <c r="F23">
        <f t="shared" si="10"/>
        <v>8.5575219271004754E-2</v>
      </c>
      <c r="I23" t="s">
        <v>441</v>
      </c>
      <c r="J23" s="162">
        <f>J18*(1+LN(2*PI()))+J21</f>
        <v>-161.75761269950664</v>
      </c>
      <c r="V23">
        <f t="shared" si="1"/>
        <v>20</v>
      </c>
      <c r="W23">
        <f t="shared" si="1"/>
        <v>4.9641452494951959E-3</v>
      </c>
      <c r="X23">
        <f t="shared" si="1"/>
        <v>8.5575219271004754E-2</v>
      </c>
      <c r="Y23">
        <f t="shared" si="2"/>
        <v>-8.0611074021509563E-2</v>
      </c>
      <c r="Z23">
        <f t="shared" si="3"/>
        <v>0.10442117958827564</v>
      </c>
      <c r="AA23">
        <f t="shared" si="4"/>
        <v>-0.2852728252377188</v>
      </c>
      <c r="AB23">
        <f t="shared" si="5"/>
        <v>0.12405067719469969</v>
      </c>
      <c r="AD23">
        <f t="shared" si="8"/>
        <v>20</v>
      </c>
      <c r="AE23">
        <f t="shared" si="9"/>
        <v>8.1054227438210091</v>
      </c>
    </row>
    <row r="24" spans="1:31">
      <c r="A24">
        <f t="shared" si="6"/>
        <v>2021</v>
      </c>
      <c r="B24">
        <v>7.9995146962555097</v>
      </c>
      <c r="D24">
        <f t="shared" si="7"/>
        <v>21</v>
      </c>
      <c r="E24">
        <f t="shared" si="0"/>
        <v>4.9641452494943077E-3</v>
      </c>
      <c r="F24">
        <f t="shared" si="10"/>
        <v>8.7771466509169532E-2</v>
      </c>
      <c r="I24" t="s">
        <v>442</v>
      </c>
      <c r="J24" s="164">
        <f>J18*(1+LN(2*PI()))+J22</f>
        <v>-151.2971306321416</v>
      </c>
      <c r="V24">
        <f t="shared" si="1"/>
        <v>21</v>
      </c>
      <c r="W24">
        <f t="shared" si="1"/>
        <v>4.9641452494943077E-3</v>
      </c>
      <c r="X24">
        <f t="shared" si="1"/>
        <v>8.7771466509169532E-2</v>
      </c>
      <c r="Y24">
        <f t="shared" si="2"/>
        <v>-8.2807321259675229E-2</v>
      </c>
      <c r="Z24">
        <f t="shared" si="3"/>
        <v>0.10442117958827564</v>
      </c>
      <c r="AA24">
        <f t="shared" si="4"/>
        <v>-0.28746907247588449</v>
      </c>
      <c r="AB24">
        <f t="shared" si="5"/>
        <v>0.12185442995653402</v>
      </c>
      <c r="AD24">
        <f t="shared" si="8"/>
        <v>21</v>
      </c>
      <c r="AE24">
        <f t="shared" si="9"/>
        <v>7.9995146962555097</v>
      </c>
    </row>
    <row r="25" spans="1:31">
      <c r="A25">
        <f t="shared" si="6"/>
        <v>2022</v>
      </c>
      <c r="B25">
        <v>7.8936066486900103</v>
      </c>
      <c r="D25">
        <f t="shared" si="7"/>
        <v>22</v>
      </c>
      <c r="E25">
        <f t="shared" si="0"/>
        <v>4.9641452494951959E-3</v>
      </c>
      <c r="F25">
        <f t="shared" si="10"/>
        <v>8.9811658858069909E-2</v>
      </c>
      <c r="V25">
        <f t="shared" si="1"/>
        <v>22</v>
      </c>
      <c r="W25">
        <f t="shared" si="1"/>
        <v>4.9641452494951959E-3</v>
      </c>
      <c r="X25">
        <f t="shared" si="1"/>
        <v>8.9811658858069909E-2</v>
      </c>
      <c r="Y25">
        <f t="shared" si="2"/>
        <v>-8.4847513608574718E-2</v>
      </c>
      <c r="Z25">
        <f t="shared" si="3"/>
        <v>0.10442117958827564</v>
      </c>
      <c r="AA25">
        <f t="shared" si="4"/>
        <v>-0.28950926482478395</v>
      </c>
      <c r="AB25">
        <f t="shared" si="5"/>
        <v>0.11981423760763453</v>
      </c>
      <c r="AD25">
        <f t="shared" si="8"/>
        <v>22</v>
      </c>
      <c r="AE25">
        <f t="shared" si="9"/>
        <v>7.8936066486900103</v>
      </c>
    </row>
    <row r="26" spans="1:31">
      <c r="A26">
        <f t="shared" si="6"/>
        <v>2023</v>
      </c>
      <c r="B26">
        <v>7.78769860112451</v>
      </c>
      <c r="D26">
        <f t="shared" si="7"/>
        <v>23</v>
      </c>
      <c r="E26">
        <f t="shared" si="0"/>
        <v>4.9641452494960841E-3</v>
      </c>
      <c r="F26">
        <f t="shared" si="10"/>
        <v>9.1706884836358291E-2</v>
      </c>
      <c r="I26" t="s">
        <v>443</v>
      </c>
      <c r="J26" s="166" t="s">
        <v>444</v>
      </c>
      <c r="V26">
        <f t="shared" si="1"/>
        <v>23</v>
      </c>
      <c r="W26">
        <f t="shared" si="1"/>
        <v>4.9641452494960841E-3</v>
      </c>
      <c r="X26">
        <f t="shared" si="1"/>
        <v>9.1706884836358291E-2</v>
      </c>
      <c r="Y26">
        <f t="shared" si="2"/>
        <v>-8.6742739586862211E-2</v>
      </c>
      <c r="Z26">
        <f t="shared" si="3"/>
        <v>0.10442117958827564</v>
      </c>
      <c r="AA26">
        <f t="shared" si="4"/>
        <v>-0.29140449080307146</v>
      </c>
      <c r="AB26">
        <f t="shared" si="5"/>
        <v>0.11791901162934704</v>
      </c>
      <c r="AD26">
        <f t="shared" si="8"/>
        <v>23</v>
      </c>
      <c r="AE26">
        <f t="shared" si="9"/>
        <v>7.78769860112451</v>
      </c>
    </row>
    <row r="27" spans="1:31">
      <c r="A27">
        <f t="shared" si="6"/>
        <v>2024</v>
      </c>
      <c r="B27">
        <v>7.6817905535590096</v>
      </c>
      <c r="D27">
        <f t="shared" si="7"/>
        <v>24</v>
      </c>
      <c r="E27">
        <f t="shared" si="0"/>
        <v>4.9641452494943077E-3</v>
      </c>
      <c r="F27">
        <f t="shared" si="10"/>
        <v>9.3467445065255506E-2</v>
      </c>
      <c r="V27">
        <f t="shared" si="1"/>
        <v>24</v>
      </c>
      <c r="W27">
        <f t="shared" si="1"/>
        <v>4.9641452494943077E-3</v>
      </c>
      <c r="X27">
        <f t="shared" si="1"/>
        <v>9.3467445065255506E-2</v>
      </c>
      <c r="Y27">
        <f t="shared" si="2"/>
        <v>-8.8503299815761202E-2</v>
      </c>
      <c r="Z27">
        <f t="shared" si="3"/>
        <v>0.10442117958827564</v>
      </c>
      <c r="AA27">
        <f t="shared" si="4"/>
        <v>-0.29316505103197044</v>
      </c>
      <c r="AB27">
        <f t="shared" si="5"/>
        <v>0.11615845140044805</v>
      </c>
      <c r="AD27">
        <f t="shared" si="8"/>
        <v>24</v>
      </c>
      <c r="AE27">
        <f t="shared" si="9"/>
        <v>7.6817905535590096</v>
      </c>
    </row>
    <row r="28" spans="1:31">
      <c r="A28">
        <f t="shared" si="6"/>
        <v>2025</v>
      </c>
      <c r="B28">
        <v>7.5758825059935102</v>
      </c>
      <c r="D28">
        <f t="shared" si="7"/>
        <v>25</v>
      </c>
      <c r="E28">
        <f t="shared" si="0"/>
        <v>4.9641452494951959E-3</v>
      </c>
      <c r="F28">
        <f t="shared" si="10"/>
        <v>9.5102908252804361E-2</v>
      </c>
      <c r="V28">
        <f t="shared" si="1"/>
        <v>25</v>
      </c>
      <c r="W28">
        <f t="shared" si="1"/>
        <v>4.9641452494951959E-3</v>
      </c>
      <c r="X28">
        <f t="shared" si="1"/>
        <v>9.5102908252804361E-2</v>
      </c>
      <c r="Y28">
        <f t="shared" si="2"/>
        <v>-9.0138763003309169E-2</v>
      </c>
      <c r="Z28">
        <f t="shared" si="3"/>
        <v>0.10442117958827564</v>
      </c>
      <c r="AA28">
        <f t="shared" si="4"/>
        <v>-0.29480051421951842</v>
      </c>
      <c r="AB28">
        <f t="shared" si="5"/>
        <v>0.11452298821290008</v>
      </c>
      <c r="AD28">
        <f t="shared" si="8"/>
        <v>25</v>
      </c>
      <c r="AE28">
        <f t="shared" si="9"/>
        <v>7.5758825059935102</v>
      </c>
    </row>
    <row r="29" spans="1:31">
      <c r="A29">
        <f t="shared" si="6"/>
        <v>2026</v>
      </c>
      <c r="B29">
        <v>7.4699744584280099</v>
      </c>
      <c r="D29">
        <f t="shared" si="7"/>
        <v>26</v>
      </c>
      <c r="E29">
        <f t="shared" si="0"/>
        <v>4.964145249505854E-3</v>
      </c>
      <c r="F29">
        <f t="shared" si="10"/>
        <v>9.6622163200146771E-2</v>
      </c>
      <c r="V29">
        <f t="shared" si="1"/>
        <v>26</v>
      </c>
      <c r="W29">
        <f t="shared" si="1"/>
        <v>4.964145249505854E-3</v>
      </c>
      <c r="X29">
        <f t="shared" si="1"/>
        <v>9.6622163200146771E-2</v>
      </c>
      <c r="Y29">
        <f t="shared" si="2"/>
        <v>-9.1658017950640922E-2</v>
      </c>
      <c r="Z29">
        <f t="shared" si="3"/>
        <v>0.10442117958827564</v>
      </c>
      <c r="AA29">
        <f t="shared" si="4"/>
        <v>-0.29631976916685016</v>
      </c>
      <c r="AB29">
        <f t="shared" si="5"/>
        <v>0.11300373326556833</v>
      </c>
      <c r="AD29">
        <f t="shared" si="8"/>
        <v>26</v>
      </c>
      <c r="AE29">
        <f t="shared" si="9"/>
        <v>7.4699744584280099</v>
      </c>
    </row>
    <row r="30" spans="1:31">
      <c r="A30">
        <f t="shared" si="6"/>
        <v>2027</v>
      </c>
      <c r="B30">
        <v>7.3640664108625096</v>
      </c>
      <c r="D30">
        <f t="shared" si="7"/>
        <v>27</v>
      </c>
      <c r="E30">
        <f t="shared" si="0"/>
        <v>4.9641452494845377E-3</v>
      </c>
      <c r="F30">
        <f t="shared" si="10"/>
        <v>9.8033467112429634E-2</v>
      </c>
      <c r="V30">
        <f t="shared" si="1"/>
        <v>27</v>
      </c>
      <c r="W30">
        <f t="shared" si="1"/>
        <v>4.9641452494845377E-3</v>
      </c>
      <c r="X30">
        <f t="shared" si="1"/>
        <v>9.8033467112429634E-2</v>
      </c>
      <c r="Y30">
        <f t="shared" si="2"/>
        <v>-9.3069321862945101E-2</v>
      </c>
      <c r="Z30">
        <f t="shared" si="3"/>
        <v>0.10442117958827564</v>
      </c>
      <c r="AA30">
        <f t="shared" si="4"/>
        <v>-0.29773107307915436</v>
      </c>
      <c r="AB30">
        <f t="shared" si="5"/>
        <v>0.11159242935326415</v>
      </c>
      <c r="AD30">
        <f t="shared" si="8"/>
        <v>27</v>
      </c>
      <c r="AE30">
        <f t="shared" si="9"/>
        <v>7.3640664108625096</v>
      </c>
    </row>
    <row r="31" spans="1:31">
      <c r="A31">
        <f t="shared" si="6"/>
        <v>2028</v>
      </c>
      <c r="B31">
        <v>7.2581583632970199</v>
      </c>
      <c r="D31">
        <f t="shared" si="7"/>
        <v>28</v>
      </c>
      <c r="E31">
        <f t="shared" si="0"/>
        <v>4.9641452494960841E-3</v>
      </c>
      <c r="F31">
        <f t="shared" si="10"/>
        <v>9.9344490477095537E-2</v>
      </c>
      <c r="V31">
        <f t="shared" si="1"/>
        <v>28</v>
      </c>
      <c r="W31">
        <f t="shared" si="1"/>
        <v>4.9641452494960841E-3</v>
      </c>
      <c r="X31">
        <f t="shared" si="1"/>
        <v>9.9344490477095537E-2</v>
      </c>
      <c r="Y31">
        <f t="shared" si="2"/>
        <v>-9.4380345227599458E-2</v>
      </c>
      <c r="Z31">
        <f t="shared" si="3"/>
        <v>0.10442117958827564</v>
      </c>
      <c r="AA31">
        <f t="shared" si="4"/>
        <v>-0.29904209644380869</v>
      </c>
      <c r="AB31">
        <f t="shared" si="5"/>
        <v>0.11028140598860979</v>
      </c>
      <c r="AD31">
        <f t="shared" si="8"/>
        <v>28</v>
      </c>
      <c r="AE31">
        <f t="shared" si="9"/>
        <v>7.2581583632970199</v>
      </c>
    </row>
    <row r="32" spans="1:31" ht="18">
      <c r="A32">
        <f t="shared" si="6"/>
        <v>2029</v>
      </c>
      <c r="B32">
        <v>7.1522503157315196</v>
      </c>
      <c r="D32">
        <f t="shared" si="7"/>
        <v>29</v>
      </c>
      <c r="E32">
        <f t="shared" si="0"/>
        <v>4.9641452494943077E-3</v>
      </c>
      <c r="F32">
        <f t="shared" si="10"/>
        <v>0.10056235875319096</v>
      </c>
      <c r="I32" s="167" t="s">
        <v>446</v>
      </c>
      <c r="V32">
        <f t="shared" si="1"/>
        <v>29</v>
      </c>
      <c r="W32">
        <f t="shared" si="1"/>
        <v>4.9641452494943077E-3</v>
      </c>
      <c r="X32">
        <f t="shared" si="1"/>
        <v>0.10056235875319096</v>
      </c>
      <c r="Y32">
        <f t="shared" si="2"/>
        <v>-9.5598213503696655E-2</v>
      </c>
      <c r="Z32">
        <f t="shared" si="3"/>
        <v>0.10442117958827564</v>
      </c>
      <c r="AA32">
        <f t="shared" si="4"/>
        <v>-0.3002599647199059</v>
      </c>
      <c r="AB32">
        <f t="shared" si="5"/>
        <v>0.10906353771251259</v>
      </c>
      <c r="AD32">
        <f t="shared" si="8"/>
        <v>29</v>
      </c>
      <c r="AE32">
        <f t="shared" si="9"/>
        <v>7.1522503157315196</v>
      </c>
    </row>
    <row r="33" spans="1:31">
      <c r="A33">
        <f t="shared" si="6"/>
        <v>2030</v>
      </c>
      <c r="B33">
        <v>7.0463422681660202</v>
      </c>
      <c r="D33">
        <f t="shared" si="7"/>
        <v>30</v>
      </c>
      <c r="E33">
        <f t="shared" si="0"/>
        <v>4.9641452494960841E-3</v>
      </c>
      <c r="F33">
        <f t="shared" si="10"/>
        <v>0.10169369109851474</v>
      </c>
      <c r="I33" t="s">
        <v>447</v>
      </c>
      <c r="V33">
        <f t="shared" si="1"/>
        <v>30</v>
      </c>
      <c r="W33">
        <f t="shared" si="1"/>
        <v>4.9641452494960841E-3</v>
      </c>
      <c r="X33">
        <f t="shared" si="1"/>
        <v>0.10169369109851474</v>
      </c>
      <c r="Y33">
        <f t="shared" si="2"/>
        <v>-9.6729545849018661E-2</v>
      </c>
      <c r="Z33">
        <f t="shared" si="3"/>
        <v>0.10442117958827564</v>
      </c>
      <c r="AA33">
        <f t="shared" si="4"/>
        <v>-0.30139129706522794</v>
      </c>
      <c r="AB33">
        <f t="shared" si="5"/>
        <v>0.10793220536719059</v>
      </c>
      <c r="AD33">
        <f t="shared" si="8"/>
        <v>30</v>
      </c>
      <c r="AE33">
        <f t="shared" si="9"/>
        <v>7.0463422681660202</v>
      </c>
    </row>
    <row r="34" spans="1:31">
      <c r="A34">
        <f t="shared" si="6"/>
        <v>2031</v>
      </c>
      <c r="B34">
        <v>6.9404342206005198</v>
      </c>
      <c r="D34">
        <f t="shared" si="7"/>
        <v>31</v>
      </c>
      <c r="E34">
        <f t="shared" si="0"/>
        <v>4.9641452494943077E-3</v>
      </c>
      <c r="F34">
        <f t="shared" si="10"/>
        <v>0.1027446363449703</v>
      </c>
      <c r="V34">
        <f t="shared" si="1"/>
        <v>31</v>
      </c>
      <c r="W34">
        <f t="shared" si="1"/>
        <v>4.9641452494943077E-3</v>
      </c>
      <c r="X34">
        <f t="shared" si="1"/>
        <v>0.1027446363449703</v>
      </c>
      <c r="Y34">
        <f t="shared" si="2"/>
        <v>-9.7780491095475999E-2</v>
      </c>
      <c r="Z34">
        <f t="shared" si="3"/>
        <v>0.10442117958827564</v>
      </c>
      <c r="AA34">
        <f t="shared" si="4"/>
        <v>-0.30244224231168526</v>
      </c>
      <c r="AB34">
        <f t="shared" si="5"/>
        <v>0.10688126012073325</v>
      </c>
      <c r="AD34">
        <f t="shared" si="8"/>
        <v>31</v>
      </c>
      <c r="AE34">
        <f t="shared" si="9"/>
        <v>6.9404342206005198</v>
      </c>
    </row>
    <row r="35" spans="1:31">
      <c r="A35">
        <f t="shared" si="6"/>
        <v>2032</v>
      </c>
      <c r="B35">
        <v>6.8345261730350204</v>
      </c>
      <c r="D35">
        <f t="shared" si="7"/>
        <v>32</v>
      </c>
      <c r="E35">
        <f t="shared" si="0"/>
        <v>4.9641452494951959E-3</v>
      </c>
      <c r="F35">
        <f t="shared" si="10"/>
        <v>0.10372090641769849</v>
      </c>
      <c r="V35">
        <f t="shared" si="1"/>
        <v>32</v>
      </c>
      <c r="W35">
        <f t="shared" si="1"/>
        <v>4.9641452494951959E-3</v>
      </c>
      <c r="X35">
        <f t="shared" si="1"/>
        <v>0.10372090641769849</v>
      </c>
      <c r="Y35">
        <f t="shared" si="2"/>
        <v>-9.8756761168203297E-2</v>
      </c>
      <c r="Z35">
        <f t="shared" si="3"/>
        <v>0.10442117958827564</v>
      </c>
      <c r="AA35">
        <f t="shared" si="4"/>
        <v>-0.30341851238441253</v>
      </c>
      <c r="AB35">
        <f t="shared" si="5"/>
        <v>0.10590499004800595</v>
      </c>
      <c r="AD35">
        <f t="shared" si="8"/>
        <v>32</v>
      </c>
      <c r="AE35">
        <f t="shared" si="9"/>
        <v>6.8345261730350204</v>
      </c>
    </row>
    <row r="36" spans="1:31">
      <c r="A36">
        <f t="shared" si="6"/>
        <v>2033</v>
      </c>
      <c r="B36">
        <v>6.7286181254695201</v>
      </c>
      <c r="D36">
        <f t="shared" si="7"/>
        <v>33</v>
      </c>
      <c r="E36">
        <f t="shared" si="0"/>
        <v>4.9641452494960841E-3</v>
      </c>
      <c r="F36">
        <f t="shared" si="10"/>
        <v>0.10462780737958975</v>
      </c>
      <c r="V36">
        <f t="shared" si="1"/>
        <v>33</v>
      </c>
      <c r="W36">
        <f t="shared" si="1"/>
        <v>4.9641452494960841E-3</v>
      </c>
      <c r="X36">
        <f t="shared" si="1"/>
        <v>0.10462780737958975</v>
      </c>
      <c r="Y36">
        <f t="shared" si="2"/>
        <v>-9.9663662130093672E-2</v>
      </c>
      <c r="Z36">
        <f t="shared" si="3"/>
        <v>0.10442117958827564</v>
      </c>
      <c r="AA36">
        <f t="shared" si="4"/>
        <v>-0.30432541334630292</v>
      </c>
      <c r="AB36">
        <f t="shared" si="5"/>
        <v>0.10499808908611558</v>
      </c>
      <c r="AD36">
        <f t="shared" si="8"/>
        <v>33</v>
      </c>
      <c r="AE36">
        <f t="shared" si="9"/>
        <v>6.7286181254695201</v>
      </c>
    </row>
    <row r="37" spans="1:31">
      <c r="A37">
        <f t="shared" si="6"/>
        <v>2034</v>
      </c>
      <c r="B37">
        <v>6.6227100779040198</v>
      </c>
      <c r="D37">
        <f t="shared" si="7"/>
        <v>34</v>
      </c>
      <c r="E37">
        <f t="shared" si="0"/>
        <v>4.9641452494943077E-3</v>
      </c>
      <c r="F37">
        <f t="shared" si="10"/>
        <v>0.10547026826992389</v>
      </c>
      <c r="V37">
        <f t="shared" si="1"/>
        <v>34</v>
      </c>
      <c r="W37">
        <f t="shared" si="1"/>
        <v>4.9641452494943077E-3</v>
      </c>
      <c r="X37">
        <f t="shared" si="1"/>
        <v>0.10547026826992389</v>
      </c>
      <c r="Y37">
        <f t="shared" si="2"/>
        <v>-0.10050612302042959</v>
      </c>
      <c r="Z37">
        <f t="shared" si="3"/>
        <v>0.10442117958827564</v>
      </c>
      <c r="AA37">
        <f t="shared" si="4"/>
        <v>-0.30516787423663883</v>
      </c>
      <c r="AB37">
        <f t="shared" si="5"/>
        <v>0.10415562819577966</v>
      </c>
      <c r="AD37">
        <f t="shared" si="8"/>
        <v>34</v>
      </c>
      <c r="AE37">
        <f t="shared" si="9"/>
        <v>6.6227100779040198</v>
      </c>
    </row>
    <row r="38" spans="1:31">
      <c r="A38">
        <f t="shared" si="6"/>
        <v>2035</v>
      </c>
      <c r="B38">
        <v>6.5168020303385203</v>
      </c>
      <c r="D38">
        <f t="shared" si="7"/>
        <v>35</v>
      </c>
      <c r="E38">
        <f t="shared" si="0"/>
        <v>4.9641452494951959E-3</v>
      </c>
      <c r="F38">
        <f t="shared" si="10"/>
        <v>0.10625286789388237</v>
      </c>
      <c r="V38">
        <f t="shared" si="1"/>
        <v>35</v>
      </c>
      <c r="W38">
        <f t="shared" si="1"/>
        <v>4.9641452494951959E-3</v>
      </c>
      <c r="X38">
        <f t="shared" si="1"/>
        <v>0.10625286789388237</v>
      </c>
      <c r="Y38">
        <f t="shared" si="2"/>
        <v>-0.10128872264438718</v>
      </c>
      <c r="Z38">
        <f t="shared" si="3"/>
        <v>0.10442117958827564</v>
      </c>
      <c r="AA38">
        <f t="shared" si="4"/>
        <v>-0.30595047386059643</v>
      </c>
      <c r="AB38">
        <f t="shared" si="5"/>
        <v>0.10337302857182207</v>
      </c>
      <c r="AD38">
        <f t="shared" si="8"/>
        <v>35</v>
      </c>
      <c r="AE38">
        <f t="shared" si="9"/>
        <v>6.5168020303385203</v>
      </c>
    </row>
    <row r="39" spans="1:31">
      <c r="A39">
        <f t="shared" si="6"/>
        <v>2036</v>
      </c>
      <c r="B39">
        <v>6.41089398277302</v>
      </c>
      <c r="D39">
        <f t="shared" si="7"/>
        <v>36</v>
      </c>
      <c r="E39">
        <f t="shared" si="0"/>
        <v>4.9641452494960841E-3</v>
      </c>
      <c r="F39">
        <f t="shared" si="10"/>
        <v>0.1069798597085147</v>
      </c>
      <c r="V39">
        <f t="shared" si="1"/>
        <v>36</v>
      </c>
      <c r="W39">
        <f t="shared" si="1"/>
        <v>4.9641452494960841E-3</v>
      </c>
      <c r="X39">
        <f t="shared" si="1"/>
        <v>0.1069798597085147</v>
      </c>
      <c r="Y39">
        <f t="shared" si="2"/>
        <v>-0.10201571445901862</v>
      </c>
      <c r="Z39">
        <f t="shared" si="3"/>
        <v>0.10442117958827564</v>
      </c>
      <c r="AA39">
        <f t="shared" si="4"/>
        <v>-0.30667746567522786</v>
      </c>
      <c r="AB39">
        <f t="shared" si="5"/>
        <v>0.10264603675719063</v>
      </c>
      <c r="AD39">
        <f t="shared" si="8"/>
        <v>36</v>
      </c>
      <c r="AE39">
        <f t="shared" si="9"/>
        <v>6.41089398277302</v>
      </c>
    </row>
    <row r="40" spans="1:31">
      <c r="A40">
        <f t="shared" si="6"/>
        <v>2037</v>
      </c>
      <c r="B40">
        <v>6.3049859352075197</v>
      </c>
      <c r="D40">
        <f t="shared" si="7"/>
        <v>37</v>
      </c>
      <c r="E40">
        <f t="shared" si="0"/>
        <v>4.9641452494943077E-3</v>
      </c>
      <c r="F40">
        <f t="shared" si="10"/>
        <v>0.10765519494042727</v>
      </c>
      <c r="V40">
        <f t="shared" si="1"/>
        <v>37</v>
      </c>
      <c r="W40">
        <f t="shared" si="1"/>
        <v>4.9641452494943077E-3</v>
      </c>
      <c r="X40">
        <f t="shared" si="1"/>
        <v>0.10765519494042727</v>
      </c>
      <c r="Y40">
        <f t="shared" si="2"/>
        <v>-0.10269104969093297</v>
      </c>
      <c r="Z40">
        <f t="shared" si="3"/>
        <v>0.10442117958827564</v>
      </c>
      <c r="AA40">
        <f t="shared" si="4"/>
        <v>-0.30735280090714223</v>
      </c>
      <c r="AB40">
        <f t="shared" si="5"/>
        <v>0.10197070152527628</v>
      </c>
      <c r="AD40">
        <f t="shared" si="8"/>
        <v>37</v>
      </c>
      <c r="AE40">
        <f t="shared" si="9"/>
        <v>6.3049859352075197</v>
      </c>
    </row>
    <row r="41" spans="1:31">
      <c r="A41">
        <f t="shared" si="6"/>
        <v>2038</v>
      </c>
      <c r="B41">
        <v>6.1990778876420203</v>
      </c>
      <c r="D41">
        <f t="shared" si="7"/>
        <v>38</v>
      </c>
      <c r="E41">
        <f t="shared" si="0"/>
        <v>4.9641452494951959E-3</v>
      </c>
      <c r="F41">
        <f t="shared" si="10"/>
        <v>0.10828254406084885</v>
      </c>
      <c r="V41">
        <f t="shared" si="1"/>
        <v>38</v>
      </c>
      <c r="W41">
        <f t="shared" si="1"/>
        <v>4.9641452494951959E-3</v>
      </c>
      <c r="X41">
        <f t="shared" si="1"/>
        <v>0.10828254406084885</v>
      </c>
      <c r="Y41">
        <f t="shared" si="2"/>
        <v>-0.10331839881135366</v>
      </c>
      <c r="Z41">
        <f t="shared" si="3"/>
        <v>0.10442117958827564</v>
      </c>
      <c r="AA41">
        <f t="shared" si="4"/>
        <v>-0.3079801500275629</v>
      </c>
      <c r="AB41">
        <f t="shared" si="5"/>
        <v>0.10134335240485559</v>
      </c>
      <c r="AD41">
        <f t="shared" si="8"/>
        <v>38</v>
      </c>
      <c r="AE41">
        <f t="shared" si="9"/>
        <v>6.1990778876420203</v>
      </c>
    </row>
    <row r="42" spans="1:31">
      <c r="A42">
        <f t="shared" si="6"/>
        <v>2039</v>
      </c>
      <c r="B42">
        <v>6.09316984007652</v>
      </c>
      <c r="D42">
        <f t="shared" si="7"/>
        <v>39</v>
      </c>
      <c r="E42">
        <f t="shared" si="0"/>
        <v>4.9641452494960841E-3</v>
      </c>
      <c r="F42">
        <f t="shared" si="10"/>
        <v>0.10886531673476933</v>
      </c>
      <c r="V42">
        <f t="shared" si="1"/>
        <v>39</v>
      </c>
      <c r="W42">
        <f t="shared" si="1"/>
        <v>4.9641452494960841E-3</v>
      </c>
      <c r="X42">
        <f t="shared" si="1"/>
        <v>0.10886531673476933</v>
      </c>
      <c r="Y42">
        <f t="shared" si="2"/>
        <v>-0.10390117148527325</v>
      </c>
      <c r="Z42">
        <f t="shared" si="3"/>
        <v>0.10442117958827564</v>
      </c>
      <c r="AA42">
        <f t="shared" si="4"/>
        <v>-0.3085629227014825</v>
      </c>
      <c r="AB42">
        <f t="shared" si="5"/>
        <v>0.100760579730936</v>
      </c>
      <c r="AD42">
        <f t="shared" si="8"/>
        <v>39</v>
      </c>
      <c r="AE42">
        <f t="shared" si="9"/>
        <v>6.09316984007652</v>
      </c>
    </row>
    <row r="43" spans="1:31">
      <c r="A43">
        <f t="shared" si="6"/>
        <v>2040</v>
      </c>
      <c r="B43">
        <v>5.9872617925110196</v>
      </c>
      <c r="D43">
        <f t="shared" si="7"/>
        <v>40</v>
      </c>
      <c r="E43">
        <f t="shared" si="0"/>
        <v>4.9641452494943077E-3</v>
      </c>
      <c r="F43">
        <f t="shared" si="10"/>
        <v>0.10940668035258841</v>
      </c>
      <c r="V43">
        <f t="shared" si="1"/>
        <v>40</v>
      </c>
      <c r="W43">
        <f t="shared" si="1"/>
        <v>4.9641452494943077E-3</v>
      </c>
      <c r="X43">
        <f t="shared" si="1"/>
        <v>0.10940668035258841</v>
      </c>
      <c r="Y43">
        <f t="shared" si="2"/>
        <v>-0.10444253510309411</v>
      </c>
      <c r="Z43">
        <f t="shared" si="3"/>
        <v>0.10442117958827564</v>
      </c>
      <c r="AA43">
        <f t="shared" si="4"/>
        <v>-0.30910428631930337</v>
      </c>
      <c r="AB43">
        <f t="shared" si="5"/>
        <v>0.10021921611311514</v>
      </c>
      <c r="AD43">
        <f t="shared" si="8"/>
        <v>40</v>
      </c>
      <c r="AE43">
        <f t="shared" si="9"/>
        <v>5.9872617925110196</v>
      </c>
    </row>
    <row r="44" spans="1:31">
      <c r="A44">
        <f t="shared" si="6"/>
        <v>2041</v>
      </c>
      <c r="B44">
        <v>5.8813537449455202</v>
      </c>
      <c r="D44">
        <f t="shared" si="7"/>
        <v>41</v>
      </c>
      <c r="E44">
        <f t="shared" si="0"/>
        <v>4.9641452494951959E-3</v>
      </c>
      <c r="F44">
        <f t="shared" si="10"/>
        <v>0.10990957724500322</v>
      </c>
      <c r="V44">
        <f t="shared" si="1"/>
        <v>41</v>
      </c>
      <c r="W44">
        <f t="shared" si="1"/>
        <v>4.9641452494951959E-3</v>
      </c>
      <c r="X44">
        <f t="shared" si="1"/>
        <v>0.10990957724500322</v>
      </c>
      <c r="Y44">
        <f t="shared" si="2"/>
        <v>-0.10494543199550803</v>
      </c>
      <c r="Z44">
        <f t="shared" si="3"/>
        <v>0.10442117958827564</v>
      </c>
      <c r="AA44">
        <f t="shared" si="4"/>
        <v>-0.30960718321171726</v>
      </c>
      <c r="AB44">
        <f t="shared" si="5"/>
        <v>9.9716319220701219E-2</v>
      </c>
      <c r="AD44">
        <f t="shared" si="8"/>
        <v>41</v>
      </c>
      <c r="AE44">
        <f t="shared" si="9"/>
        <v>5.8813537449455202</v>
      </c>
    </row>
    <row r="45" spans="1:31">
      <c r="A45">
        <f t="shared" si="6"/>
        <v>2042</v>
      </c>
      <c r="B45">
        <v>5.7754456973800199</v>
      </c>
      <c r="D45">
        <f t="shared" si="7"/>
        <v>42</v>
      </c>
      <c r="E45">
        <f t="shared" si="0"/>
        <v>4.9641452494960841E-3</v>
      </c>
      <c r="F45">
        <f t="shared" si="10"/>
        <v>0.11037674067467707</v>
      </c>
      <c r="V45">
        <f t="shared" si="1"/>
        <v>42</v>
      </c>
      <c r="W45">
        <f t="shared" si="1"/>
        <v>4.9641452494960841E-3</v>
      </c>
      <c r="X45">
        <f t="shared" si="1"/>
        <v>0.11037674067467707</v>
      </c>
      <c r="Y45">
        <f t="shared" si="2"/>
        <v>-0.10541259542518099</v>
      </c>
      <c r="Z45">
        <f t="shared" si="3"/>
        <v>0.10442117958827564</v>
      </c>
      <c r="AA45">
        <f t="shared" si="4"/>
        <v>-0.31007434664139022</v>
      </c>
      <c r="AB45">
        <f t="shared" si="5"/>
        <v>9.9249155791028262E-2</v>
      </c>
      <c r="AD45">
        <f t="shared" si="8"/>
        <v>42</v>
      </c>
      <c r="AE45">
        <f t="shared" si="9"/>
        <v>5.7754456973800199</v>
      </c>
    </row>
    <row r="46" spans="1:31">
      <c r="A46">
        <f t="shared" si="6"/>
        <v>2043</v>
      </c>
      <c r="B46">
        <v>5.6695376498145196</v>
      </c>
      <c r="D46">
        <f t="shared" si="7"/>
        <v>43</v>
      </c>
      <c r="E46">
        <f t="shared" si="0"/>
        <v>4.9641452495040777E-3</v>
      </c>
      <c r="F46">
        <f t="shared" si="10"/>
        <v>0.11081070969162701</v>
      </c>
      <c r="V46">
        <f t="shared" si="1"/>
        <v>43</v>
      </c>
      <c r="W46">
        <f t="shared" si="1"/>
        <v>4.9641452495040777E-3</v>
      </c>
      <c r="X46">
        <f t="shared" si="1"/>
        <v>0.11081070969162701</v>
      </c>
      <c r="Y46">
        <f t="shared" si="2"/>
        <v>-0.10584656444212294</v>
      </c>
      <c r="Z46">
        <f t="shared" si="3"/>
        <v>0.10442117958827564</v>
      </c>
      <c r="AA46">
        <f t="shared" si="4"/>
        <v>-0.3105083156583322</v>
      </c>
      <c r="AB46">
        <f t="shared" si="5"/>
        <v>9.8815186774086308E-2</v>
      </c>
      <c r="AD46">
        <f t="shared" si="8"/>
        <v>43</v>
      </c>
      <c r="AE46">
        <f t="shared" si="9"/>
        <v>5.6695376498145196</v>
      </c>
    </row>
    <row r="47" spans="1:31">
      <c r="A47">
        <f t="shared" si="6"/>
        <v>2044</v>
      </c>
      <c r="B47">
        <v>5.5636296022490201</v>
      </c>
      <c r="D47">
        <f t="shared" si="7"/>
        <v>44</v>
      </c>
      <c r="E47">
        <f t="shared" si="0"/>
        <v>4.9641452494863141E-3</v>
      </c>
      <c r="F47">
        <f t="shared" si="10"/>
        <v>0.11121384293301528</v>
      </c>
      <c r="V47">
        <f t="shared" si="1"/>
        <v>44</v>
      </c>
      <c r="W47">
        <f t="shared" si="1"/>
        <v>4.9641452494863141E-3</v>
      </c>
      <c r="X47">
        <f t="shared" si="1"/>
        <v>0.11121384293301528</v>
      </c>
      <c r="Y47">
        <f t="shared" si="2"/>
        <v>-0.10624969768352897</v>
      </c>
      <c r="Z47">
        <f t="shared" si="3"/>
        <v>0.10442117958827564</v>
      </c>
      <c r="AA47">
        <f t="shared" si="4"/>
        <v>-0.31091144889973821</v>
      </c>
      <c r="AB47">
        <f t="shared" si="5"/>
        <v>9.8412053532680274E-2</v>
      </c>
      <c r="AD47">
        <f t="shared" si="8"/>
        <v>44</v>
      </c>
      <c r="AE47">
        <f t="shared" si="9"/>
        <v>5.5636296022490201</v>
      </c>
    </row>
    <row r="48" spans="1:31">
      <c r="A48">
        <f t="shared" si="6"/>
        <v>2045</v>
      </c>
      <c r="B48">
        <v>5.4577215546835296</v>
      </c>
      <c r="D48">
        <f t="shared" si="7"/>
        <v>45</v>
      </c>
      <c r="E48">
        <f t="shared" si="0"/>
        <v>4.9641452494943077E-3</v>
      </c>
      <c r="F48">
        <f t="shared" si="10"/>
        <v>0.11158833144249426</v>
      </c>
      <c r="V48">
        <f t="shared" si="1"/>
        <v>45</v>
      </c>
      <c r="W48">
        <f t="shared" si="1"/>
        <v>4.9641452494943077E-3</v>
      </c>
      <c r="X48">
        <f t="shared" si="1"/>
        <v>0.11158833144249426</v>
      </c>
      <c r="Y48">
        <f t="shared" si="2"/>
        <v>-0.10662418619299996</v>
      </c>
      <c r="Z48">
        <f t="shared" si="3"/>
        <v>0.10442117958827564</v>
      </c>
      <c r="AA48">
        <f t="shared" si="4"/>
        <v>-0.31128593740920918</v>
      </c>
      <c r="AB48">
        <f t="shared" si="5"/>
        <v>9.8037565023209289E-2</v>
      </c>
      <c r="AD48">
        <f t="shared" si="8"/>
        <v>45</v>
      </c>
      <c r="AE48">
        <f t="shared" si="9"/>
        <v>5.4577215546835296</v>
      </c>
    </row>
    <row r="49" spans="1:31">
      <c r="A49">
        <f t="shared" si="6"/>
        <v>2046</v>
      </c>
      <c r="B49">
        <v>5.3518135071180302</v>
      </c>
      <c r="D49">
        <f t="shared" si="7"/>
        <v>46</v>
      </c>
      <c r="E49">
        <f t="shared" si="0"/>
        <v>4.9641452494960841E-3</v>
      </c>
      <c r="F49">
        <f t="shared" si="10"/>
        <v>0.11193621057855896</v>
      </c>
      <c r="V49">
        <f t="shared" si="1"/>
        <v>46</v>
      </c>
      <c r="W49">
        <f t="shared" si="1"/>
        <v>4.9641452494960841E-3</v>
      </c>
      <c r="X49">
        <f t="shared" si="1"/>
        <v>0.11193621057855896</v>
      </c>
      <c r="Y49">
        <f t="shared" si="2"/>
        <v>-0.10697206532906288</v>
      </c>
      <c r="Z49">
        <f t="shared" si="3"/>
        <v>0.10442117958827564</v>
      </c>
      <c r="AA49">
        <f t="shared" si="4"/>
        <v>-0.31163381654527211</v>
      </c>
      <c r="AB49">
        <f t="shared" si="5"/>
        <v>9.7689685887146369E-2</v>
      </c>
      <c r="AD49">
        <f t="shared" si="8"/>
        <v>46</v>
      </c>
      <c r="AE49">
        <f t="shared" si="9"/>
        <v>5.3518135071180302</v>
      </c>
    </row>
    <row r="50" spans="1:31">
      <c r="A50">
        <f t="shared" si="6"/>
        <v>2047</v>
      </c>
      <c r="B50">
        <v>5.2459054595525298</v>
      </c>
      <c r="D50">
        <f t="shared" si="7"/>
        <v>47</v>
      </c>
      <c r="E50">
        <f t="shared" si="0"/>
        <v>4.9641452494943077E-3</v>
      </c>
      <c r="F50">
        <f t="shared" si="10"/>
        <v>0.11225937107679823</v>
      </c>
      <c r="V50">
        <f t="shared" si="1"/>
        <v>47</v>
      </c>
      <c r="W50">
        <f t="shared" si="1"/>
        <v>4.9641452494943077E-3</v>
      </c>
      <c r="X50">
        <f t="shared" si="1"/>
        <v>0.11225937107679823</v>
      </c>
      <c r="Y50">
        <f t="shared" si="2"/>
        <v>-0.10729522582730393</v>
      </c>
      <c r="Z50">
        <f t="shared" si="3"/>
        <v>0.10442117958827564</v>
      </c>
      <c r="AA50">
        <f t="shared" si="4"/>
        <v>-0.31195697704351316</v>
      </c>
      <c r="AB50">
        <f t="shared" si="5"/>
        <v>9.736652538890532E-2</v>
      </c>
      <c r="AD50">
        <f t="shared" si="8"/>
        <v>47</v>
      </c>
      <c r="AE50">
        <f t="shared" si="9"/>
        <v>5.2459054595525298</v>
      </c>
    </row>
    <row r="51" spans="1:31">
      <c r="A51">
        <f t="shared" si="6"/>
        <v>2048</v>
      </c>
      <c r="B51">
        <v>5.1399974119870304</v>
      </c>
      <c r="D51">
        <f t="shared" si="7"/>
        <v>48</v>
      </c>
      <c r="E51">
        <f t="shared" si="0"/>
        <v>4.9641452494951959E-3</v>
      </c>
      <c r="F51">
        <f t="shared" si="10"/>
        <v>0.1125595693261201</v>
      </c>
      <c r="V51">
        <f t="shared" si="1"/>
        <v>48</v>
      </c>
      <c r="W51">
        <f t="shared" si="1"/>
        <v>4.9641452494951959E-3</v>
      </c>
      <c r="X51">
        <f t="shared" si="1"/>
        <v>0.1125595693261201</v>
      </c>
      <c r="Y51">
        <f t="shared" si="2"/>
        <v>-0.10759542407662491</v>
      </c>
      <c r="Z51">
        <f t="shared" si="3"/>
        <v>0.10442117958827564</v>
      </c>
      <c r="AA51">
        <f t="shared" si="4"/>
        <v>-0.31225717529283414</v>
      </c>
      <c r="AB51">
        <f t="shared" si="5"/>
        <v>9.7066327139584338E-2</v>
      </c>
      <c r="AD51">
        <f t="shared" si="8"/>
        <v>48</v>
      </c>
      <c r="AE51">
        <f t="shared" si="9"/>
        <v>5.1399974119870304</v>
      </c>
    </row>
    <row r="52" spans="1:31">
      <c r="A52">
        <f t="shared" si="6"/>
        <v>2049</v>
      </c>
      <c r="B52">
        <v>5.0340893644215301</v>
      </c>
      <c r="D52">
        <f t="shared" si="7"/>
        <v>49</v>
      </c>
      <c r="E52">
        <f t="shared" si="0"/>
        <v>4.9641452494960841E-3</v>
      </c>
      <c r="F52">
        <f t="shared" si="10"/>
        <v>0.11283843691478643</v>
      </c>
      <c r="V52">
        <f t="shared" si="1"/>
        <v>49</v>
      </c>
      <c r="W52">
        <f t="shared" si="1"/>
        <v>4.9641452494960841E-3</v>
      </c>
      <c r="X52">
        <f t="shared" si="1"/>
        <v>0.11283843691478643</v>
      </c>
      <c r="Y52">
        <f t="shared" si="2"/>
        <v>-0.10787429166529035</v>
      </c>
      <c r="Z52">
        <f t="shared" si="3"/>
        <v>0.10442117958827564</v>
      </c>
      <c r="AA52">
        <f t="shared" si="4"/>
        <v>-0.31253604288149961</v>
      </c>
      <c r="AB52">
        <f t="shared" si="5"/>
        <v>9.67874595509189E-2</v>
      </c>
      <c r="AD52">
        <f t="shared" si="8"/>
        <v>49</v>
      </c>
      <c r="AE52">
        <f t="shared" si="9"/>
        <v>5.0340893644215301</v>
      </c>
    </row>
    <row r="53" spans="1:31">
      <c r="A53">
        <f t="shared" si="6"/>
        <v>2050</v>
      </c>
      <c r="B53">
        <v>4.9281813168560298</v>
      </c>
      <c r="D53">
        <f t="shared" si="7"/>
        <v>50</v>
      </c>
      <c r="E53">
        <f t="shared" si="0"/>
        <v>4.9641452494943077E-3</v>
      </c>
      <c r="F53">
        <f t="shared" si="10"/>
        <v>0.11309748949814954</v>
      </c>
      <c r="V53">
        <f t="shared" si="1"/>
        <v>50</v>
      </c>
      <c r="W53">
        <f t="shared" si="1"/>
        <v>4.9641452494943077E-3</v>
      </c>
      <c r="X53">
        <f t="shared" si="1"/>
        <v>0.11309748949814954</v>
      </c>
      <c r="Y53">
        <f t="shared" si="2"/>
        <v>-0.10813334424865524</v>
      </c>
      <c r="Z53">
        <f t="shared" si="3"/>
        <v>0.10442117958827564</v>
      </c>
      <c r="AA53">
        <f t="shared" si="4"/>
        <v>-0.3127950954648645</v>
      </c>
      <c r="AB53">
        <f t="shared" si="5"/>
        <v>9.6528406967554006E-2</v>
      </c>
      <c r="AD53">
        <f t="shared" si="8"/>
        <v>50</v>
      </c>
      <c r="AE53">
        <f t="shared" si="9"/>
        <v>4.9281813168560298</v>
      </c>
    </row>
    <row r="54" spans="1:31">
      <c r="A54">
        <f t="shared" si="6"/>
        <v>2051</v>
      </c>
      <c r="B54">
        <v>4.8222732692905304</v>
      </c>
      <c r="D54">
        <f t="shared" si="7"/>
        <v>51</v>
      </c>
      <c r="E54">
        <f t="shared" si="0"/>
        <v>4.9641452494951959E-3</v>
      </c>
      <c r="F54">
        <f t="shared" si="10"/>
        <v>0.11333813503630039</v>
      </c>
      <c r="V54">
        <f t="shared" si="1"/>
        <v>51</v>
      </c>
      <c r="W54">
        <f t="shared" si="1"/>
        <v>4.9641452494951959E-3</v>
      </c>
      <c r="X54">
        <f t="shared" si="1"/>
        <v>0.11333813503630039</v>
      </c>
      <c r="Y54">
        <f t="shared" si="2"/>
        <v>-0.10837398978680519</v>
      </c>
      <c r="Z54">
        <f t="shared" si="3"/>
        <v>0.10442117958827564</v>
      </c>
      <c r="AA54">
        <f t="shared" si="4"/>
        <v>-0.31303574100301446</v>
      </c>
      <c r="AB54">
        <f t="shared" si="5"/>
        <v>9.6287761429404053E-2</v>
      </c>
      <c r="AD54">
        <f t="shared" si="8"/>
        <v>51</v>
      </c>
      <c r="AE54">
        <f t="shared" si="9"/>
        <v>4.8222732692905304</v>
      </c>
    </row>
    <row r="55" spans="1:31">
      <c r="A55">
        <f t="shared" si="6"/>
        <v>2052</v>
      </c>
      <c r="B55">
        <v>4.71636522172503</v>
      </c>
      <c r="D55">
        <f t="shared" si="7"/>
        <v>52</v>
      </c>
      <c r="E55">
        <f t="shared" si="0"/>
        <v>4.9641452494960841E-3</v>
      </c>
      <c r="F55">
        <f t="shared" si="10"/>
        <v>0.11356168144637804</v>
      </c>
      <c r="V55">
        <f t="shared" si="1"/>
        <v>52</v>
      </c>
      <c r="W55">
        <f t="shared" si="1"/>
        <v>4.9641452494960841E-3</v>
      </c>
      <c r="X55">
        <f t="shared" si="1"/>
        <v>0.11356168144637804</v>
      </c>
      <c r="Y55">
        <f t="shared" si="2"/>
        <v>-0.10859753619688196</v>
      </c>
      <c r="Z55">
        <f t="shared" si="3"/>
        <v>0.10442117958827564</v>
      </c>
      <c r="AA55">
        <f t="shared" si="4"/>
        <v>-0.31325928741309123</v>
      </c>
      <c r="AB55">
        <f t="shared" si="5"/>
        <v>9.6064215019327284E-2</v>
      </c>
      <c r="AD55">
        <f t="shared" si="8"/>
        <v>52</v>
      </c>
      <c r="AE55">
        <f t="shared" si="9"/>
        <v>4.71636522172503</v>
      </c>
    </row>
    <row r="56" spans="1:31">
      <c r="A56">
        <f t="shared" si="6"/>
        <v>2053</v>
      </c>
      <c r="B56">
        <v>4.6104571741595297</v>
      </c>
      <c r="D56">
        <f t="shared" si="7"/>
        <v>53</v>
      </c>
      <c r="E56">
        <f t="shared" si="0"/>
        <v>4.9641452494943077E-3</v>
      </c>
      <c r="F56">
        <f t="shared" si="10"/>
        <v>0.11376934371114339</v>
      </c>
      <c r="V56">
        <f t="shared" si="1"/>
        <v>53</v>
      </c>
      <c r="W56">
        <f t="shared" si="1"/>
        <v>4.9641452494943077E-3</v>
      </c>
      <c r="X56">
        <f t="shared" si="1"/>
        <v>0.11376934371114339</v>
      </c>
      <c r="Y56">
        <f t="shared" si="2"/>
        <v>-0.10880519846164909</v>
      </c>
      <c r="Z56">
        <f t="shared" si="3"/>
        <v>0.10442117958827564</v>
      </c>
      <c r="AA56">
        <f t="shared" si="4"/>
        <v>-0.31346694967785832</v>
      </c>
      <c r="AB56">
        <f t="shared" si="5"/>
        <v>9.5856552754560162E-2</v>
      </c>
      <c r="AD56">
        <f t="shared" si="8"/>
        <v>53</v>
      </c>
      <c r="AE56">
        <f t="shared" si="9"/>
        <v>4.6104571741595297</v>
      </c>
    </row>
    <row r="57" spans="1:31">
      <c r="A57">
        <f t="shared" si="6"/>
        <v>2054</v>
      </c>
      <c r="B57">
        <v>4.5045491265940303</v>
      </c>
      <c r="D57">
        <f t="shared" si="7"/>
        <v>54</v>
      </c>
      <c r="E57">
        <f t="shared" si="0"/>
        <v>4.9641452494951959E-3</v>
      </c>
      <c r="F57">
        <f t="shared" si="10"/>
        <v>0.11396225048246109</v>
      </c>
      <c r="V57">
        <f t="shared" si="1"/>
        <v>54</v>
      </c>
      <c r="W57">
        <f t="shared" si="1"/>
        <v>4.9641452494951959E-3</v>
      </c>
      <c r="X57">
        <f t="shared" si="1"/>
        <v>0.11396225048246109</v>
      </c>
      <c r="Y57">
        <f t="shared" si="2"/>
        <v>-0.10899810523296589</v>
      </c>
      <c r="Z57">
        <f t="shared" si="3"/>
        <v>0.10442117958827564</v>
      </c>
      <c r="AA57">
        <f t="shared" si="4"/>
        <v>-0.31365985644917516</v>
      </c>
      <c r="AB57">
        <f t="shared" si="5"/>
        <v>9.5663645983243353E-2</v>
      </c>
      <c r="AD57">
        <f t="shared" si="8"/>
        <v>54</v>
      </c>
      <c r="AE57">
        <f t="shared" si="9"/>
        <v>4.5045491265940303</v>
      </c>
    </row>
    <row r="58" spans="1:31">
      <c r="A58">
        <f t="shared" si="6"/>
        <v>2055</v>
      </c>
      <c r="B58">
        <v>4.39864107902853</v>
      </c>
      <c r="D58">
        <f t="shared" si="7"/>
        <v>55</v>
      </c>
      <c r="E58">
        <f t="shared" si="0"/>
        <v>4.9641452494960841E-3</v>
      </c>
      <c r="F58">
        <f t="shared" si="10"/>
        <v>0.11414145021555884</v>
      </c>
      <c r="V58">
        <f t="shared" si="1"/>
        <v>55</v>
      </c>
      <c r="W58">
        <f t="shared" si="1"/>
        <v>4.9641452494960841E-3</v>
      </c>
      <c r="X58">
        <f t="shared" si="1"/>
        <v>0.11414145021555884</v>
      </c>
      <c r="Y58">
        <f t="shared" si="2"/>
        <v>-0.10917730496606276</v>
      </c>
      <c r="Z58">
        <f t="shared" si="3"/>
        <v>0.10442117958827564</v>
      </c>
      <c r="AA58">
        <f t="shared" si="4"/>
        <v>-0.31383905618227204</v>
      </c>
      <c r="AB58">
        <f t="shared" si="5"/>
        <v>9.5484446250146487E-2</v>
      </c>
      <c r="AD58">
        <f t="shared" si="8"/>
        <v>55</v>
      </c>
      <c r="AE58">
        <f t="shared" si="9"/>
        <v>4.39864107902853</v>
      </c>
    </row>
    <row r="59" spans="1:31">
      <c r="A59">
        <f t="shared" si="6"/>
        <v>2056</v>
      </c>
      <c r="B59">
        <v>4.2927330314630296</v>
      </c>
      <c r="D59">
        <f t="shared" si="7"/>
        <v>56</v>
      </c>
      <c r="E59">
        <f t="shared" si="0"/>
        <v>4.9641452494943077E-3</v>
      </c>
      <c r="F59">
        <f t="shared" si="10"/>
        <v>0.11430791686741626</v>
      </c>
      <c r="V59">
        <f t="shared" si="1"/>
        <v>56</v>
      </c>
      <c r="W59">
        <f t="shared" si="1"/>
        <v>4.9641452494943077E-3</v>
      </c>
      <c r="X59">
        <f t="shared" si="1"/>
        <v>0.11430791686741626</v>
      </c>
      <c r="Y59">
        <f t="shared" si="2"/>
        <v>-0.10934377161792196</v>
      </c>
      <c r="Z59">
        <f t="shared" si="3"/>
        <v>0.10442117958827564</v>
      </c>
      <c r="AA59">
        <f t="shared" si="4"/>
        <v>-0.31400552283413119</v>
      </c>
      <c r="AB59">
        <f t="shared" si="5"/>
        <v>9.5317979598287292E-2</v>
      </c>
      <c r="AD59">
        <f t="shared" si="8"/>
        <v>56</v>
      </c>
      <c r="AE59">
        <f t="shared" si="9"/>
        <v>4.2927330314630296</v>
      </c>
    </row>
    <row r="60" spans="1:31">
      <c r="A60">
        <f t="shared" si="6"/>
        <v>2057</v>
      </c>
      <c r="B60">
        <v>4.1868249838975302</v>
      </c>
      <c r="D60">
        <f t="shared" si="7"/>
        <v>57</v>
      </c>
      <c r="E60">
        <f t="shared" si="0"/>
        <v>4.9641452494951959E-3</v>
      </c>
      <c r="F60">
        <f t="shared" si="10"/>
        <v>0.11446255519026308</v>
      </c>
      <c r="V60">
        <f t="shared" si="1"/>
        <v>57</v>
      </c>
      <c r="W60">
        <f t="shared" si="1"/>
        <v>4.9641452494951959E-3</v>
      </c>
      <c r="X60">
        <f t="shared" si="1"/>
        <v>0.11446255519026308</v>
      </c>
      <c r="Y60">
        <f t="shared" si="2"/>
        <v>-0.10949840994076789</v>
      </c>
      <c r="Z60">
        <f t="shared" si="3"/>
        <v>0.10442117958827564</v>
      </c>
      <c r="AA60">
        <f t="shared" si="4"/>
        <v>-0.31416016115697715</v>
      </c>
      <c r="AB60">
        <f t="shared" si="5"/>
        <v>9.5163341275441363E-2</v>
      </c>
      <c r="AD60">
        <f t="shared" si="8"/>
        <v>57</v>
      </c>
      <c r="AE60">
        <f t="shared" si="9"/>
        <v>4.1868249838975302</v>
      </c>
    </row>
    <row r="61" spans="1:31">
      <c r="A61">
        <f t="shared" si="6"/>
        <v>2058</v>
      </c>
      <c r="B61">
        <v>4.0809169363320299</v>
      </c>
      <c r="D61">
        <f t="shared" si="7"/>
        <v>58</v>
      </c>
      <c r="E61">
        <f t="shared" si="0"/>
        <v>4.9641452494951959E-3</v>
      </c>
      <c r="F61">
        <f t="shared" si="10"/>
        <v>0.11460620564893498</v>
      </c>
      <c r="V61">
        <f t="shared" si="1"/>
        <v>58</v>
      </c>
      <c r="W61">
        <f t="shared" si="1"/>
        <v>4.9641452494951959E-3</v>
      </c>
      <c r="X61">
        <f t="shared" si="1"/>
        <v>0.11460620564893498</v>
      </c>
      <c r="Y61">
        <f t="shared" si="2"/>
        <v>-0.10964206039943979</v>
      </c>
      <c r="Z61">
        <f t="shared" si="3"/>
        <v>0.10442117958827564</v>
      </c>
      <c r="AA61">
        <f t="shared" si="4"/>
        <v>-0.31430381161564902</v>
      </c>
      <c r="AB61">
        <f t="shared" si="5"/>
        <v>9.5019690816769461E-2</v>
      </c>
      <c r="AD61">
        <f t="shared" si="8"/>
        <v>58</v>
      </c>
      <c r="AE61">
        <f t="shared" si="9"/>
        <v>4.0809169363320299</v>
      </c>
    </row>
    <row r="62" spans="1:31">
      <c r="A62">
        <f t="shared" si="6"/>
        <v>2059</v>
      </c>
      <c r="B62">
        <v>3.97500888876653</v>
      </c>
      <c r="D62">
        <f t="shared" si="7"/>
        <v>59</v>
      </c>
      <c r="E62">
        <f t="shared" si="0"/>
        <v>4.9641452494947518E-3</v>
      </c>
      <c r="F62">
        <f t="shared" si="10"/>
        <v>0.11473964898883081</v>
      </c>
      <c r="V62">
        <f t="shared" si="1"/>
        <v>59</v>
      </c>
      <c r="W62">
        <f t="shared" si="1"/>
        <v>4.9641452494947518E-3</v>
      </c>
      <c r="X62">
        <f t="shared" si="1"/>
        <v>0.11473964898883081</v>
      </c>
      <c r="Y62">
        <f t="shared" si="2"/>
        <v>-0.10977550373933606</v>
      </c>
      <c r="Z62">
        <f t="shared" si="3"/>
        <v>0.10442117958827564</v>
      </c>
      <c r="AA62">
        <f t="shared" si="4"/>
        <v>-0.31443725495554531</v>
      </c>
      <c r="AB62">
        <f t="shared" si="5"/>
        <v>9.4886247476873187E-2</v>
      </c>
      <c r="AD62">
        <f t="shared" si="8"/>
        <v>59</v>
      </c>
      <c r="AE62">
        <f t="shared" si="9"/>
        <v>3.97500888876653</v>
      </c>
    </row>
    <row r="63" spans="1:31">
      <c r="A63">
        <f t="shared" si="6"/>
        <v>2060</v>
      </c>
      <c r="B63">
        <v>3.8691008412010301</v>
      </c>
      <c r="D63">
        <f t="shared" si="7"/>
        <v>60</v>
      </c>
      <c r="E63">
        <f t="shared" si="0"/>
        <v>4.96414524949564E-3</v>
      </c>
      <c r="F63">
        <f t="shared" si="10"/>
        <v>0.11486361047929403</v>
      </c>
      <c r="V63">
        <f t="shared" si="1"/>
        <v>60</v>
      </c>
      <c r="W63">
        <f t="shared" si="1"/>
        <v>4.96414524949564E-3</v>
      </c>
      <c r="X63">
        <f t="shared" si="1"/>
        <v>0.11486361047929403</v>
      </c>
      <c r="Y63">
        <f t="shared" si="2"/>
        <v>-0.10989946522979839</v>
      </c>
      <c r="Z63">
        <f t="shared" si="3"/>
        <v>0.10442117958827564</v>
      </c>
      <c r="AA63">
        <f t="shared" si="4"/>
        <v>-0.31456121644600765</v>
      </c>
      <c r="AB63">
        <f t="shared" si="5"/>
        <v>9.4762285986410857E-2</v>
      </c>
      <c r="AD63">
        <f t="shared" si="8"/>
        <v>60</v>
      </c>
      <c r="AE63">
        <f t="shared" si="9"/>
        <v>3.8691008412010301</v>
      </c>
    </row>
    <row r="64" spans="1:31">
      <c r="A64">
        <f t="shared" si="6"/>
        <v>2061</v>
      </c>
      <c r="B64">
        <v>3.7631927936355298</v>
      </c>
      <c r="D64">
        <f t="shared" si="7"/>
        <v>61</v>
      </c>
      <c r="E64">
        <f t="shared" si="0"/>
        <v>4.9641452495049658E-3</v>
      </c>
      <c r="F64">
        <f t="shared" si="10"/>
        <v>0.11497876385548404</v>
      </c>
      <c r="V64">
        <f t="shared" si="1"/>
        <v>61</v>
      </c>
      <c r="W64">
        <f t="shared" si="1"/>
        <v>4.9641452495049658E-3</v>
      </c>
      <c r="X64">
        <f t="shared" si="1"/>
        <v>0.11497876385548404</v>
      </c>
      <c r="Y64">
        <f t="shared" si="2"/>
        <v>-0.11001461860597908</v>
      </c>
      <c r="Z64">
        <f t="shared" si="3"/>
        <v>0.10442117958827564</v>
      </c>
      <c r="AA64">
        <f t="shared" si="4"/>
        <v>-0.31467636982218833</v>
      </c>
      <c r="AB64">
        <f t="shared" si="5"/>
        <v>9.4647132610230167E-2</v>
      </c>
      <c r="AD64">
        <f t="shared" si="8"/>
        <v>61</v>
      </c>
      <c r="AE64">
        <f t="shared" si="9"/>
        <v>3.7631927936355298</v>
      </c>
    </row>
    <row r="65" spans="1:31">
      <c r="A65">
        <f t="shared" si="6"/>
        <v>2062</v>
      </c>
      <c r="B65">
        <v>3.65728474607003</v>
      </c>
      <c r="D65">
        <f t="shared" si="7"/>
        <v>62</v>
      </c>
      <c r="E65">
        <f t="shared" si="0"/>
        <v>4.9641452494854259E-3</v>
      </c>
      <c r="F65">
        <f t="shared" si="10"/>
        <v>0.11508573498010898</v>
      </c>
      <c r="V65">
        <f t="shared" si="1"/>
        <v>62</v>
      </c>
      <c r="W65">
        <f t="shared" si="1"/>
        <v>4.9641452494854259E-3</v>
      </c>
      <c r="X65">
        <f t="shared" si="1"/>
        <v>0.11508573498010898</v>
      </c>
      <c r="Y65">
        <f t="shared" si="2"/>
        <v>-0.11012158973062355</v>
      </c>
      <c r="Z65">
        <f t="shared" si="3"/>
        <v>0.10442117958827564</v>
      </c>
      <c r="AA65">
        <f t="shared" si="4"/>
        <v>-0.3147833409468328</v>
      </c>
      <c r="AB65">
        <f t="shared" si="5"/>
        <v>9.4540161485585694E-2</v>
      </c>
      <c r="AD65">
        <f t="shared" si="8"/>
        <v>62</v>
      </c>
      <c r="AE65">
        <f t="shared" si="9"/>
        <v>3.65728474607003</v>
      </c>
    </row>
    <row r="66" spans="1:31">
      <c r="A66">
        <f t="shared" si="6"/>
        <v>2063</v>
      </c>
      <c r="B66">
        <v>3.5513766985045399</v>
      </c>
      <c r="D66">
        <f t="shared" si="7"/>
        <v>63</v>
      </c>
      <c r="E66">
        <f t="shared" si="0"/>
        <v>4.9641452494951959E-3</v>
      </c>
      <c r="F66">
        <f t="shared" si="10"/>
        <v>0.11518510524508772</v>
      </c>
      <c r="V66">
        <f t="shared" si="1"/>
        <v>63</v>
      </c>
      <c r="W66">
        <f t="shared" si="1"/>
        <v>4.9641452494951959E-3</v>
      </c>
      <c r="X66">
        <f t="shared" si="1"/>
        <v>0.11518510524508772</v>
      </c>
      <c r="Y66">
        <f t="shared" si="2"/>
        <v>-0.11022095999559253</v>
      </c>
      <c r="Z66">
        <f t="shared" si="3"/>
        <v>0.10442117958827564</v>
      </c>
      <c r="AA66">
        <f t="shared" si="4"/>
        <v>-0.31488271121180178</v>
      </c>
      <c r="AB66">
        <f t="shared" si="5"/>
        <v>9.4440791220616715E-2</v>
      </c>
      <c r="AD66">
        <f t="shared" si="8"/>
        <v>63</v>
      </c>
      <c r="AE66">
        <f t="shared" si="9"/>
        <v>3.5513766985045399</v>
      </c>
    </row>
    <row r="67" spans="1:31">
      <c r="A67">
        <f t="shared" si="6"/>
        <v>2064</v>
      </c>
      <c r="B67">
        <v>3.44546865093904</v>
      </c>
      <c r="D67">
        <f t="shared" si="7"/>
        <v>64</v>
      </c>
      <c r="E67">
        <f t="shared" si="0"/>
        <v>4.9641452494947518E-3</v>
      </c>
      <c r="F67">
        <f t="shared" si="10"/>
        <v>0.11527741473137809</v>
      </c>
      <c r="V67">
        <f t="shared" si="1"/>
        <v>64</v>
      </c>
      <c r="W67">
        <f t="shared" si="1"/>
        <v>4.9641452494947518E-3</v>
      </c>
      <c r="X67">
        <f t="shared" si="1"/>
        <v>0.11527741473137809</v>
      </c>
      <c r="Y67">
        <f t="shared" si="2"/>
        <v>-0.11031326948188334</v>
      </c>
      <c r="Z67">
        <f t="shared" si="3"/>
        <v>0.10442117958827564</v>
      </c>
      <c r="AA67">
        <f t="shared" si="4"/>
        <v>-0.31497502069809258</v>
      </c>
      <c r="AB67">
        <f t="shared" si="5"/>
        <v>9.4348481734325904E-2</v>
      </c>
      <c r="AD67">
        <f t="shared" si="8"/>
        <v>64</v>
      </c>
      <c r="AE67">
        <f t="shared" si="9"/>
        <v>3.44546865093904</v>
      </c>
    </row>
    <row r="68" spans="1:31">
      <c r="A68">
        <f t="shared" si="6"/>
        <v>2065</v>
      </c>
      <c r="B68">
        <v>3.3395606033735401</v>
      </c>
      <c r="D68">
        <f t="shared" si="7"/>
        <v>65</v>
      </c>
      <c r="E68">
        <f t="shared" si="0"/>
        <v>4.96414524949564E-3</v>
      </c>
      <c r="F68">
        <f t="shared" si="10"/>
        <v>0.11536316514435187</v>
      </c>
      <c r="V68">
        <f t="shared" si="1"/>
        <v>65</v>
      </c>
      <c r="W68">
        <f t="shared" si="1"/>
        <v>4.96414524949564E-3</v>
      </c>
      <c r="X68">
        <f t="shared" si="1"/>
        <v>0.11536316514435187</v>
      </c>
      <c r="Y68">
        <f t="shared" si="2"/>
        <v>-0.11039901989485623</v>
      </c>
      <c r="Z68">
        <f t="shared" si="3"/>
        <v>0.10442117958827564</v>
      </c>
      <c r="AA68">
        <f t="shared" si="4"/>
        <v>-0.31506077111106545</v>
      </c>
      <c r="AB68">
        <f t="shared" si="5"/>
        <v>9.4262731321353016E-2</v>
      </c>
      <c r="AD68">
        <f t="shared" si="8"/>
        <v>65</v>
      </c>
      <c r="AE68">
        <f t="shared" si="9"/>
        <v>3.3395606033735401</v>
      </c>
    </row>
    <row r="69" spans="1:31">
      <c r="A69">
        <f t="shared" ref="A69:A108" si="11">A68+1</f>
        <v>2066</v>
      </c>
      <c r="B69">
        <v>3.2336525558080398</v>
      </c>
      <c r="D69">
        <f t="shared" si="7"/>
        <v>66</v>
      </c>
      <c r="E69">
        <f t="shared" ref="E69:E106" si="12">B71-2*B70+B69-J$6</f>
        <v>4.9641452494951959E-3</v>
      </c>
      <c r="F69">
        <f t="shared" si="10"/>
        <v>0.11544282254057935</v>
      </c>
      <c r="V69">
        <f t="shared" ref="V69:X106" si="13">D69</f>
        <v>66</v>
      </c>
      <c r="W69">
        <f t="shared" si="13"/>
        <v>4.9641452494951959E-3</v>
      </c>
      <c r="X69">
        <f t="shared" si="13"/>
        <v>0.11544282254057935</v>
      </c>
      <c r="Y69">
        <f t="shared" ref="Y69:Y106" si="14">W69-X69</f>
        <v>-0.11047867729108415</v>
      </c>
      <c r="Z69">
        <f t="shared" ref="Z69:Z106" si="15">J$15</f>
        <v>0.10442117958827564</v>
      </c>
      <c r="AA69">
        <f t="shared" ref="AA69:AA106" si="16">Y69-NORMSINV(1-Z$2/2)*Z69</f>
        <v>-0.3151404285072934</v>
      </c>
      <c r="AB69">
        <f t="shared" ref="AB69:AB106" si="17">Y69+NORMSINV(1-Z$2/2)*Z69</f>
        <v>9.4183073925125094E-2</v>
      </c>
      <c r="AD69">
        <f t="shared" si="8"/>
        <v>66</v>
      </c>
      <c r="AE69">
        <f t="shared" si="9"/>
        <v>3.2336525558080398</v>
      </c>
    </row>
    <row r="70" spans="1:31">
      <c r="A70">
        <f t="shared" si="11"/>
        <v>2067</v>
      </c>
      <c r="B70">
        <v>3.1277445082425399</v>
      </c>
      <c r="D70">
        <f t="shared" ref="D70:D106" si="18">D69+1</f>
        <v>67</v>
      </c>
      <c r="E70">
        <f t="shared" si="12"/>
        <v>4.9641452494951959E-3</v>
      </c>
      <c r="F70">
        <f t="shared" si="10"/>
        <v>0.1155168198608684</v>
      </c>
      <c r="V70">
        <f t="shared" si="13"/>
        <v>67</v>
      </c>
      <c r="W70">
        <f t="shared" si="13"/>
        <v>4.9641452494951959E-3</v>
      </c>
      <c r="X70">
        <f t="shared" si="13"/>
        <v>0.1155168198608684</v>
      </c>
      <c r="Y70">
        <f t="shared" si="14"/>
        <v>-0.11055267461137321</v>
      </c>
      <c r="Z70">
        <f t="shared" si="15"/>
        <v>0.10442117958827564</v>
      </c>
      <c r="AA70">
        <f t="shared" si="16"/>
        <v>-0.31521442582758247</v>
      </c>
      <c r="AB70">
        <f t="shared" si="17"/>
        <v>9.4109076604836042E-2</v>
      </c>
      <c r="AD70">
        <f t="shared" ref="AD70:AD113" si="19">AD69+1</f>
        <v>67</v>
      </c>
      <c r="AE70">
        <f t="shared" ref="AE70:AE108" si="20">B70</f>
        <v>3.1277445082425399</v>
      </c>
    </row>
    <row r="71" spans="1:31">
      <c r="A71">
        <f t="shared" si="11"/>
        <v>2068</v>
      </c>
      <c r="B71">
        <v>3.02183646067704</v>
      </c>
      <c r="D71">
        <f t="shared" si="18"/>
        <v>68</v>
      </c>
      <c r="E71">
        <f t="shared" si="12"/>
        <v>4.9641452494947518E-3</v>
      </c>
      <c r="F71">
        <f t="shared" ref="F71:F106" si="21">E71-SUMPRODUCT(E69:E70,I$4:I$5)-SUMPRODUCT(F70,J$5)</f>
        <v>0.11558555928331059</v>
      </c>
      <c r="V71">
        <f t="shared" si="13"/>
        <v>68</v>
      </c>
      <c r="W71">
        <f t="shared" si="13"/>
        <v>4.9641452494947518E-3</v>
      </c>
      <c r="X71">
        <f t="shared" si="13"/>
        <v>0.11558555928331059</v>
      </c>
      <c r="Y71">
        <f t="shared" si="14"/>
        <v>-0.11062141403381584</v>
      </c>
      <c r="Z71">
        <f t="shared" si="15"/>
        <v>0.10442117958827564</v>
      </c>
      <c r="AA71">
        <f t="shared" si="16"/>
        <v>-0.31528316525002509</v>
      </c>
      <c r="AB71">
        <f t="shared" si="17"/>
        <v>9.4040337182393408E-2</v>
      </c>
      <c r="AD71">
        <f t="shared" si="19"/>
        <v>68</v>
      </c>
      <c r="AE71">
        <f t="shared" si="20"/>
        <v>3.02183646067704</v>
      </c>
    </row>
    <row r="72" spans="1:31">
      <c r="A72">
        <f t="shared" si="11"/>
        <v>2069</v>
      </c>
      <c r="B72">
        <v>2.9159284131115402</v>
      </c>
      <c r="D72">
        <f t="shared" si="18"/>
        <v>69</v>
      </c>
      <c r="E72">
        <f t="shared" si="12"/>
        <v>4.96414524949564E-3</v>
      </c>
      <c r="F72">
        <f t="shared" si="21"/>
        <v>0.11564941440913559</v>
      </c>
      <c r="V72">
        <f t="shared" si="13"/>
        <v>69</v>
      </c>
      <c r="W72">
        <f t="shared" si="13"/>
        <v>4.96414524949564E-3</v>
      </c>
      <c r="X72">
        <f t="shared" si="13"/>
        <v>0.11564941440913559</v>
      </c>
      <c r="Y72">
        <f t="shared" si="14"/>
        <v>-0.11068526915963996</v>
      </c>
      <c r="Z72">
        <f t="shared" si="15"/>
        <v>0.10442117958827564</v>
      </c>
      <c r="AA72">
        <f t="shared" si="16"/>
        <v>-0.31534702037584922</v>
      </c>
      <c r="AB72">
        <f t="shared" si="17"/>
        <v>9.3976482056569291E-2</v>
      </c>
      <c r="AD72">
        <f t="shared" si="19"/>
        <v>69</v>
      </c>
      <c r="AE72">
        <f t="shared" si="20"/>
        <v>2.9159284131115402</v>
      </c>
    </row>
    <row r="73" spans="1:31">
      <c r="A73">
        <f t="shared" si="11"/>
        <v>2070</v>
      </c>
      <c r="B73">
        <v>2.8100203655460398</v>
      </c>
      <c r="D73">
        <f t="shared" si="18"/>
        <v>70</v>
      </c>
      <c r="E73">
        <f t="shared" si="12"/>
        <v>4.9641452494951959E-3</v>
      </c>
      <c r="F73">
        <f t="shared" si="21"/>
        <v>0.11570873229324366</v>
      </c>
      <c r="V73">
        <f t="shared" si="13"/>
        <v>70</v>
      </c>
      <c r="W73">
        <f t="shared" si="13"/>
        <v>4.9641452494951959E-3</v>
      </c>
      <c r="X73">
        <f t="shared" si="13"/>
        <v>0.11570873229324366</v>
      </c>
      <c r="Y73">
        <f t="shared" si="14"/>
        <v>-0.11074458704374847</v>
      </c>
      <c r="Z73">
        <f t="shared" si="15"/>
        <v>0.10442117958827564</v>
      </c>
      <c r="AA73">
        <f t="shared" si="16"/>
        <v>-0.31540633825995773</v>
      </c>
      <c r="AB73">
        <f t="shared" si="17"/>
        <v>9.3917164172460779E-2</v>
      </c>
      <c r="AD73">
        <f t="shared" si="19"/>
        <v>70</v>
      </c>
      <c r="AE73">
        <f t="shared" si="20"/>
        <v>2.8100203655460398</v>
      </c>
    </row>
    <row r="74" spans="1:31">
      <c r="A74">
        <f t="shared" si="11"/>
        <v>2071</v>
      </c>
      <c r="B74">
        <v>2.70411231798054</v>
      </c>
      <c r="D74">
        <f t="shared" si="18"/>
        <v>71</v>
      </c>
      <c r="E74">
        <f t="shared" si="12"/>
        <v>4.9641452494951959E-3</v>
      </c>
      <c r="F74">
        <f t="shared" si="21"/>
        <v>0.11576383533046417</v>
      </c>
      <c r="V74">
        <f t="shared" si="13"/>
        <v>71</v>
      </c>
      <c r="W74">
        <f t="shared" si="13"/>
        <v>4.9641452494951959E-3</v>
      </c>
      <c r="X74">
        <f t="shared" si="13"/>
        <v>0.11576383533046417</v>
      </c>
      <c r="Y74">
        <f t="shared" si="14"/>
        <v>-0.11079969008096897</v>
      </c>
      <c r="Z74">
        <f t="shared" si="15"/>
        <v>0.10442117958827564</v>
      </c>
      <c r="AA74">
        <f t="shared" si="16"/>
        <v>-0.31546144129717824</v>
      </c>
      <c r="AB74">
        <f t="shared" si="17"/>
        <v>9.3862061135240274E-2</v>
      </c>
      <c r="AD74">
        <f t="shared" si="19"/>
        <v>71</v>
      </c>
      <c r="AE74">
        <f t="shared" si="20"/>
        <v>2.70411231798054</v>
      </c>
    </row>
    <row r="75" spans="1:31">
      <c r="A75">
        <f t="shared" si="11"/>
        <v>2072</v>
      </c>
      <c r="B75">
        <v>2.5982042704150401</v>
      </c>
      <c r="D75">
        <f t="shared" si="18"/>
        <v>72</v>
      </c>
      <c r="E75">
        <f t="shared" si="12"/>
        <v>4.9641452494947518E-3</v>
      </c>
      <c r="F75">
        <f t="shared" si="21"/>
        <v>0.11581502300778197</v>
      </c>
      <c r="V75">
        <f t="shared" si="13"/>
        <v>72</v>
      </c>
      <c r="W75">
        <f t="shared" si="13"/>
        <v>4.9641452494947518E-3</v>
      </c>
      <c r="X75">
        <f t="shared" si="13"/>
        <v>0.11581502300778197</v>
      </c>
      <c r="Y75">
        <f t="shared" si="14"/>
        <v>-0.11085087775828723</v>
      </c>
      <c r="Z75">
        <f t="shared" si="15"/>
        <v>0.10442117958827564</v>
      </c>
      <c r="AA75">
        <f t="shared" si="16"/>
        <v>-0.3155126289744965</v>
      </c>
      <c r="AB75">
        <f t="shared" si="17"/>
        <v>9.3810873457922023E-2</v>
      </c>
      <c r="AD75">
        <f t="shared" si="19"/>
        <v>72</v>
      </c>
      <c r="AE75">
        <f t="shared" si="20"/>
        <v>2.5982042704150401</v>
      </c>
    </row>
    <row r="76" spans="1:31">
      <c r="A76">
        <f t="shared" si="11"/>
        <v>2073</v>
      </c>
      <c r="B76">
        <v>2.4922962228495402</v>
      </c>
      <c r="D76">
        <f t="shared" si="18"/>
        <v>73</v>
      </c>
      <c r="E76">
        <f t="shared" si="12"/>
        <v>4.96414524949564E-3</v>
      </c>
      <c r="F76">
        <f t="shared" si="21"/>
        <v>0.11586257353206196</v>
      </c>
      <c r="V76">
        <f t="shared" si="13"/>
        <v>73</v>
      </c>
      <c r="W76">
        <f t="shared" si="13"/>
        <v>4.96414524949564E-3</v>
      </c>
      <c r="X76">
        <f t="shared" si="13"/>
        <v>0.11586257353206196</v>
      </c>
      <c r="Y76">
        <f t="shared" si="14"/>
        <v>-0.11089842828256632</v>
      </c>
      <c r="Z76">
        <f t="shared" si="15"/>
        <v>0.10442117958827564</v>
      </c>
      <c r="AA76">
        <f t="shared" si="16"/>
        <v>-0.31556017949877557</v>
      </c>
      <c r="AB76">
        <f t="shared" si="17"/>
        <v>9.3763322933642923E-2</v>
      </c>
      <c r="AD76">
        <f t="shared" si="19"/>
        <v>73</v>
      </c>
      <c r="AE76">
        <f t="shared" si="20"/>
        <v>2.4922962228495402</v>
      </c>
    </row>
    <row r="77" spans="1:31">
      <c r="A77">
        <f t="shared" si="11"/>
        <v>2074</v>
      </c>
      <c r="B77">
        <v>2.3863881752840399</v>
      </c>
      <c r="D77">
        <f t="shared" si="18"/>
        <v>74</v>
      </c>
      <c r="E77">
        <f t="shared" si="12"/>
        <v>4.9641452494951959E-3</v>
      </c>
      <c r="F77">
        <f t="shared" si="21"/>
        <v>0.11590674534210971</v>
      </c>
      <c r="V77">
        <f t="shared" si="13"/>
        <v>74</v>
      </c>
      <c r="W77">
        <f t="shared" si="13"/>
        <v>4.9641452494951959E-3</v>
      </c>
      <c r="X77">
        <f t="shared" si="13"/>
        <v>0.11590674534210971</v>
      </c>
      <c r="Y77">
        <f t="shared" si="14"/>
        <v>-0.11094260009261452</v>
      </c>
      <c r="Z77">
        <f t="shared" si="15"/>
        <v>0.10442117958827564</v>
      </c>
      <c r="AA77">
        <f t="shared" si="16"/>
        <v>-0.31560435130882375</v>
      </c>
      <c r="AB77">
        <f t="shared" si="17"/>
        <v>9.3719151123594732E-2</v>
      </c>
      <c r="AD77">
        <f t="shared" si="19"/>
        <v>74</v>
      </c>
      <c r="AE77">
        <f t="shared" si="20"/>
        <v>2.3863881752840399</v>
      </c>
    </row>
    <row r="78" spans="1:31">
      <c r="A78">
        <f t="shared" si="11"/>
        <v>2075</v>
      </c>
      <c r="B78">
        <v>2.28048012771854</v>
      </c>
      <c r="D78">
        <f t="shared" si="18"/>
        <v>75</v>
      </c>
      <c r="E78">
        <f t="shared" si="12"/>
        <v>4.9641452494947518E-3</v>
      </c>
      <c r="F78">
        <f t="shared" si="21"/>
        <v>0.11594777851329795</v>
      </c>
      <c r="V78">
        <f t="shared" si="13"/>
        <v>75</v>
      </c>
      <c r="W78">
        <f t="shared" si="13"/>
        <v>4.9641452494947518E-3</v>
      </c>
      <c r="X78">
        <f t="shared" si="13"/>
        <v>0.11594777851329795</v>
      </c>
      <c r="Y78">
        <f t="shared" si="14"/>
        <v>-0.1109836332638032</v>
      </c>
      <c r="Z78">
        <f t="shared" si="15"/>
        <v>0.10442117958827564</v>
      </c>
      <c r="AA78">
        <f t="shared" si="16"/>
        <v>-0.31564538448001245</v>
      </c>
      <c r="AB78">
        <f t="shared" si="17"/>
        <v>9.3678117952406048E-2</v>
      </c>
      <c r="AD78">
        <f t="shared" si="19"/>
        <v>75</v>
      </c>
      <c r="AE78">
        <f t="shared" si="20"/>
        <v>2.28048012771854</v>
      </c>
    </row>
    <row r="79" spans="1:31">
      <c r="A79">
        <f t="shared" si="11"/>
        <v>2076</v>
      </c>
      <c r="B79">
        <v>2.1745720801530402</v>
      </c>
      <c r="D79">
        <f t="shared" si="18"/>
        <v>76</v>
      </c>
      <c r="E79">
        <f t="shared" si="12"/>
        <v>4.96414524949564E-3</v>
      </c>
      <c r="F79">
        <f t="shared" si="21"/>
        <v>0.11598589606238618</v>
      </c>
      <c r="V79">
        <f t="shared" si="13"/>
        <v>76</v>
      </c>
      <c r="W79">
        <f t="shared" si="13"/>
        <v>4.96414524949564E-3</v>
      </c>
      <c r="X79">
        <f t="shared" si="13"/>
        <v>0.11598589606238618</v>
      </c>
      <c r="Y79">
        <f t="shared" si="14"/>
        <v>-0.11102175081289055</v>
      </c>
      <c r="Z79">
        <f t="shared" si="15"/>
        <v>0.10442117958827564</v>
      </c>
      <c r="AA79">
        <f t="shared" si="16"/>
        <v>-0.31568350202909978</v>
      </c>
      <c r="AB79">
        <f t="shared" si="17"/>
        <v>9.3640000403318699E-2</v>
      </c>
      <c r="AD79">
        <f t="shared" si="19"/>
        <v>76</v>
      </c>
      <c r="AE79">
        <f t="shared" si="20"/>
        <v>2.1745720801530402</v>
      </c>
    </row>
    <row r="80" spans="1:31">
      <c r="A80">
        <f t="shared" si="11"/>
        <v>2077</v>
      </c>
      <c r="B80">
        <v>2.0686640325875398</v>
      </c>
      <c r="D80">
        <f t="shared" si="18"/>
        <v>77</v>
      </c>
      <c r="E80">
        <f t="shared" si="12"/>
        <v>4.9641452494951959E-3</v>
      </c>
      <c r="F80">
        <f t="shared" si="21"/>
        <v>0.11602130515962131</v>
      </c>
      <c r="V80">
        <f t="shared" si="13"/>
        <v>77</v>
      </c>
      <c r="W80">
        <f t="shared" si="13"/>
        <v>4.9641452494951959E-3</v>
      </c>
      <c r="X80">
        <f t="shared" si="13"/>
        <v>0.11602130515962131</v>
      </c>
      <c r="Y80">
        <f t="shared" si="14"/>
        <v>-0.11105715991012612</v>
      </c>
      <c r="Z80">
        <f t="shared" si="15"/>
        <v>0.10442117958827564</v>
      </c>
      <c r="AA80">
        <f t="shared" si="16"/>
        <v>-0.31571891112633538</v>
      </c>
      <c r="AB80">
        <f t="shared" si="17"/>
        <v>9.3604591306083132E-2</v>
      </c>
      <c r="AD80">
        <f t="shared" si="19"/>
        <v>77</v>
      </c>
      <c r="AE80">
        <f t="shared" si="20"/>
        <v>2.0686640325875398</v>
      </c>
    </row>
    <row r="81" spans="1:31">
      <c r="A81">
        <f t="shared" si="11"/>
        <v>2078</v>
      </c>
      <c r="B81">
        <v>1.96275598502204</v>
      </c>
      <c r="D81">
        <f t="shared" si="18"/>
        <v>78</v>
      </c>
      <c r="E81">
        <f t="shared" si="12"/>
        <v>4.9641452495049658E-3</v>
      </c>
      <c r="F81">
        <f t="shared" si="21"/>
        <v>0.11605419825472756</v>
      </c>
      <c r="V81">
        <f t="shared" si="13"/>
        <v>78</v>
      </c>
      <c r="W81">
        <f t="shared" si="13"/>
        <v>4.9641452495049658E-3</v>
      </c>
      <c r="X81">
        <f t="shared" si="13"/>
        <v>0.11605419825472756</v>
      </c>
      <c r="Y81">
        <f t="shared" si="14"/>
        <v>-0.11109005300522259</v>
      </c>
      <c r="Z81">
        <f t="shared" si="15"/>
        <v>0.10442117958827564</v>
      </c>
      <c r="AA81">
        <f t="shared" si="16"/>
        <v>-0.31575180422143184</v>
      </c>
      <c r="AB81">
        <f t="shared" si="17"/>
        <v>9.3571698210986654E-2</v>
      </c>
      <c r="AD81">
        <f t="shared" si="19"/>
        <v>78</v>
      </c>
      <c r="AE81">
        <f t="shared" si="20"/>
        <v>1.96275598502204</v>
      </c>
    </row>
    <row r="82" spans="1:31">
      <c r="A82">
        <f t="shared" si="11"/>
        <v>2079</v>
      </c>
      <c r="B82">
        <v>1.8568479374565401</v>
      </c>
      <c r="D82">
        <f t="shared" si="18"/>
        <v>79</v>
      </c>
      <c r="E82">
        <f t="shared" si="12"/>
        <v>4.9641452494854259E-3</v>
      </c>
      <c r="F82">
        <f t="shared" si="21"/>
        <v>0.11608475412283262</v>
      </c>
      <c r="V82">
        <f t="shared" si="13"/>
        <v>79</v>
      </c>
      <c r="W82">
        <f t="shared" si="13"/>
        <v>4.9641452494854259E-3</v>
      </c>
      <c r="X82">
        <f t="shared" si="13"/>
        <v>0.11608475412283262</v>
      </c>
      <c r="Y82">
        <f t="shared" si="14"/>
        <v>-0.1111206088733472</v>
      </c>
      <c r="Z82">
        <f t="shared" si="15"/>
        <v>0.10442117958827564</v>
      </c>
      <c r="AA82">
        <f t="shared" si="16"/>
        <v>-0.31578236008955646</v>
      </c>
      <c r="AB82">
        <f t="shared" si="17"/>
        <v>9.3541142342862052E-2</v>
      </c>
      <c r="AD82">
        <f t="shared" si="19"/>
        <v>79</v>
      </c>
      <c r="AE82">
        <f t="shared" si="20"/>
        <v>1.8568479374565401</v>
      </c>
    </row>
    <row r="83" spans="1:31">
      <c r="A83">
        <f t="shared" si="11"/>
        <v>2080</v>
      </c>
      <c r="B83">
        <v>1.75093988989105</v>
      </c>
      <c r="D83">
        <f t="shared" si="18"/>
        <v>80</v>
      </c>
      <c r="E83">
        <f t="shared" si="12"/>
        <v>4.9641452494949738E-3</v>
      </c>
      <c r="F83">
        <f t="shared" si="21"/>
        <v>0.11611313883619302</v>
      </c>
      <c r="V83">
        <f t="shared" si="13"/>
        <v>80</v>
      </c>
      <c r="W83">
        <f t="shared" si="13"/>
        <v>4.9641452494949738E-3</v>
      </c>
      <c r="X83">
        <f t="shared" si="13"/>
        <v>0.11611313883619302</v>
      </c>
      <c r="Y83">
        <f t="shared" si="14"/>
        <v>-0.11114899358669805</v>
      </c>
      <c r="Z83">
        <f t="shared" si="15"/>
        <v>0.10442117958827564</v>
      </c>
      <c r="AA83">
        <f t="shared" si="16"/>
        <v>-0.31581074480290727</v>
      </c>
      <c r="AB83">
        <f t="shared" si="17"/>
        <v>9.3512757629511195E-2</v>
      </c>
      <c r="AD83">
        <f t="shared" si="19"/>
        <v>80</v>
      </c>
      <c r="AE83">
        <f t="shared" si="20"/>
        <v>1.75093988989105</v>
      </c>
    </row>
    <row r="84" spans="1:31">
      <c r="A84">
        <f t="shared" si="11"/>
        <v>2081</v>
      </c>
      <c r="B84">
        <v>1.6450318423255501</v>
      </c>
      <c r="D84">
        <f t="shared" si="18"/>
        <v>81</v>
      </c>
      <c r="E84">
        <f t="shared" si="12"/>
        <v>4.9641452494951959E-3</v>
      </c>
      <c r="F84">
        <f t="shared" si="21"/>
        <v>0.11613950666674609</v>
      </c>
      <c r="V84">
        <f t="shared" si="13"/>
        <v>81</v>
      </c>
      <c r="W84">
        <f t="shared" si="13"/>
        <v>4.9641452494951959E-3</v>
      </c>
      <c r="X84">
        <f t="shared" si="13"/>
        <v>0.11613950666674609</v>
      </c>
      <c r="Y84">
        <f t="shared" si="14"/>
        <v>-0.1111753614172509</v>
      </c>
      <c r="Z84">
        <f t="shared" si="15"/>
        <v>0.10442117958827564</v>
      </c>
      <c r="AA84">
        <f t="shared" si="16"/>
        <v>-0.31583711263346015</v>
      </c>
      <c r="AB84">
        <f t="shared" si="17"/>
        <v>9.3486389798958347E-2</v>
      </c>
      <c r="AD84">
        <f t="shared" si="19"/>
        <v>81</v>
      </c>
      <c r="AE84">
        <f t="shared" si="20"/>
        <v>1.6450318423255501</v>
      </c>
    </row>
    <row r="85" spans="1:31">
      <c r="A85">
        <f t="shared" si="11"/>
        <v>2082</v>
      </c>
      <c r="B85">
        <v>1.53912379476005</v>
      </c>
      <c r="D85">
        <f t="shared" si="18"/>
        <v>82</v>
      </c>
      <c r="E85">
        <f t="shared" si="12"/>
        <v>4.9641452494954179E-3</v>
      </c>
      <c r="F85">
        <f t="shared" si="21"/>
        <v>0.11616400092459672</v>
      </c>
      <c r="V85">
        <f t="shared" si="13"/>
        <v>82</v>
      </c>
      <c r="W85">
        <f t="shared" si="13"/>
        <v>4.9641452494954179E-3</v>
      </c>
      <c r="X85">
        <f t="shared" si="13"/>
        <v>0.11616400092459672</v>
      </c>
      <c r="Y85">
        <f t="shared" si="14"/>
        <v>-0.11119985567510131</v>
      </c>
      <c r="Z85">
        <f t="shared" si="15"/>
        <v>0.10442117958827564</v>
      </c>
      <c r="AA85">
        <f t="shared" si="16"/>
        <v>-0.31586160689131054</v>
      </c>
      <c r="AB85">
        <f t="shared" si="17"/>
        <v>9.3461895541107939E-2</v>
      </c>
      <c r="AD85">
        <f t="shared" si="19"/>
        <v>82</v>
      </c>
      <c r="AE85">
        <f t="shared" si="20"/>
        <v>1.53912379476005</v>
      </c>
    </row>
    <row r="86" spans="1:31">
      <c r="A86">
        <f t="shared" si="11"/>
        <v>2083</v>
      </c>
      <c r="B86">
        <v>1.4332157471945499</v>
      </c>
      <c r="D86">
        <f t="shared" si="18"/>
        <v>83</v>
      </c>
      <c r="E86">
        <f t="shared" si="12"/>
        <v>4.9641452494949738E-3</v>
      </c>
      <c r="F86">
        <f t="shared" si="21"/>
        <v>0.11618675473691339</v>
      </c>
      <c r="V86">
        <f t="shared" si="13"/>
        <v>83</v>
      </c>
      <c r="W86">
        <f t="shared" si="13"/>
        <v>4.9641452494949738E-3</v>
      </c>
      <c r="X86">
        <f t="shared" si="13"/>
        <v>0.11618675473691339</v>
      </c>
      <c r="Y86">
        <f t="shared" si="14"/>
        <v>-0.11122260948741843</v>
      </c>
      <c r="Z86">
        <f t="shared" si="15"/>
        <v>0.10442117958827564</v>
      </c>
      <c r="AA86">
        <f t="shared" si="16"/>
        <v>-0.31588436070362769</v>
      </c>
      <c r="AB86">
        <f t="shared" si="17"/>
        <v>9.3439141728790823E-2</v>
      </c>
      <c r="AD86">
        <f t="shared" si="19"/>
        <v>83</v>
      </c>
      <c r="AE86">
        <f t="shared" si="20"/>
        <v>1.4332157471945499</v>
      </c>
    </row>
    <row r="87" spans="1:31">
      <c r="A87">
        <f t="shared" si="11"/>
        <v>2084</v>
      </c>
      <c r="B87">
        <v>1.32730769962905</v>
      </c>
      <c r="D87">
        <f t="shared" si="18"/>
        <v>84</v>
      </c>
      <c r="E87">
        <f t="shared" si="12"/>
        <v>4.9641452494954179E-3</v>
      </c>
      <c r="F87">
        <f t="shared" si="21"/>
        <v>0.11620789177148337</v>
      </c>
      <c r="V87">
        <f t="shared" si="13"/>
        <v>84</v>
      </c>
      <c r="W87">
        <f t="shared" si="13"/>
        <v>4.9641452494954179E-3</v>
      </c>
      <c r="X87">
        <f t="shared" si="13"/>
        <v>0.11620789177148337</v>
      </c>
      <c r="Y87">
        <f t="shared" si="14"/>
        <v>-0.11124374652198796</v>
      </c>
      <c r="Z87">
        <f t="shared" si="15"/>
        <v>0.10442117958827564</v>
      </c>
      <c r="AA87">
        <f t="shared" si="16"/>
        <v>-0.31590549773819721</v>
      </c>
      <c r="AB87">
        <f t="shared" si="17"/>
        <v>9.341800469422129E-2</v>
      </c>
      <c r="AD87">
        <f t="shared" si="19"/>
        <v>84</v>
      </c>
      <c r="AE87">
        <f t="shared" si="20"/>
        <v>1.32730769962905</v>
      </c>
    </row>
    <row r="88" spans="1:31">
      <c r="A88">
        <f t="shared" si="11"/>
        <v>2085</v>
      </c>
      <c r="B88">
        <v>1.2213996520635499</v>
      </c>
      <c r="D88">
        <f t="shared" si="18"/>
        <v>85</v>
      </c>
      <c r="E88">
        <f t="shared" si="12"/>
        <v>4.9641452494949738E-3</v>
      </c>
      <c r="F88">
        <f t="shared" si="21"/>
        <v>0.11622752690884774</v>
      </c>
      <c r="V88">
        <f t="shared" si="13"/>
        <v>85</v>
      </c>
      <c r="W88">
        <f t="shared" si="13"/>
        <v>4.9641452494949738E-3</v>
      </c>
      <c r="X88">
        <f t="shared" si="13"/>
        <v>0.11622752690884774</v>
      </c>
      <c r="Y88">
        <f t="shared" si="14"/>
        <v>-0.11126338165935278</v>
      </c>
      <c r="Z88">
        <f t="shared" si="15"/>
        <v>0.10442117958827564</v>
      </c>
      <c r="AA88">
        <f t="shared" si="16"/>
        <v>-0.31592513287556201</v>
      </c>
      <c r="AB88">
        <f t="shared" si="17"/>
        <v>9.3398369556856473E-2</v>
      </c>
      <c r="AD88">
        <f t="shared" si="19"/>
        <v>85</v>
      </c>
      <c r="AE88">
        <f t="shared" si="20"/>
        <v>1.2213996520635499</v>
      </c>
    </row>
    <row r="89" spans="1:31">
      <c r="A89">
        <f t="shared" si="11"/>
        <v>2086</v>
      </c>
      <c r="B89">
        <v>1.1154916044980501</v>
      </c>
      <c r="D89">
        <f t="shared" si="18"/>
        <v>86</v>
      </c>
      <c r="E89">
        <f t="shared" si="12"/>
        <v>4.9641452494954179E-3</v>
      </c>
      <c r="F89">
        <f t="shared" si="21"/>
        <v>0.1162457668666835</v>
      </c>
      <c r="V89">
        <f t="shared" si="13"/>
        <v>86</v>
      </c>
      <c r="W89">
        <f t="shared" si="13"/>
        <v>4.9641452494954179E-3</v>
      </c>
      <c r="X89">
        <f t="shared" si="13"/>
        <v>0.1162457668666835</v>
      </c>
      <c r="Y89">
        <f t="shared" si="14"/>
        <v>-0.11128162161718809</v>
      </c>
      <c r="Z89">
        <f t="shared" si="15"/>
        <v>0.10442117958827564</v>
      </c>
      <c r="AA89">
        <f t="shared" si="16"/>
        <v>-0.31594337283339735</v>
      </c>
      <c r="AB89">
        <f t="shared" si="17"/>
        <v>9.3380129599021158E-2</v>
      </c>
      <c r="AD89">
        <f t="shared" si="19"/>
        <v>86</v>
      </c>
      <c r="AE89">
        <f t="shared" si="20"/>
        <v>1.1154916044980501</v>
      </c>
    </row>
    <row r="90" spans="1:31">
      <c r="A90">
        <f t="shared" si="11"/>
        <v>2087</v>
      </c>
      <c r="B90">
        <v>1.00958355693255</v>
      </c>
      <c r="D90">
        <f t="shared" si="18"/>
        <v>87</v>
      </c>
      <c r="E90">
        <f t="shared" si="12"/>
        <v>4.9641452494951959E-3</v>
      </c>
      <c r="F90">
        <f t="shared" si="21"/>
        <v>0.11626271077981586</v>
      </c>
      <c r="V90">
        <f t="shared" si="13"/>
        <v>87</v>
      </c>
      <c r="W90">
        <f t="shared" si="13"/>
        <v>4.9641452494951959E-3</v>
      </c>
      <c r="X90">
        <f t="shared" si="13"/>
        <v>0.11626271077981586</v>
      </c>
      <c r="Y90">
        <f t="shared" si="14"/>
        <v>-0.11129856553032066</v>
      </c>
      <c r="Z90">
        <f t="shared" si="15"/>
        <v>0.10442117958827564</v>
      </c>
      <c r="AA90">
        <f t="shared" si="16"/>
        <v>-0.31596031674652991</v>
      </c>
      <c r="AB90">
        <f t="shared" si="17"/>
        <v>9.3363185685888583E-2</v>
      </c>
      <c r="AD90">
        <f t="shared" si="19"/>
        <v>87</v>
      </c>
      <c r="AE90">
        <f t="shared" si="20"/>
        <v>1.00958355693255</v>
      </c>
    </row>
    <row r="91" spans="1:31">
      <c r="A91">
        <f t="shared" si="11"/>
        <v>2088</v>
      </c>
      <c r="B91">
        <v>0.90367550936704999</v>
      </c>
      <c r="D91">
        <f t="shared" si="18"/>
        <v>88</v>
      </c>
      <c r="E91">
        <f t="shared" si="12"/>
        <v>4.9641452494961951E-3</v>
      </c>
      <c r="F91">
        <f t="shared" si="21"/>
        <v>0.11627845073902193</v>
      </c>
      <c r="V91">
        <f t="shared" si="13"/>
        <v>88</v>
      </c>
      <c r="W91">
        <f t="shared" si="13"/>
        <v>4.9641452494961951E-3</v>
      </c>
      <c r="X91">
        <f t="shared" si="13"/>
        <v>0.11627845073902193</v>
      </c>
      <c r="Y91">
        <f t="shared" si="14"/>
        <v>-0.11131430548952574</v>
      </c>
      <c r="Z91">
        <f t="shared" si="15"/>
        <v>0.10442117958827564</v>
      </c>
      <c r="AA91">
        <f t="shared" si="16"/>
        <v>-0.31597605670573498</v>
      </c>
      <c r="AB91">
        <f t="shared" si="17"/>
        <v>9.3347445726683506E-2</v>
      </c>
      <c r="AD91">
        <f t="shared" si="19"/>
        <v>88</v>
      </c>
      <c r="AE91">
        <f t="shared" si="20"/>
        <v>0.90367550936704999</v>
      </c>
    </row>
    <row r="92" spans="1:31">
      <c r="A92">
        <f t="shared" si="11"/>
        <v>2089</v>
      </c>
      <c r="B92">
        <v>0.79776746180155</v>
      </c>
      <c r="D92">
        <f t="shared" si="18"/>
        <v>89</v>
      </c>
      <c r="E92">
        <f t="shared" si="12"/>
        <v>4.9641452494931975E-3</v>
      </c>
      <c r="F92">
        <f t="shared" si="21"/>
        <v>0.11629307229154147</v>
      </c>
      <c r="V92">
        <f t="shared" si="13"/>
        <v>89</v>
      </c>
      <c r="W92">
        <f t="shared" si="13"/>
        <v>4.9641452494931975E-3</v>
      </c>
      <c r="X92">
        <f t="shared" si="13"/>
        <v>0.11629307229154147</v>
      </c>
      <c r="Y92">
        <f t="shared" si="14"/>
        <v>-0.11132892704204828</v>
      </c>
      <c r="Z92">
        <f t="shared" si="15"/>
        <v>0.10442117958827564</v>
      </c>
      <c r="AA92">
        <f t="shared" si="16"/>
        <v>-0.31599067825825755</v>
      </c>
      <c r="AB92">
        <f t="shared" si="17"/>
        <v>9.3332824174160972E-2</v>
      </c>
      <c r="AD92">
        <f t="shared" si="19"/>
        <v>89</v>
      </c>
      <c r="AE92">
        <f t="shared" si="20"/>
        <v>0.79776746180155</v>
      </c>
    </row>
    <row r="93" spans="1:31">
      <c r="A93">
        <f t="shared" si="11"/>
        <v>2090</v>
      </c>
      <c r="B93">
        <v>0.69185941423605102</v>
      </c>
      <c r="D93">
        <f t="shared" si="18"/>
        <v>90</v>
      </c>
      <c r="E93">
        <f t="shared" si="12"/>
        <v>4.9641452494960841E-3</v>
      </c>
      <c r="F93">
        <f t="shared" si="21"/>
        <v>0.11630665490604145</v>
      </c>
      <c r="V93">
        <f t="shared" si="13"/>
        <v>90</v>
      </c>
      <c r="W93">
        <f t="shared" si="13"/>
        <v>4.9641452494960841E-3</v>
      </c>
      <c r="X93">
        <f t="shared" si="13"/>
        <v>0.11630665490604145</v>
      </c>
      <c r="Y93">
        <f t="shared" si="14"/>
        <v>-0.11134250965654537</v>
      </c>
      <c r="Z93">
        <f t="shared" si="15"/>
        <v>0.10442117958827564</v>
      </c>
      <c r="AA93">
        <f t="shared" si="16"/>
        <v>-0.31600426087275463</v>
      </c>
      <c r="AB93">
        <f t="shared" si="17"/>
        <v>9.3319241559663882E-2</v>
      </c>
      <c r="AD93">
        <f t="shared" si="19"/>
        <v>90</v>
      </c>
      <c r="AE93">
        <f t="shared" si="20"/>
        <v>0.69185941423605102</v>
      </c>
    </row>
    <row r="94" spans="1:31">
      <c r="A94">
        <f t="shared" si="11"/>
        <v>2091</v>
      </c>
      <c r="B94">
        <v>0.58595136667055003</v>
      </c>
      <c r="D94">
        <f t="shared" si="18"/>
        <v>91</v>
      </c>
      <c r="E94">
        <f t="shared" si="12"/>
        <v>4.9641452494963061E-3</v>
      </c>
      <c r="F94">
        <f t="shared" si="21"/>
        <v>0.11631927240451893</v>
      </c>
      <c r="V94">
        <f t="shared" si="13"/>
        <v>91</v>
      </c>
      <c r="W94">
        <f t="shared" si="13"/>
        <v>4.9641452494963061E-3</v>
      </c>
      <c r="X94">
        <f t="shared" si="13"/>
        <v>0.11631927240451893</v>
      </c>
      <c r="Y94">
        <f t="shared" si="14"/>
        <v>-0.11135512715502263</v>
      </c>
      <c r="Z94">
        <f t="shared" si="15"/>
        <v>0.10442117958827564</v>
      </c>
      <c r="AA94">
        <f t="shared" si="16"/>
        <v>-0.31601687837123188</v>
      </c>
      <c r="AB94">
        <f t="shared" si="17"/>
        <v>9.3306624061186616E-2</v>
      </c>
      <c r="AD94">
        <f t="shared" si="19"/>
        <v>91</v>
      </c>
      <c r="AE94">
        <f t="shared" si="20"/>
        <v>0.58595136667055003</v>
      </c>
    </row>
    <row r="95" spans="1:31">
      <c r="A95">
        <f t="shared" si="11"/>
        <v>2092</v>
      </c>
      <c r="B95">
        <v>0.48004331910504999</v>
      </c>
      <c r="D95">
        <f t="shared" si="18"/>
        <v>92</v>
      </c>
      <c r="E95">
        <f t="shared" si="12"/>
        <v>4.9641452494931975E-3</v>
      </c>
      <c r="F95">
        <f t="shared" si="21"/>
        <v>0.11633099336352712</v>
      </c>
      <c r="V95">
        <f t="shared" si="13"/>
        <v>92</v>
      </c>
      <c r="W95">
        <f t="shared" si="13"/>
        <v>4.9641452494931975E-3</v>
      </c>
      <c r="X95">
        <f t="shared" si="13"/>
        <v>0.11633099336352712</v>
      </c>
      <c r="Y95">
        <f t="shared" si="14"/>
        <v>-0.11136684811403393</v>
      </c>
      <c r="Z95">
        <f t="shared" si="15"/>
        <v>0.10442117958827564</v>
      </c>
      <c r="AA95">
        <f t="shared" si="16"/>
        <v>-0.31602859933024319</v>
      </c>
      <c r="AB95">
        <f t="shared" si="17"/>
        <v>9.3294903102175322E-2</v>
      </c>
      <c r="AD95">
        <f t="shared" si="19"/>
        <v>92</v>
      </c>
      <c r="AE95">
        <f t="shared" si="20"/>
        <v>0.48004331910504999</v>
      </c>
    </row>
    <row r="96" spans="1:31">
      <c r="A96">
        <f t="shared" si="11"/>
        <v>2093</v>
      </c>
      <c r="B96">
        <v>0.37413527153955101</v>
      </c>
      <c r="D96">
        <f t="shared" si="18"/>
        <v>93</v>
      </c>
      <c r="E96">
        <f t="shared" si="12"/>
        <v>4.9641452494961396E-3</v>
      </c>
      <c r="F96">
        <f t="shared" si="21"/>
        <v>0.11634188148690311</v>
      </c>
      <c r="V96">
        <f t="shared" si="13"/>
        <v>93</v>
      </c>
      <c r="W96">
        <f t="shared" si="13"/>
        <v>4.9641452494961396E-3</v>
      </c>
      <c r="X96">
        <f t="shared" si="13"/>
        <v>0.11634188148690311</v>
      </c>
      <c r="Y96">
        <f t="shared" si="14"/>
        <v>-0.11137773623740697</v>
      </c>
      <c r="Z96">
        <f t="shared" si="15"/>
        <v>0.10442117958827564</v>
      </c>
      <c r="AA96">
        <f t="shared" si="16"/>
        <v>-0.31603948745361621</v>
      </c>
      <c r="AB96">
        <f t="shared" si="17"/>
        <v>9.3284014978802274E-2</v>
      </c>
      <c r="AD96">
        <f t="shared" si="19"/>
        <v>93</v>
      </c>
      <c r="AE96">
        <f t="shared" si="20"/>
        <v>0.37413527153955101</v>
      </c>
    </row>
    <row r="97" spans="1:31">
      <c r="A97">
        <f t="shared" si="11"/>
        <v>2094</v>
      </c>
      <c r="B97">
        <v>0.26822722397405002</v>
      </c>
      <c r="D97">
        <f t="shared" si="18"/>
        <v>94</v>
      </c>
      <c r="E97">
        <f t="shared" si="12"/>
        <v>4.9641452495456E-3</v>
      </c>
      <c r="F97">
        <f t="shared" si="21"/>
        <v>0.11635199595203731</v>
      </c>
      <c r="V97">
        <f t="shared" si="13"/>
        <v>94</v>
      </c>
      <c r="W97">
        <f t="shared" si="13"/>
        <v>4.9641452495456E-3</v>
      </c>
      <c r="X97">
        <f t="shared" si="13"/>
        <v>0.11635199595203731</v>
      </c>
      <c r="Y97">
        <f t="shared" si="14"/>
        <v>-0.11138785070249171</v>
      </c>
      <c r="Z97">
        <f t="shared" si="15"/>
        <v>0.10442117958827564</v>
      </c>
      <c r="AA97">
        <f t="shared" si="16"/>
        <v>-0.31604960191870096</v>
      </c>
      <c r="AB97">
        <f t="shared" si="17"/>
        <v>9.3273900513717534E-2</v>
      </c>
      <c r="AD97">
        <f t="shared" si="19"/>
        <v>94</v>
      </c>
      <c r="AE97">
        <f t="shared" si="20"/>
        <v>0.26822722397405002</v>
      </c>
    </row>
    <row r="98" spans="1:31">
      <c r="A98">
        <f t="shared" si="11"/>
        <v>2095</v>
      </c>
      <c r="B98">
        <v>0.16231917640855001</v>
      </c>
      <c r="D98">
        <f t="shared" si="18"/>
        <v>95</v>
      </c>
      <c r="E98">
        <f t="shared" si="12"/>
        <v>4.9641452494454024E-3</v>
      </c>
      <c r="F98">
        <f t="shared" si="21"/>
        <v>0.11636139173128232</v>
      </c>
      <c r="V98">
        <f t="shared" si="13"/>
        <v>95</v>
      </c>
      <c r="W98">
        <f t="shared" si="13"/>
        <v>4.9641452494454024E-3</v>
      </c>
      <c r="X98">
        <f t="shared" si="13"/>
        <v>0.11636139173128232</v>
      </c>
      <c r="Y98">
        <f t="shared" si="14"/>
        <v>-0.11139724648183692</v>
      </c>
      <c r="Z98">
        <f t="shared" si="15"/>
        <v>0.10442117958827564</v>
      </c>
      <c r="AA98">
        <f t="shared" si="16"/>
        <v>-0.31605899769804618</v>
      </c>
      <c r="AB98">
        <f t="shared" si="17"/>
        <v>9.3264504734372325E-2</v>
      </c>
      <c r="AD98">
        <f t="shared" si="19"/>
        <v>95</v>
      </c>
      <c r="AE98">
        <f t="shared" si="20"/>
        <v>0.16231917640855001</v>
      </c>
    </row>
    <row r="99" spans="1:31">
      <c r="A99">
        <f t="shared" si="11"/>
        <v>2096</v>
      </c>
      <c r="B99">
        <v>5.64111288431004E-2</v>
      </c>
      <c r="D99">
        <f t="shared" si="18"/>
        <v>96</v>
      </c>
      <c r="E99">
        <f t="shared" si="12"/>
        <v>4.9641452494936138E-3</v>
      </c>
      <c r="F99">
        <f t="shared" si="21"/>
        <v>0.11637011989111899</v>
      </c>
      <c r="V99">
        <f t="shared" si="13"/>
        <v>96</v>
      </c>
      <c r="W99">
        <f t="shared" si="13"/>
        <v>4.9641452494936138E-3</v>
      </c>
      <c r="X99">
        <f t="shared" si="13"/>
        <v>0.11637011989111899</v>
      </c>
      <c r="Y99">
        <f t="shared" si="14"/>
        <v>-0.11140597464162538</v>
      </c>
      <c r="Z99">
        <f t="shared" si="15"/>
        <v>0.10442117958827564</v>
      </c>
      <c r="AA99">
        <f t="shared" si="16"/>
        <v>-0.3160677258578346</v>
      </c>
      <c r="AB99">
        <f t="shared" si="17"/>
        <v>9.3255776574583865E-2</v>
      </c>
      <c r="AD99">
        <f t="shared" si="19"/>
        <v>96</v>
      </c>
      <c r="AE99">
        <f t="shared" si="20"/>
        <v>5.64111288431004E-2</v>
      </c>
    </row>
    <row r="100" spans="1:31">
      <c r="A100">
        <f t="shared" si="11"/>
        <v>2097</v>
      </c>
      <c r="B100">
        <v>-4.9496918722399003E-2</v>
      </c>
      <c r="D100">
        <f t="shared" si="18"/>
        <v>97</v>
      </c>
      <c r="E100">
        <f t="shared" si="12"/>
        <v>4.9641452494961673E-3</v>
      </c>
      <c r="F100">
        <f t="shared" si="21"/>
        <v>0.11637822786941811</v>
      </c>
      <c r="V100">
        <f t="shared" si="13"/>
        <v>97</v>
      </c>
      <c r="W100">
        <f t="shared" si="13"/>
        <v>4.9641452494961673E-3</v>
      </c>
      <c r="X100">
        <f t="shared" si="13"/>
        <v>0.11637822786941811</v>
      </c>
      <c r="Y100">
        <f t="shared" si="14"/>
        <v>-0.11141408261992194</v>
      </c>
      <c r="Z100">
        <f t="shared" si="15"/>
        <v>0.10442117958827564</v>
      </c>
      <c r="AA100">
        <f t="shared" si="16"/>
        <v>-0.31607583383613119</v>
      </c>
      <c r="AB100">
        <f t="shared" si="17"/>
        <v>9.3247668596287303E-2</v>
      </c>
      <c r="AD100">
        <f t="shared" si="19"/>
        <v>97</v>
      </c>
      <c r="AE100">
        <f t="shared" si="20"/>
        <v>-4.9496918722399003E-2</v>
      </c>
    </row>
    <row r="101" spans="1:31">
      <c r="A101">
        <f t="shared" si="11"/>
        <v>2098</v>
      </c>
      <c r="B101">
        <v>-0.15540496628789999</v>
      </c>
      <c r="D101">
        <f t="shared" si="18"/>
        <v>98</v>
      </c>
      <c r="E101">
        <f t="shared" si="12"/>
        <v>4.9641452494962228E-3</v>
      </c>
      <c r="F101">
        <f t="shared" si="21"/>
        <v>0.11638575973332771</v>
      </c>
      <c r="V101">
        <f t="shared" si="13"/>
        <v>98</v>
      </c>
      <c r="W101">
        <f t="shared" si="13"/>
        <v>4.9641452494962228E-3</v>
      </c>
      <c r="X101">
        <f t="shared" si="13"/>
        <v>0.11638575973332771</v>
      </c>
      <c r="Y101">
        <f t="shared" si="14"/>
        <v>-0.11142161448383149</v>
      </c>
      <c r="Z101">
        <f t="shared" si="15"/>
        <v>0.10442117958827564</v>
      </c>
      <c r="AA101">
        <f t="shared" si="16"/>
        <v>-0.31608336570004075</v>
      </c>
      <c r="AB101">
        <f t="shared" si="17"/>
        <v>9.3240136732377757E-2</v>
      </c>
      <c r="AD101">
        <f t="shared" si="19"/>
        <v>98</v>
      </c>
      <c r="AE101">
        <f t="shared" si="20"/>
        <v>-0.15540496628789999</v>
      </c>
    </row>
    <row r="102" spans="1:31">
      <c r="A102">
        <f t="shared" si="11"/>
        <v>2099</v>
      </c>
      <c r="B102">
        <v>-0.2613130138534</v>
      </c>
      <c r="D102">
        <f t="shared" si="18"/>
        <v>99</v>
      </c>
      <c r="E102">
        <f t="shared" si="12"/>
        <v>4.964145249493142E-3</v>
      </c>
      <c r="F102">
        <f t="shared" si="21"/>
        <v>0.11639275641878663</v>
      </c>
      <c r="V102">
        <f t="shared" si="13"/>
        <v>99</v>
      </c>
      <c r="W102">
        <f t="shared" si="13"/>
        <v>4.964145249493142E-3</v>
      </c>
      <c r="X102">
        <f t="shared" si="13"/>
        <v>0.11639275641878663</v>
      </c>
      <c r="Y102">
        <f t="shared" si="14"/>
        <v>-0.11142861116929349</v>
      </c>
      <c r="Z102">
        <f t="shared" si="15"/>
        <v>0.10442117958827564</v>
      </c>
      <c r="AA102">
        <f t="shared" si="16"/>
        <v>-0.31609036238550275</v>
      </c>
      <c r="AB102">
        <f t="shared" si="17"/>
        <v>9.3233140046915755E-2</v>
      </c>
      <c r="AD102">
        <f t="shared" si="19"/>
        <v>99</v>
      </c>
      <c r="AE102">
        <f t="shared" si="20"/>
        <v>-0.2613130138534</v>
      </c>
    </row>
    <row r="103" spans="1:31">
      <c r="A103">
        <f t="shared" si="11"/>
        <v>2100</v>
      </c>
      <c r="B103">
        <v>-0.36722106141889899</v>
      </c>
      <c r="D103">
        <f t="shared" si="18"/>
        <v>100</v>
      </c>
      <c r="E103">
        <f t="shared" si="12"/>
        <v>4.9641452494963061E-3</v>
      </c>
      <c r="F103">
        <f t="shared" si="21"/>
        <v>0.11639925595303593</v>
      </c>
      <c r="V103">
        <f t="shared" si="13"/>
        <v>100</v>
      </c>
      <c r="W103">
        <f t="shared" si="13"/>
        <v>4.9641452494963061E-3</v>
      </c>
      <c r="X103">
        <f t="shared" si="13"/>
        <v>0.11639925595303593</v>
      </c>
      <c r="Y103">
        <f t="shared" si="14"/>
        <v>-0.11143511070353963</v>
      </c>
      <c r="Z103">
        <f t="shared" si="15"/>
        <v>0.10442117958827564</v>
      </c>
      <c r="AA103">
        <f t="shared" si="16"/>
        <v>-0.31609686191974889</v>
      </c>
      <c r="AB103">
        <f t="shared" si="17"/>
        <v>9.3226640512669615E-2</v>
      </c>
      <c r="AD103">
        <f t="shared" si="19"/>
        <v>100</v>
      </c>
      <c r="AE103">
        <f t="shared" si="20"/>
        <v>-0.36722106141889899</v>
      </c>
    </row>
    <row r="104" spans="1:31">
      <c r="A104">
        <f t="shared" si="11"/>
        <v>2101</v>
      </c>
      <c r="B104">
        <v>-0.47312910898440003</v>
      </c>
      <c r="D104">
        <f t="shared" si="18"/>
        <v>101</v>
      </c>
      <c r="E104">
        <f t="shared" si="12"/>
        <v>4.9641452494960285E-3</v>
      </c>
      <c r="F104">
        <f t="shared" si="21"/>
        <v>0.1164052936612768</v>
      </c>
      <c r="V104">
        <f t="shared" si="13"/>
        <v>101</v>
      </c>
      <c r="W104">
        <f t="shared" si="13"/>
        <v>4.9641452494960285E-3</v>
      </c>
      <c r="X104">
        <f t="shared" si="13"/>
        <v>0.1164052936612768</v>
      </c>
      <c r="Y104">
        <f t="shared" si="14"/>
        <v>-0.11144114841178078</v>
      </c>
      <c r="Z104">
        <f t="shared" si="15"/>
        <v>0.10442117958827564</v>
      </c>
      <c r="AA104">
        <f t="shared" si="16"/>
        <v>-0.31610289962799004</v>
      </c>
      <c r="AB104">
        <f t="shared" si="17"/>
        <v>9.3220602804428468E-2</v>
      </c>
      <c r="AD104">
        <f t="shared" si="19"/>
        <v>101</v>
      </c>
      <c r="AE104">
        <f t="shared" si="20"/>
        <v>-0.47312910898440003</v>
      </c>
    </row>
    <row r="105" spans="1:31">
      <c r="A105">
        <f t="shared" si="11"/>
        <v>2102</v>
      </c>
      <c r="B105">
        <v>-0.57903715654989996</v>
      </c>
      <c r="D105">
        <f t="shared" si="18"/>
        <v>102</v>
      </c>
      <c r="E105">
        <f t="shared" si="12"/>
        <v>4.9641452494933085E-3</v>
      </c>
      <c r="F105">
        <f t="shared" si="21"/>
        <v>0.11641090235866687</v>
      </c>
      <c r="V105">
        <f t="shared" si="13"/>
        <v>102</v>
      </c>
      <c r="W105">
        <f t="shared" si="13"/>
        <v>4.9641452494933085E-3</v>
      </c>
      <c r="X105">
        <f t="shared" si="13"/>
        <v>0.11641090235866687</v>
      </c>
      <c r="Y105">
        <f t="shared" si="14"/>
        <v>-0.11144675710917357</v>
      </c>
      <c r="Z105">
        <f t="shared" si="15"/>
        <v>0.10442117958827564</v>
      </c>
      <c r="AA105">
        <f t="shared" si="16"/>
        <v>-0.31610850832538284</v>
      </c>
      <c r="AB105">
        <f t="shared" si="17"/>
        <v>9.3214994107035681E-2</v>
      </c>
      <c r="AD105">
        <f t="shared" si="19"/>
        <v>102</v>
      </c>
      <c r="AE105">
        <f t="shared" si="20"/>
        <v>-0.57903715654989996</v>
      </c>
    </row>
    <row r="106" spans="1:31">
      <c r="A106">
        <f t="shared" si="11"/>
        <v>2103</v>
      </c>
      <c r="B106">
        <v>-0.68494520411539905</v>
      </c>
      <c r="D106" s="165">
        <f t="shared" si="18"/>
        <v>103</v>
      </c>
      <c r="E106" s="165">
        <f t="shared" si="12"/>
        <v>4.9641452494961951E-3</v>
      </c>
      <c r="F106" s="165">
        <f t="shared" si="21"/>
        <v>0.11641611252868181</v>
      </c>
      <c r="V106">
        <f t="shared" si="13"/>
        <v>103</v>
      </c>
      <c r="W106">
        <f t="shared" si="13"/>
        <v>4.9641452494961951E-3</v>
      </c>
      <c r="X106">
        <f t="shared" si="13"/>
        <v>0.11641611252868181</v>
      </c>
      <c r="Y106">
        <f t="shared" si="14"/>
        <v>-0.11145196727918562</v>
      </c>
      <c r="Z106">
        <f t="shared" si="15"/>
        <v>0.10442117958827564</v>
      </c>
      <c r="AA106">
        <f t="shared" si="16"/>
        <v>-0.31611371849539488</v>
      </c>
      <c r="AB106">
        <f t="shared" si="17"/>
        <v>9.320978393702363E-2</v>
      </c>
      <c r="AD106">
        <f t="shared" si="19"/>
        <v>103</v>
      </c>
      <c r="AE106">
        <f t="shared" si="20"/>
        <v>-0.68494520411539905</v>
      </c>
    </row>
    <row r="107" spans="1:31">
      <c r="A107">
        <f t="shared" si="11"/>
        <v>2104</v>
      </c>
      <c r="B107">
        <v>-0.79085325168090004</v>
      </c>
      <c r="V107">
        <f>V106+1</f>
        <v>104</v>
      </c>
      <c r="Y107">
        <f>SUMPRODUCT(W105:W106,I$4:I$5)+SUMPRODUCT(X106,J$5)</f>
        <v>-0.11145680723928601</v>
      </c>
      <c r="Z107" t="e">
        <f ca="1">J$15*SQRT(SUMSQ(M$15:M15))</f>
        <v>#NAME?</v>
      </c>
      <c r="AA107" t="e">
        <f ca="1">Y107-NORMSINV(1-Z$2/2)*Z107</f>
        <v>#NAME?</v>
      </c>
      <c r="AB107" t="e">
        <f ca="1">Y107+NORMSINV(1-Z$2/2)*Z107</f>
        <v>#NAME?</v>
      </c>
      <c r="AD107">
        <f t="shared" si="19"/>
        <v>104</v>
      </c>
      <c r="AE107">
        <f t="shared" si="20"/>
        <v>-0.79085325168090004</v>
      </c>
    </row>
    <row r="108" spans="1:31">
      <c r="A108">
        <f t="shared" si="11"/>
        <v>2105</v>
      </c>
      <c r="B108">
        <v>-0.89676129924640002</v>
      </c>
      <c r="V108">
        <f>V107+1</f>
        <v>105</v>
      </c>
      <c r="Y108">
        <f>SUMPRODUCT(W106,I4)+SUMPRODUCT(Y107,I5)</f>
        <v>5.7056790513910473E-2</v>
      </c>
      <c r="Z108" t="e">
        <f ca="1">J$15*SQRT(SUMSQ(M$15:M16))</f>
        <v>#NAME?</v>
      </c>
      <c r="AA108" t="e">
        <f ca="1">Y108-NORMSINV(1-Z$2/2)*Z108</f>
        <v>#NAME?</v>
      </c>
      <c r="AB108" t="e">
        <f ca="1">Y108+NORMSINV(1-Z$2/2)*Z108</f>
        <v>#NAME?</v>
      </c>
      <c r="AD108" s="165">
        <f t="shared" si="19"/>
        <v>105</v>
      </c>
      <c r="AE108" s="165">
        <f t="shared" si="20"/>
        <v>-0.89676129924640002</v>
      </c>
    </row>
    <row r="109" spans="1:31">
      <c r="V109">
        <f>V108+1</f>
        <v>106</v>
      </c>
      <c r="Y109">
        <f>SUMPRODUCT(Y107:Y108,I4:I5)</f>
        <v>-1.3004535868793281E-2</v>
      </c>
      <c r="Z109" t="e">
        <f ca="1">J$15*SQRT(SUMSQ(M$15:M17))</f>
        <v>#NAME?</v>
      </c>
      <c r="AA109" t="e">
        <f ca="1">Y109-NORMSINV(1-Z$2/2)*Z109</f>
        <v>#NAME?</v>
      </c>
      <c r="AB109" t="e">
        <f ca="1">Y109+NORMSINV(1-Z$2/2)*Z109</f>
        <v>#NAME?</v>
      </c>
      <c r="AD109">
        <f t="shared" si="19"/>
        <v>106</v>
      </c>
      <c r="AE109">
        <f>Y107+2*AE108-AE107+J$6</f>
        <v>-1.1190902993006815</v>
      </c>
    </row>
    <row r="110" spans="1:31">
      <c r="V110">
        <f>V109+1</f>
        <v>107</v>
      </c>
      <c r="Y110">
        <f>SUMPRODUCT(Y108:Y109,I4:I5)</f>
        <v>-1.7451765413239485E-3</v>
      </c>
      <c r="Z110" t="e">
        <f ca="1">J$15*SQRT(SUMSQ(M$15:M18))</f>
        <v>#NAME?</v>
      </c>
      <c r="AA110" t="e">
        <f ca="1">Y110-NORMSINV(1-Z$2/2)*Z110</f>
        <v>#NAME?</v>
      </c>
      <c r="AB110" t="e">
        <f ca="1">Y110+NORMSINV(1-Z$2/2)*Z110</f>
        <v>#NAME?</v>
      </c>
      <c r="AD110">
        <f t="shared" si="19"/>
        <v>107</v>
      </c>
      <c r="AE110">
        <f>Y108+2*AE109-AE108+J$6</f>
        <v>-1.2893266540905477</v>
      </c>
    </row>
    <row r="111" spans="1:31">
      <c r="V111" s="165">
        <f>V110+1</f>
        <v>108</v>
      </c>
      <c r="W111" s="165"/>
      <c r="X111" s="165"/>
      <c r="Y111" s="165">
        <f>SUMPRODUCT(Y109:Y110,I4:I5)</f>
        <v>2.8396983210799663E-3</v>
      </c>
      <c r="Z111" s="165" t="e">
        <f ca="1">J$15*SQRT(SUMSQ(M$15:M19))</f>
        <v>#NAME?</v>
      </c>
      <c r="AA111" s="165" t="e">
        <f ca="1">Y111-NORMSINV(1-Z$2/2)*Z111</f>
        <v>#NAME?</v>
      </c>
      <c r="AB111" s="165" t="e">
        <f ca="1">Y111+NORMSINV(1-Z$2/2)*Z111</f>
        <v>#NAME?</v>
      </c>
      <c r="AD111">
        <f t="shared" si="19"/>
        <v>108</v>
      </c>
      <c r="AE111">
        <f>Y109+2*AE110-AE109+J$6</f>
        <v>-1.4775316899987025</v>
      </c>
    </row>
    <row r="112" spans="1:31">
      <c r="AD112">
        <f t="shared" si="19"/>
        <v>109</v>
      </c>
      <c r="AE112">
        <f>Y110+2*AE111-AE110+J$6</f>
        <v>-1.6724460476976766</v>
      </c>
    </row>
    <row r="113" spans="30:31">
      <c r="AD113" s="165">
        <f t="shared" si="19"/>
        <v>110</v>
      </c>
      <c r="AE113" s="165">
        <f>Y111+2*AE112-AE111+J$6</f>
        <v>-1.869484852325066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0B9C2-F6D8-2F42-900F-E91451643728}">
  <dimension ref="A7:BA147"/>
  <sheetViews>
    <sheetView topLeftCell="L1" workbookViewId="0">
      <selection activeCell="AO9" sqref="AO9"/>
    </sheetView>
  </sheetViews>
  <sheetFormatPr baseColWidth="10" defaultRowHeight="14"/>
  <cols>
    <col min="2" max="2" width="7" customWidth="1"/>
    <col min="3" max="3" width="2.83203125" customWidth="1"/>
    <col min="4" max="4" width="8.83203125" customWidth="1"/>
    <col min="5" max="5" width="3.5" customWidth="1"/>
    <col min="6" max="6" width="14.6640625" customWidth="1"/>
    <col min="7" max="7" width="2.83203125" customWidth="1"/>
    <col min="9" max="9" width="2.83203125" customWidth="1"/>
    <col min="10" max="10" width="8.5" customWidth="1"/>
    <col min="11" max="11" width="2.83203125" customWidth="1"/>
    <col min="12" max="12" width="9.83203125" customWidth="1"/>
    <col min="13" max="13" width="2.83203125" customWidth="1"/>
    <col min="14" max="14" width="8.33203125" customWidth="1"/>
    <col min="15" max="15" width="2.83203125" customWidth="1"/>
    <col min="16" max="16" width="9.6640625" customWidth="1"/>
    <col min="17" max="17" width="2.83203125" customWidth="1"/>
    <col min="18" max="18" width="12.1640625" customWidth="1"/>
    <col min="19" max="19" width="2.83203125" customWidth="1"/>
    <col min="21" max="21" width="2.83203125" customWidth="1"/>
    <col min="23" max="23" width="2.83203125" customWidth="1"/>
    <col min="25" max="25" width="2.83203125" customWidth="1"/>
    <col min="27" max="27" width="2.83203125" customWidth="1"/>
    <col min="28" max="28" width="14.1640625" customWidth="1"/>
    <col min="29" max="29" width="2.83203125" customWidth="1"/>
    <col min="31" max="31" width="2.83203125" customWidth="1"/>
    <col min="33" max="33" width="2.83203125" customWidth="1"/>
    <col min="34" max="34" width="14" bestFit="1" customWidth="1"/>
    <col min="35" max="35" width="2.83203125" customWidth="1"/>
    <col min="37" max="37" width="2.83203125" customWidth="1"/>
    <col min="39" max="40" width="2.83203125" customWidth="1"/>
    <col min="42" max="42" width="2.83203125" customWidth="1"/>
    <col min="44" max="44" width="2.83203125" customWidth="1"/>
    <col min="46" max="46" width="2.83203125" customWidth="1"/>
    <col min="48" max="48" width="2.83203125" customWidth="1"/>
    <col min="49" max="49" width="16.33203125" customWidth="1"/>
    <col min="50" max="50" width="2.83203125" customWidth="1"/>
    <col min="52" max="52" width="2.83203125" customWidth="1"/>
    <col min="54" max="54" width="2.83203125" customWidth="1"/>
    <col min="56" max="56" width="2.83203125" customWidth="1"/>
  </cols>
  <sheetData>
    <row r="7" spans="1:53" ht="15" thickBot="1"/>
    <row r="8" spans="1:53" ht="38" customHeight="1" thickBot="1">
      <c r="B8" s="4"/>
      <c r="C8" s="4"/>
      <c r="D8" s="107"/>
      <c r="E8" s="113"/>
      <c r="F8" s="4"/>
      <c r="G8" s="4"/>
      <c r="H8" s="4"/>
      <c r="I8" s="4"/>
      <c r="J8" s="4"/>
      <c r="K8" s="4"/>
      <c r="L8" s="4"/>
      <c r="M8" s="4"/>
      <c r="N8" s="103"/>
      <c r="O8" s="4"/>
      <c r="P8" s="104"/>
      <c r="Q8" s="4"/>
      <c r="R8" s="109"/>
      <c r="S8" s="106"/>
      <c r="T8" s="4"/>
      <c r="U8" s="4"/>
      <c r="V8" s="4"/>
      <c r="W8" s="4"/>
      <c r="X8" s="4" t="s">
        <v>347</v>
      </c>
      <c r="Y8" s="4"/>
      <c r="Z8" s="4"/>
      <c r="AA8" s="4"/>
      <c r="AB8" s="4"/>
      <c r="AC8" s="4"/>
      <c r="AE8" s="4"/>
      <c r="AF8" s="4"/>
      <c r="AG8" s="105"/>
      <c r="AP8" s="114"/>
    </row>
    <row r="9" spans="1:53" ht="23" customHeight="1" thickBot="1">
      <c r="A9" s="78"/>
      <c r="D9" s="78"/>
      <c r="E9" s="108"/>
      <c r="R9" s="78"/>
      <c r="S9" s="108"/>
      <c r="AD9" s="78"/>
      <c r="AE9" s="111"/>
      <c r="AF9" s="78"/>
      <c r="AG9" s="114"/>
      <c r="AO9" s="136">
        <f ca="1">SUM(AO13:AO102)</f>
        <v>4502.3189408295484</v>
      </c>
      <c r="AP9" s="115"/>
      <c r="BA9" s="117">
        <f ca="1">SUM(BA13:BA102)</f>
        <v>13.41463898287876</v>
      </c>
    </row>
    <row r="10" spans="1:53">
      <c r="A10" s="78"/>
      <c r="D10" s="78"/>
      <c r="E10" s="108"/>
      <c r="R10" s="78"/>
      <c r="S10" s="108"/>
      <c r="AD10" s="78"/>
      <c r="AE10" s="111"/>
      <c r="AF10" s="78"/>
      <c r="AG10" s="108"/>
      <c r="AO10" s="78"/>
      <c r="AP10" s="108"/>
      <c r="BA10" s="78"/>
    </row>
    <row r="11" spans="1:53">
      <c r="A11" s="78"/>
      <c r="D11" s="78"/>
      <c r="E11" s="108"/>
      <c r="R11" s="78"/>
      <c r="S11" s="108"/>
      <c r="AD11" s="78"/>
      <c r="AE11" s="111"/>
      <c r="AF11" s="78"/>
      <c r="AG11" s="108"/>
      <c r="AO11" s="78"/>
      <c r="AP11" s="108"/>
      <c r="BA11" s="78"/>
    </row>
    <row r="12" spans="1:53">
      <c r="A12" s="78"/>
      <c r="D12" s="78"/>
      <c r="E12" s="108"/>
      <c r="R12" s="78"/>
      <c r="S12" s="108"/>
      <c r="AD12" s="78"/>
      <c r="AE12" s="111"/>
      <c r="AF12" s="78"/>
      <c r="AG12" s="108"/>
      <c r="AO12" s="78"/>
      <c r="AP12" s="108"/>
      <c r="BA12" s="78"/>
    </row>
    <row r="13" spans="1:53">
      <c r="A13" s="78"/>
      <c r="B13" cm="1">
        <f t="array" ref="B13:B103">start_age+cycle</f>
        <v>15</v>
      </c>
      <c r="D13" s="78">
        <v>0</v>
      </c>
      <c r="E13" s="108"/>
      <c r="F13">
        <f>VLOOKUP(B13,Parameters!E4:F94,2)</f>
        <v>2.7799999999999998E-2</v>
      </c>
      <c r="H13">
        <f>VLOOKUP(B13,Parameters!H4:I94,2)</f>
        <v>0</v>
      </c>
      <c r="J13">
        <f ca="1">(VLOOKUP(B13,Parameters!K4:L94,2))*(1-mda_efficacy)</f>
        <v>1.5000000000000013E-3</v>
      </c>
      <c r="L13">
        <f>VLOOKUP(B13,Parameters!N4:O94,2)</f>
        <v>0.05</v>
      </c>
      <c r="N13">
        <f>VLOOKUP(B13,Parameters!T4:U94,2)</f>
        <v>0.375</v>
      </c>
      <c r="P13">
        <f>VLOOKUP(B13,Parameters!T4:U94,2)</f>
        <v>0.375</v>
      </c>
      <c r="R13" s="78">
        <f>VLOOKUP(B13,Parameters!W4:X94,2)</f>
        <v>0</v>
      </c>
      <c r="S13" s="108"/>
      <c r="T13" s="102">
        <v>1</v>
      </c>
      <c r="V13" s="94">
        <v>0</v>
      </c>
      <c r="W13" s="94"/>
      <c r="X13" s="94">
        <v>0</v>
      </c>
      <c r="Z13" s="94">
        <v>0</v>
      </c>
      <c r="AB13" s="94">
        <v>0</v>
      </c>
      <c r="AD13" s="110">
        <v>0</v>
      </c>
      <c r="AE13" s="111"/>
      <c r="AF13" s="112">
        <f>T13+V13+Z13+AB13+AD13</f>
        <v>1</v>
      </c>
      <c r="AG13" s="108"/>
      <c r="AH13" s="131">
        <f>('Country details'!$C$52/('Country details'!$C$8*'Country details'!$C$6))*(1-(F13+H13))</f>
        <v>4.6708197398962058E-2</v>
      </c>
      <c r="AJ13" s="54">
        <f t="shared" ref="AJ13:AJ44" ca="1" si="0">(ccc_adl*L13)+(ccc_hydrocele*P13)+(ccc_le*N13)</f>
        <v>3.3875383031223762</v>
      </c>
      <c r="AL13" s="138">
        <f t="shared" ref="AL13:AL44" ca="1" si="1">IF(study_perspective=1,0,IF(age&lt;15,0,IF(age&gt;75,0,min_daily_wage*adl_episode_duration*annual_adl_episodes*X13 + prod_loss_hydrocele*min_annual_wage*Z13+prod_loss_lymphedema*min_annual_wage*AB13)))</f>
        <v>0</v>
      </c>
      <c r="AO13" s="135">
        <f t="shared" ref="AO13:AO44" ca="1" si="2">IF(study_perspective=1,((AH13+AJ13)/(1+discount_cost)^cycle),((AH13+AJ13+AL13+hh_costs_adl+hh_costs_hydrocele+hh_costs_lymphedema)/(1+discount_cost)^cycle))</f>
        <v>140.34764977113829</v>
      </c>
      <c r="AP13" s="108"/>
      <c r="AQ13" s="31">
        <f t="shared" ref="AQ13:AQ44" ca="1" si="3">util_healthy*T13*1</f>
        <v>0.99714898405830887</v>
      </c>
      <c r="AR13" s="31"/>
      <c r="AS13" s="31">
        <f>0.8*V13*1</f>
        <v>0</v>
      </c>
      <c r="AT13" s="31"/>
      <c r="AU13" s="31">
        <f t="shared" ref="AU13:AU44" ca="1" si="4">util_adl*X13</f>
        <v>0</v>
      </c>
      <c r="AV13" s="31"/>
      <c r="AW13" s="31">
        <f t="shared" ref="AW13:AW44" ca="1" si="5">util_lymphedema*AB13</f>
        <v>0</v>
      </c>
      <c r="AX13" s="31"/>
      <c r="AY13" s="31">
        <f t="shared" ref="AY13:AY44" ca="1" si="6">util_hydrocele*Z13</f>
        <v>0</v>
      </c>
      <c r="AZ13" s="31"/>
      <c r="BA13" s="134">
        <f t="shared" ref="BA13:BA44" ca="1" si="7">(AQ13+AS13+AU13+AW13+AY13)/((1+discount_effects)^cycle)</f>
        <v>0.99714898405830887</v>
      </c>
    </row>
    <row r="14" spans="1:53">
      <c r="A14" s="78"/>
      <c r="B14">
        <v>16</v>
      </c>
      <c r="D14" s="78">
        <v>1</v>
      </c>
      <c r="E14" s="108"/>
      <c r="F14">
        <f>VLOOKUP(B14,Parameters!E5:F95,2)</f>
        <v>2.7799999999999998E-2</v>
      </c>
      <c r="H14">
        <f>VLOOKUP(B14,Parameters!H5:I95,2)</f>
        <v>0</v>
      </c>
      <c r="J14">
        <f ca="1">(VLOOKUP(B14,Parameters!K5:L95,2))*(1-mda_efficacy)</f>
        <v>1.5000000000000013E-3</v>
      </c>
      <c r="L14">
        <f>VLOOKUP(B14,Parameters!N5:O95,2)</f>
        <v>0.05</v>
      </c>
      <c r="N14">
        <f>VLOOKUP(B14,Parameters!T5:U95,2)</f>
        <v>0.375</v>
      </c>
      <c r="P14">
        <f>VLOOKUP(B14,Parameters!T5:U95,2)</f>
        <v>0.375</v>
      </c>
      <c r="R14" s="78">
        <f>VLOOKUP(B14,Parameters!W5:X95,2)</f>
        <v>0.1</v>
      </c>
      <c r="S14" s="108"/>
      <c r="T14" s="102">
        <f ca="1">T13 -T13*F13 - T13*J13</f>
        <v>0.9706999999999999</v>
      </c>
      <c r="V14" s="94">
        <f ca="1">V13+T13*J13-V13*N13-V13*P13-V13*H13</f>
        <v>1.5000000000000013E-3</v>
      </c>
      <c r="X14" s="34">
        <f>V13*L13+ (0.7*Z13) +(0.95*AB13)</f>
        <v>0</v>
      </c>
      <c r="Z14" s="94">
        <f>Z13+V13*P13-Z13*R13</f>
        <v>0</v>
      </c>
      <c r="AB14" s="94">
        <f>AB13+V13*N13-AB13*R13</f>
        <v>0</v>
      </c>
      <c r="AD14" s="110">
        <f>AD13+T13*F13+V13*H13+Z13*R13 +AB13*R13</f>
        <v>2.7799999999999998E-2</v>
      </c>
      <c r="AE14" s="111"/>
      <c r="AF14" s="112">
        <f t="shared" ref="AF14:AF77" ca="1" si="8">T14+V14+Z14+AB14+AD14</f>
        <v>1</v>
      </c>
      <c r="AG14" s="108"/>
      <c r="AH14" s="131">
        <f>('Country details'!$C$52/('Country details'!$C$8*'Country details'!$C$6))*(1-(F14+H14))</f>
        <v>4.6708197398962058E-2</v>
      </c>
      <c r="AJ14" s="54">
        <f t="shared" ca="1" si="0"/>
        <v>3.3875383031223762</v>
      </c>
      <c r="AL14" s="138">
        <f t="shared" ca="1" si="1"/>
        <v>0</v>
      </c>
      <c r="AO14" s="135">
        <f t="shared" ca="1" si="2"/>
        <v>136.25985414673622</v>
      </c>
      <c r="AP14" s="108"/>
      <c r="AQ14" s="31">
        <f t="shared" ca="1" si="3"/>
        <v>0.96793251882540032</v>
      </c>
      <c r="AR14" s="31"/>
      <c r="AS14" s="31">
        <f t="shared" ref="AS14:AS77" ca="1" si="9">0.8*V14*1</f>
        <v>1.2000000000000012E-3</v>
      </c>
      <c r="AT14" s="31"/>
      <c r="AU14" s="31">
        <f t="shared" ca="1" si="4"/>
        <v>0</v>
      </c>
      <c r="AV14" s="31"/>
      <c r="AW14" s="31">
        <f t="shared" ca="1" si="5"/>
        <v>0</v>
      </c>
      <c r="AX14" s="31"/>
      <c r="AY14" s="31">
        <f t="shared" ca="1" si="6"/>
        <v>0</v>
      </c>
      <c r="AZ14" s="31"/>
      <c r="BA14" s="134">
        <f t="shared" ca="1" si="7"/>
        <v>0.94090535808291287</v>
      </c>
    </row>
    <row r="15" spans="1:53">
      <c r="A15" s="78"/>
      <c r="B15">
        <v>17</v>
      </c>
      <c r="D15" s="78">
        <v>2</v>
      </c>
      <c r="E15" s="108"/>
      <c r="F15">
        <f>VLOOKUP(B15,Parameters!E6:F96,2)</f>
        <v>2.7799999999999998E-2</v>
      </c>
      <c r="H15">
        <f>VLOOKUP(B15,Parameters!H6:I96,2)</f>
        <v>0.01</v>
      </c>
      <c r="J15">
        <f ca="1">(VLOOKUP(B15,Parameters!K6:L96,2))*(1-mda_efficacy)</f>
        <v>1.5000000000000013E-3</v>
      </c>
      <c r="L15">
        <f>VLOOKUP(B15,Parameters!N6:O96,2)</f>
        <v>0.05</v>
      </c>
      <c r="N15">
        <f>VLOOKUP(B15,Parameters!T6:U96,2)</f>
        <v>0.375</v>
      </c>
      <c r="P15">
        <f>VLOOKUP(B15,Parameters!T6:U96,2)</f>
        <v>0.375</v>
      </c>
      <c r="R15" s="78">
        <f>VLOOKUP(B15,Parameters!W6:X96,2)</f>
        <v>0.1</v>
      </c>
      <c r="S15" s="108"/>
      <c r="T15" s="102">
        <f t="shared" ref="T15:T78" ca="1" si="10">T14 -T14*F14 - T14*J14</f>
        <v>0.94225848999999984</v>
      </c>
      <c r="V15" s="94">
        <f t="shared" ref="V15:V78" ca="1" si="11">V14+T14*J14-V14*N14-V14*P14-V14*H14</f>
        <v>1.8310500000000016E-3</v>
      </c>
      <c r="X15" s="34">
        <f t="shared" ref="X15:X78" ca="1" si="12">V14*L14+ (0.7*Z14) +(0.95*AB14)</f>
        <v>7.5000000000000075E-5</v>
      </c>
      <c r="Z15" s="94">
        <f t="shared" ref="Z15:Z78" ca="1" si="13">Z14+V14*P14-Z14*R14</f>
        <v>5.625000000000005E-4</v>
      </c>
      <c r="AB15" s="94">
        <f t="shared" ref="AB15:AB78" ca="1" si="14">AB14+V14*N14-AB14*R14</f>
        <v>5.625000000000005E-4</v>
      </c>
      <c r="AD15" s="110">
        <f t="shared" ref="AD15:AD78" ca="1" si="15">AD14+T14*F14+V14*H14+Z14*R14 +AB14*R14</f>
        <v>5.4785459999999994E-2</v>
      </c>
      <c r="AE15" s="111"/>
      <c r="AF15" s="112">
        <f t="shared" ca="1" si="8"/>
        <v>0.99999999999999989</v>
      </c>
      <c r="AG15" s="108"/>
      <c r="AH15" s="131">
        <f>('Country details'!$C$52/('Country details'!$C$8*'Country details'!$C$6))*(1-(F15+H15))</f>
        <v>4.6227759244272054E-2</v>
      </c>
      <c r="AJ15" s="54">
        <f t="shared" ca="1" si="0"/>
        <v>3.3875383031223762</v>
      </c>
      <c r="AL15" s="138">
        <f t="shared" ca="1" si="1"/>
        <v>5.1797440356350102E-2</v>
      </c>
      <c r="AO15" s="135">
        <f t="shared" ca="1" si="2"/>
        <v>132.33949172715617</v>
      </c>
      <c r="AP15" s="108"/>
      <c r="AQ15" s="31">
        <f t="shared" ca="1" si="3"/>
        <v>0.93957209602381608</v>
      </c>
      <c r="AR15" s="31"/>
      <c r="AS15" s="31">
        <f t="shared" ca="1" si="9"/>
        <v>1.4648400000000013E-3</v>
      </c>
      <c r="AT15" s="31"/>
      <c r="AU15" s="31">
        <f t="shared" ca="1" si="4"/>
        <v>2.0073599854211248E-5</v>
      </c>
      <c r="AV15" s="31"/>
      <c r="AW15" s="31">
        <f t="shared" ca="1" si="5"/>
        <v>3.8272910875238167E-5</v>
      </c>
      <c r="AX15" s="31"/>
      <c r="AY15" s="31">
        <f t="shared" ca="1" si="6"/>
        <v>6.509022887388816E-5</v>
      </c>
      <c r="AZ15" s="31"/>
      <c r="BA15" s="134">
        <f t="shared" ca="1" si="7"/>
        <v>0.88713391720559853</v>
      </c>
    </row>
    <row r="16" spans="1:53">
      <c r="A16" s="78"/>
      <c r="B16">
        <v>18</v>
      </c>
      <c r="D16" s="78">
        <v>3</v>
      </c>
      <c r="E16" s="108"/>
      <c r="F16">
        <f>VLOOKUP(B16,Parameters!E7:F97,2)</f>
        <v>2.7799999999999998E-2</v>
      </c>
      <c r="H16">
        <f>VLOOKUP(B16,Parameters!H7:I97,2)</f>
        <v>0.01</v>
      </c>
      <c r="J16">
        <f ca="1">(VLOOKUP(B16,Parameters!K7:L97,2))*(1-mda_efficacy)</f>
        <v>1.5000000000000013E-3</v>
      </c>
      <c r="L16">
        <f>VLOOKUP(B16,Parameters!N7:O97,2)</f>
        <v>0.05</v>
      </c>
      <c r="N16">
        <f>VLOOKUP(B16,Parameters!T7:U97,2)</f>
        <v>0.375</v>
      </c>
      <c r="P16">
        <f>VLOOKUP(B16,Parameters!T7:U97,2)</f>
        <v>0.375</v>
      </c>
      <c r="R16" s="78">
        <f>VLOOKUP(B16,Parameters!W7:X97,2)</f>
        <v>0.1</v>
      </c>
      <c r="S16" s="108"/>
      <c r="T16" s="102">
        <f t="shared" ca="1" si="10"/>
        <v>0.91465031624299986</v>
      </c>
      <c r="V16" s="94">
        <f t="shared" ca="1" si="11"/>
        <v>1.8528397350000014E-3</v>
      </c>
      <c r="X16" s="34">
        <f t="shared" ca="1" si="12"/>
        <v>1.0196775000000009E-3</v>
      </c>
      <c r="Z16" s="94">
        <f t="shared" ca="1" si="13"/>
        <v>1.1928937500000011E-3</v>
      </c>
      <c r="AB16" s="94">
        <f t="shared" ca="1" si="14"/>
        <v>1.1928937500000011E-3</v>
      </c>
      <c r="AD16" s="110">
        <f t="shared" ca="1" si="15"/>
        <v>8.1111056521999972E-2</v>
      </c>
      <c r="AE16" s="111"/>
      <c r="AF16" s="112">
        <f t="shared" ca="1" si="8"/>
        <v>0.99999999999999989</v>
      </c>
      <c r="AG16" s="108"/>
      <c r="AH16" s="131">
        <f>('Country details'!$C$52/('Country details'!$C$8*'Country details'!$C$6))*(1-(F16+H16))</f>
        <v>4.6227759244272054E-2</v>
      </c>
      <c r="AJ16" s="54">
        <f t="shared" ca="1" si="0"/>
        <v>3.3875383031223762</v>
      </c>
      <c r="AL16" s="138">
        <f t="shared" ca="1" si="1"/>
        <v>0.15709055321588081</v>
      </c>
      <c r="AO16" s="135">
        <f t="shared" ca="1" si="2"/>
        <v>128.58130153844417</v>
      </c>
      <c r="AP16" s="108"/>
      <c r="AQ16" s="31">
        <f t="shared" ca="1" si="3"/>
        <v>0.91204263361031823</v>
      </c>
      <c r="AR16" s="31"/>
      <c r="AS16" s="31">
        <f t="shared" ca="1" si="9"/>
        <v>1.4822717880000013E-3</v>
      </c>
      <c r="AT16" s="31"/>
      <c r="AU16" s="31">
        <f t="shared" ca="1" si="4"/>
        <v>2.7291464153789981E-4</v>
      </c>
      <c r="AV16" s="31"/>
      <c r="AW16" s="31">
        <f t="shared" ca="1" si="5"/>
        <v>8.1165362093117588E-5</v>
      </c>
      <c r="AX16" s="31"/>
      <c r="AY16" s="31">
        <f t="shared" ca="1" si="6"/>
        <v>1.3803684837285462E-4</v>
      </c>
      <c r="AZ16" s="31"/>
      <c r="BA16" s="134">
        <f t="shared" ca="1" si="7"/>
        <v>0.83645505441919354</v>
      </c>
    </row>
    <row r="17" spans="1:53">
      <c r="A17" s="78"/>
      <c r="B17">
        <v>19</v>
      </c>
      <c r="D17" s="78">
        <v>4</v>
      </c>
      <c r="E17" s="108"/>
      <c r="F17">
        <f>VLOOKUP(B17,Parameters!E8:F98,2)</f>
        <v>2.7799999999999998E-2</v>
      </c>
      <c r="H17">
        <f>VLOOKUP(B17,Parameters!H8:I98,2)</f>
        <v>0.01</v>
      </c>
      <c r="J17">
        <f ca="1">(VLOOKUP(B17,Parameters!K8:L98,2))*(1-mda_efficacy)</f>
        <v>1.5000000000000013E-3</v>
      </c>
      <c r="L17">
        <f>VLOOKUP(B17,Parameters!N8:O98,2)</f>
        <v>0.05</v>
      </c>
      <c r="N17">
        <f>VLOOKUP(B17,Parameters!T8:U98,2)</f>
        <v>0.375</v>
      </c>
      <c r="P17">
        <f>VLOOKUP(B17,Parameters!T8:U98,2)</f>
        <v>0.375</v>
      </c>
      <c r="R17" s="78">
        <f>VLOOKUP(B17,Parameters!W8:X98,2)</f>
        <v>0.1</v>
      </c>
      <c r="S17" s="108"/>
      <c r="T17" s="102">
        <f t="shared" ca="1" si="10"/>
        <v>0.88785106197707997</v>
      </c>
      <c r="V17" s="94">
        <f t="shared" ca="1" si="11"/>
        <v>1.816657010764501E-3</v>
      </c>
      <c r="X17" s="34">
        <f t="shared" ca="1" si="12"/>
        <v>2.0609166742500016E-3</v>
      </c>
      <c r="Z17" s="94">
        <f t="shared" ca="1" si="13"/>
        <v>1.7684192756250016E-3</v>
      </c>
      <c r="AB17" s="94">
        <f t="shared" ca="1" si="14"/>
        <v>1.7684192756250016E-3</v>
      </c>
      <c r="AD17" s="110">
        <f t="shared" ca="1" si="15"/>
        <v>0.10679544246090536</v>
      </c>
      <c r="AE17" s="111"/>
      <c r="AF17" s="112">
        <f t="shared" ca="1" si="8"/>
        <v>0.99999999999999978</v>
      </c>
      <c r="AG17" s="108"/>
      <c r="AH17" s="131">
        <f>('Country details'!$C$52/('Country details'!$C$8*'Country details'!$C$6))*(1-(F17+H17))</f>
        <v>4.6227759244272054E-2</v>
      </c>
      <c r="AJ17" s="54">
        <f t="shared" ca="1" si="0"/>
        <v>3.3875383031223762</v>
      </c>
      <c r="AL17" s="138">
        <f t="shared" ca="1" si="1"/>
        <v>0.26303347911331432</v>
      </c>
      <c r="AO17" s="135">
        <f t="shared" ca="1" si="2"/>
        <v>124.93034400334631</v>
      </c>
      <c r="AP17" s="108"/>
      <c r="AQ17" s="31">
        <f t="shared" ca="1" si="3"/>
        <v>0.88531978444553594</v>
      </c>
      <c r="AR17" s="31"/>
      <c r="AS17" s="31">
        <f t="shared" ca="1" si="9"/>
        <v>1.4533256086116009E-3</v>
      </c>
      <c r="AT17" s="31"/>
      <c r="AU17" s="31">
        <f t="shared" ca="1" si="4"/>
        <v>5.5160022202355088E-4</v>
      </c>
      <c r="AV17" s="31"/>
      <c r="AW17" s="31">
        <f t="shared" ca="1" si="5"/>
        <v>1.2032453924630909E-4</v>
      </c>
      <c r="AX17" s="31"/>
      <c r="AY17" s="31">
        <f t="shared" ca="1" si="6"/>
        <v>2.0463433848075867E-4</v>
      </c>
      <c r="AZ17" s="31"/>
      <c r="BA17" s="134">
        <f t="shared" ca="1" si="7"/>
        <v>0.78866523412988487</v>
      </c>
    </row>
    <row r="18" spans="1:53">
      <c r="A18" s="78"/>
      <c r="B18">
        <v>20</v>
      </c>
      <c r="D18" s="78">
        <v>5</v>
      </c>
      <c r="E18" s="108"/>
      <c r="F18">
        <f>VLOOKUP(B18,Parameters!E9:F99,2)</f>
        <v>3.6200000000000003E-2</v>
      </c>
      <c r="H18">
        <f>VLOOKUP(B18,Parameters!H9:I99,2)</f>
        <v>0.01</v>
      </c>
      <c r="J18">
        <f ca="1">(VLOOKUP(B18,Parameters!K9:L99,2))*(1-mda_efficacy)</f>
        <v>1.5000000000000013E-3</v>
      </c>
      <c r="L18">
        <f>VLOOKUP(B18,Parameters!N9:O99,2)</f>
        <v>5.5E-2</v>
      </c>
      <c r="N18">
        <f>VLOOKUP(B18,Parameters!T9:U99,2)</f>
        <v>0.375</v>
      </c>
      <c r="P18">
        <f>VLOOKUP(B18,Parameters!T9:U99,2)</f>
        <v>0.375</v>
      </c>
      <c r="R18" s="78">
        <f>VLOOKUP(B18,Parameters!W9:X99,2)</f>
        <v>0.1</v>
      </c>
      <c r="S18" s="108"/>
      <c r="T18" s="102">
        <f t="shared" ca="1" si="10"/>
        <v>0.86183702586115163</v>
      </c>
      <c r="V18" s="94">
        <f t="shared" ca="1" si="11"/>
        <v>1.7677742755491017E-3</v>
      </c>
      <c r="X18" s="34">
        <f t="shared" ca="1" si="12"/>
        <v>3.0087246553194774E-3</v>
      </c>
      <c r="Z18" s="94">
        <f t="shared" ca="1" si="13"/>
        <v>2.2728237270991892E-3</v>
      </c>
      <c r="AB18" s="94">
        <f t="shared" ca="1" si="14"/>
        <v>2.2728237270991892E-3</v>
      </c>
      <c r="AD18" s="110">
        <f t="shared" ca="1" si="15"/>
        <v>0.13184955240910085</v>
      </c>
      <c r="AE18" s="111"/>
      <c r="AF18" s="112">
        <f t="shared" ca="1" si="8"/>
        <v>0.99999999999999978</v>
      </c>
      <c r="AG18" s="108"/>
      <c r="AH18" s="131">
        <f>('Country details'!$C$52/('Country details'!$C$8*'Country details'!$C$6))*(1-(F18+H18))</f>
        <v>4.5824191194332453E-2</v>
      </c>
      <c r="AJ18" s="54">
        <f t="shared" ca="1" si="0"/>
        <v>3.4015613767128268</v>
      </c>
      <c r="AL18" s="138">
        <f t="shared" ca="1" si="1"/>
        <v>0.35781894953456306</v>
      </c>
      <c r="AO18" s="135">
        <f t="shared" ca="1" si="2"/>
        <v>121.38510720428926</v>
      </c>
      <c r="AP18" s="108"/>
      <c r="AQ18" s="31">
        <f t="shared" ca="1" si="3"/>
        <v>0.85937991476128184</v>
      </c>
      <c r="AR18" s="31"/>
      <c r="AS18" s="31">
        <f t="shared" ca="1" si="9"/>
        <v>1.4142194204392815E-3</v>
      </c>
      <c r="AT18" s="31"/>
      <c r="AU18" s="31">
        <f t="shared" ca="1" si="4"/>
        <v>8.0527913069843721E-4</v>
      </c>
      <c r="AV18" s="31"/>
      <c r="AW18" s="31">
        <f t="shared" ca="1" si="5"/>
        <v>1.546445865642557E-4</v>
      </c>
      <c r="AX18" s="31"/>
      <c r="AY18" s="31">
        <f t="shared" ca="1" si="6"/>
        <v>2.6300198504335934E-4</v>
      </c>
      <c r="AZ18" s="31"/>
      <c r="BA18" s="134">
        <f t="shared" ca="1" si="7"/>
        <v>0.74358348814497177</v>
      </c>
    </row>
    <row r="19" spans="1:53">
      <c r="A19" s="78"/>
      <c r="B19">
        <v>21</v>
      </c>
      <c r="D19" s="78">
        <v>6</v>
      </c>
      <c r="E19" s="108"/>
      <c r="F19">
        <f>VLOOKUP(B19,Parameters!E10:F100,2)</f>
        <v>3.6200000000000003E-2</v>
      </c>
      <c r="H19">
        <f>VLOOKUP(B19,Parameters!H10:I100,2)</f>
        <v>0.01</v>
      </c>
      <c r="J19">
        <f ca="1">(VLOOKUP(B19,Parameters!K10:L100,2))*(1-mda_efficacy)</f>
        <v>1.5000000000000013E-3</v>
      </c>
      <c r="L19">
        <f>VLOOKUP(B19,Parameters!N10:O100,2)</f>
        <v>5.5E-2</v>
      </c>
      <c r="N19">
        <f>VLOOKUP(B19,Parameters!T10:U100,2)</f>
        <v>0.375</v>
      </c>
      <c r="P19">
        <f>VLOOKUP(B19,Parameters!T10:U100,2)</f>
        <v>0.375</v>
      </c>
      <c r="R19" s="78">
        <f>VLOOKUP(B19,Parameters!W10:X100,2)</f>
        <v>0.1</v>
      </c>
      <c r="S19" s="108"/>
      <c r="T19" s="102">
        <f t="shared" ca="1" si="10"/>
        <v>0.82934576998618625</v>
      </c>
      <c r="V19" s="94">
        <f t="shared" ca="1" si="11"/>
        <v>1.7170213649235128E-3</v>
      </c>
      <c r="X19" s="34">
        <f t="shared" ca="1" si="12"/>
        <v>3.8473867348688628E-3</v>
      </c>
      <c r="Z19" s="94">
        <f t="shared" ca="1" si="13"/>
        <v>2.7084567077201834E-3</v>
      </c>
      <c r="AB19" s="94">
        <f t="shared" ca="1" si="14"/>
        <v>2.7084567077201834E-3</v>
      </c>
      <c r="AD19" s="110">
        <f t="shared" ca="1" si="15"/>
        <v>0.16352029523344985</v>
      </c>
      <c r="AE19" s="111"/>
      <c r="AF19" s="112">
        <f t="shared" ca="1" si="8"/>
        <v>0.99999999999999978</v>
      </c>
      <c r="AG19" s="108"/>
      <c r="AH19" s="131">
        <f>('Country details'!$C$52/('Country details'!$C$8*'Country details'!$C$6))*(1-(F19+H19))</f>
        <v>4.5824191194332453E-2</v>
      </c>
      <c r="AJ19" s="54">
        <f t="shared" ca="1" si="0"/>
        <v>3.4015613767128268</v>
      </c>
      <c r="AL19" s="138">
        <f t="shared" ca="1" si="1"/>
        <v>0.4407834750629579</v>
      </c>
      <c r="AO19" s="135">
        <f t="shared" ca="1" si="2"/>
        <v>117.9191001289343</v>
      </c>
      <c r="AP19" s="108"/>
      <c r="AQ19" s="31">
        <f t="shared" ca="1" si="3"/>
        <v>0.82698129197478154</v>
      </c>
      <c r="AR19" s="31"/>
      <c r="AS19" s="31">
        <f t="shared" ca="1" si="9"/>
        <v>1.3736170919388105E-3</v>
      </c>
      <c r="AT19" s="31"/>
      <c r="AU19" s="31">
        <f t="shared" ca="1" si="4"/>
        <v>1.0297453573354376E-3</v>
      </c>
      <c r="AV19" s="31"/>
      <c r="AW19" s="31">
        <f t="shared" ca="1" si="5"/>
        <v>1.8428537277158307E-4</v>
      </c>
      <c r="AX19" s="31"/>
      <c r="AY19" s="31">
        <f t="shared" ca="1" si="6"/>
        <v>3.1341167466759857E-4</v>
      </c>
      <c r="AZ19" s="31"/>
      <c r="BA19" s="134">
        <f t="shared" ca="1" si="7"/>
        <v>0.69501340425698821</v>
      </c>
    </row>
    <row r="20" spans="1:53">
      <c r="A20" s="78"/>
      <c r="B20">
        <v>22</v>
      </c>
      <c r="D20" s="78">
        <v>7</v>
      </c>
      <c r="E20" s="108"/>
      <c r="F20">
        <f>VLOOKUP(B20,Parameters!E11:F101,2)</f>
        <v>3.6200000000000003E-2</v>
      </c>
      <c r="H20">
        <f>VLOOKUP(B20,Parameters!H11:I101,2)</f>
        <v>0.01</v>
      </c>
      <c r="J20">
        <f ca="1">(VLOOKUP(B20,Parameters!K11:L101,2))*(1-mda_efficacy)</f>
        <v>1.5000000000000013E-3</v>
      </c>
      <c r="L20">
        <f>VLOOKUP(B20,Parameters!N11:O101,2)</f>
        <v>5.5E-2</v>
      </c>
      <c r="N20">
        <f>VLOOKUP(B20,Parameters!T11:U101,2)</f>
        <v>0.375</v>
      </c>
      <c r="P20">
        <f>VLOOKUP(B20,Parameters!T11:U101,2)</f>
        <v>0.375</v>
      </c>
      <c r="R20" s="78">
        <f>VLOOKUP(B20,Parameters!W11:X101,2)</f>
        <v>0.1</v>
      </c>
      <c r="S20" s="108"/>
      <c r="T20" s="102">
        <f t="shared" ca="1" si="10"/>
        <v>0.79807943445770702</v>
      </c>
      <c r="V20" s="94">
        <f t="shared" ca="1" si="11"/>
        <v>1.6561037825609233E-3</v>
      </c>
      <c r="X20" s="34">
        <f t="shared" ca="1" si="12"/>
        <v>4.5633897428090956E-3</v>
      </c>
      <c r="Z20" s="94">
        <f t="shared" ca="1" si="13"/>
        <v>3.0814940487944825E-3</v>
      </c>
      <c r="AB20" s="94">
        <f t="shared" ca="1" si="14"/>
        <v>3.0814940487944825E-3</v>
      </c>
      <c r="AD20" s="110">
        <f t="shared" ca="1" si="15"/>
        <v>0.19410147366214306</v>
      </c>
      <c r="AE20" s="111"/>
      <c r="AF20" s="112">
        <f t="shared" ca="1" si="8"/>
        <v>0.99999999999999978</v>
      </c>
      <c r="AG20" s="108"/>
      <c r="AH20" s="131">
        <f>('Country details'!$C$52/('Country details'!$C$8*'Country details'!$C$6))*(1-(F20+H20))</f>
        <v>4.5824191194332453E-2</v>
      </c>
      <c r="AJ20" s="54">
        <f t="shared" ca="1" si="0"/>
        <v>3.4015613767128268</v>
      </c>
      <c r="AL20" s="138">
        <f t="shared" ca="1" si="1"/>
        <v>0.51170874939484245</v>
      </c>
      <c r="AO20" s="135">
        <f t="shared" ca="1" si="2"/>
        <v>114.54223197047398</v>
      </c>
      <c r="AP20" s="108"/>
      <c r="AQ20" s="31">
        <f t="shared" ca="1" si="3"/>
        <v>0.79580409726733226</v>
      </c>
      <c r="AR20" s="31"/>
      <c r="AS20" s="31">
        <f t="shared" ca="1" si="9"/>
        <v>1.3248830260487387E-3</v>
      </c>
      <c r="AT20" s="31"/>
      <c r="AU20" s="31">
        <f t="shared" ca="1" si="4"/>
        <v>1.2213821290128224E-3</v>
      </c>
      <c r="AV20" s="31"/>
      <c r="AW20" s="31">
        <f t="shared" ca="1" si="5"/>
        <v>2.0966710594148965E-4</v>
      </c>
      <c r="AX20" s="31"/>
      <c r="AY20" s="31">
        <f t="shared" ca="1" si="6"/>
        <v>3.5657804961699018E-4</v>
      </c>
      <c r="AZ20" s="31"/>
      <c r="BA20" s="134">
        <f t="shared" ca="1" si="7"/>
        <v>0.64959231189286226</v>
      </c>
    </row>
    <row r="21" spans="1:53">
      <c r="A21" s="78"/>
      <c r="B21">
        <v>23</v>
      </c>
      <c r="D21" s="78">
        <v>8</v>
      </c>
      <c r="E21" s="108"/>
      <c r="F21">
        <f>VLOOKUP(B21,Parameters!E12:F102,2)</f>
        <v>3.6200000000000003E-2</v>
      </c>
      <c r="H21">
        <f>VLOOKUP(B21,Parameters!H12:I102,2)</f>
        <v>0.01</v>
      </c>
      <c r="J21">
        <f ca="1">(VLOOKUP(B21,Parameters!K12:L102,2))*(1-mda_efficacy)</f>
        <v>1.5000000000000013E-3</v>
      </c>
      <c r="L21">
        <f>VLOOKUP(B21,Parameters!N12:O102,2)</f>
        <v>5.5E-2</v>
      </c>
      <c r="N21">
        <f>VLOOKUP(B21,Parameters!T12:U102,2)</f>
        <v>0.375</v>
      </c>
      <c r="P21">
        <f>VLOOKUP(B21,Parameters!T12:U102,2)</f>
        <v>0.375</v>
      </c>
      <c r="R21" s="78">
        <f>VLOOKUP(B21,Parameters!W12:X102,2)</f>
        <v>0.1</v>
      </c>
      <c r="S21" s="108"/>
      <c r="T21" s="102">
        <f t="shared" ca="1" si="10"/>
        <v>0.76799183977865149</v>
      </c>
      <c r="V21" s="94">
        <f t="shared" ca="1" si="11"/>
        <v>1.5945840595011829E-3</v>
      </c>
      <c r="X21" s="34">
        <f t="shared" ca="1" si="12"/>
        <v>5.1755508885517471E-3</v>
      </c>
      <c r="Z21" s="94">
        <f t="shared" ca="1" si="13"/>
        <v>3.3943835623753806E-3</v>
      </c>
      <c r="AB21" s="94">
        <f t="shared" ca="1" si="14"/>
        <v>3.3943835623753806E-3</v>
      </c>
      <c r="AD21" s="110">
        <f t="shared" ca="1" si="15"/>
        <v>0.22362480903709656</v>
      </c>
      <c r="AE21" s="111"/>
      <c r="AF21" s="112">
        <f t="shared" ca="1" si="8"/>
        <v>1</v>
      </c>
      <c r="AG21" s="108"/>
      <c r="AH21" s="131">
        <f>('Country details'!$C$52/('Country details'!$C$8*'Country details'!$C$6))*(1-(F21+H21))</f>
        <v>4.5824191194332453E-2</v>
      </c>
      <c r="AJ21" s="54">
        <f t="shared" ca="1" si="0"/>
        <v>3.4015613767128268</v>
      </c>
      <c r="AL21" s="138">
        <f t="shared" ca="1" si="1"/>
        <v>0.57183522585586744</v>
      </c>
      <c r="AO21" s="135">
        <f t="shared" ca="1" si="2"/>
        <v>111.25351485251596</v>
      </c>
      <c r="AP21" s="108"/>
      <c r="AQ21" s="31">
        <f t="shared" ca="1" si="3"/>
        <v>0.7658022828003539</v>
      </c>
      <c r="AR21" s="31"/>
      <c r="AS21" s="31">
        <f t="shared" ca="1" si="9"/>
        <v>1.2756672476009463E-3</v>
      </c>
      <c r="AT21" s="31"/>
      <c r="AU21" s="31">
        <f t="shared" ca="1" si="4"/>
        <v>1.3852258341586019E-3</v>
      </c>
      <c r="AV21" s="31"/>
      <c r="AW21" s="31">
        <f t="shared" ca="1" si="5"/>
        <v>2.3095633699407334E-4</v>
      </c>
      <c r="AX21" s="31"/>
      <c r="AY21" s="31">
        <f t="shared" ca="1" si="6"/>
        <v>3.9278436081915935E-4</v>
      </c>
      <c r="AZ21" s="31"/>
      <c r="BA21" s="134">
        <f t="shared" ca="1" si="7"/>
        <v>0.60712431393822575</v>
      </c>
    </row>
    <row r="22" spans="1:53">
      <c r="A22" s="78"/>
      <c r="B22">
        <v>24</v>
      </c>
      <c r="D22" s="78">
        <v>9</v>
      </c>
      <c r="E22" s="108"/>
      <c r="F22">
        <f>VLOOKUP(B22,Parameters!E13:F103,2)</f>
        <v>3.6200000000000003E-2</v>
      </c>
      <c r="H22">
        <f>VLOOKUP(B22,Parameters!H13:I103,2)</f>
        <v>0.01</v>
      </c>
      <c r="J22">
        <f ca="1">(VLOOKUP(B22,Parameters!K13:L103,2))*(1-mda_efficacy)</f>
        <v>1.5000000000000013E-3</v>
      </c>
      <c r="L22">
        <f>VLOOKUP(B22,Parameters!N13:O103,2)</f>
        <v>5.5E-2</v>
      </c>
      <c r="N22">
        <f>VLOOKUP(B22,Parameters!T13:U103,2)</f>
        <v>0.375</v>
      </c>
      <c r="P22">
        <f>VLOOKUP(B22,Parameters!T13:U103,2)</f>
        <v>0.375</v>
      </c>
      <c r="R22" s="78">
        <f>VLOOKUP(B22,Parameters!W13:X103,2)</f>
        <v>0.1</v>
      </c>
      <c r="S22" s="108"/>
      <c r="T22" s="102">
        <f t="shared" ca="1" si="10"/>
        <v>0.73903854741899633</v>
      </c>
      <c r="V22" s="94">
        <f t="shared" ca="1" si="11"/>
        <v>1.5346879339482623E-3</v>
      </c>
      <c r="X22" s="34">
        <f t="shared" ca="1" si="12"/>
        <v>5.6884350011919427E-3</v>
      </c>
      <c r="Z22" s="94">
        <f t="shared" ca="1" si="13"/>
        <v>3.6529142284507858E-3</v>
      </c>
      <c r="AB22" s="94">
        <f t="shared" ca="1" si="14"/>
        <v>3.6529142284507858E-3</v>
      </c>
      <c r="AD22" s="110">
        <f t="shared" ca="1" si="15"/>
        <v>0.25212093619015385</v>
      </c>
      <c r="AE22" s="111"/>
      <c r="AF22" s="112">
        <f t="shared" ca="1" si="8"/>
        <v>1</v>
      </c>
      <c r="AG22" s="108"/>
      <c r="AH22" s="131">
        <f>('Country details'!$C$52/('Country details'!$C$8*'Country details'!$C$6))*(1-(F22+H22))</f>
        <v>4.5824191194332453E-2</v>
      </c>
      <c r="AJ22" s="54">
        <f t="shared" ca="1" si="0"/>
        <v>3.4015613767128268</v>
      </c>
      <c r="AL22" s="138">
        <f t="shared" ca="1" si="1"/>
        <v>0.6219041923883416</v>
      </c>
      <c r="AO22" s="135">
        <f t="shared" ca="1" si="2"/>
        <v>108.05149490975656</v>
      </c>
      <c r="AP22" s="108"/>
      <c r="AQ22" s="31">
        <f t="shared" ca="1" si="3"/>
        <v>0.73693153673878053</v>
      </c>
      <c r="AR22" s="31"/>
      <c r="AS22" s="31">
        <f t="shared" ca="1" si="9"/>
        <v>1.2277503471586099E-3</v>
      </c>
      <c r="AT22" s="31"/>
      <c r="AU22" s="31">
        <f t="shared" ca="1" si="4"/>
        <v>1.522498240141555E-3</v>
      </c>
      <c r="AV22" s="31"/>
      <c r="AW22" s="31">
        <f t="shared" ca="1" si="5"/>
        <v>2.4854695235624209E-4</v>
      </c>
      <c r="AX22" s="31"/>
      <c r="AY22" s="31">
        <f t="shared" ca="1" si="6"/>
        <v>4.2270048566496715E-4</v>
      </c>
      <c r="AZ22" s="31"/>
      <c r="BA22" s="134">
        <f t="shared" ca="1" si="7"/>
        <v>0.56741895215175708</v>
      </c>
    </row>
    <row r="23" spans="1:53">
      <c r="A23" s="78"/>
      <c r="B23">
        <v>25</v>
      </c>
      <c r="D23" s="78">
        <v>10</v>
      </c>
      <c r="E23" s="108"/>
      <c r="F23">
        <f>VLOOKUP(B23,Parameters!E14:F104,2)</f>
        <v>4.9799999999999997E-2</v>
      </c>
      <c r="H23">
        <f>VLOOKUP(B23,Parameters!H14:I104,2)</f>
        <v>0.01</v>
      </c>
      <c r="J23">
        <f ca="1">(VLOOKUP(B23,Parameters!K14:L104,2))*(1-mda_efficacy)</f>
        <v>1.5000000000000013E-3</v>
      </c>
      <c r="L23">
        <f>VLOOKUP(B23,Parameters!N14:O104,2)</f>
        <v>5.5E-2</v>
      </c>
      <c r="N23">
        <f>VLOOKUP(B23,Parameters!T14:U104,2)</f>
        <v>0.375</v>
      </c>
      <c r="P23">
        <f>VLOOKUP(B23,Parameters!T14:U104,2)</f>
        <v>0.375</v>
      </c>
      <c r="R23" s="78">
        <f>VLOOKUP(B23,Parameters!W14:X104,2)</f>
        <v>0.1</v>
      </c>
      <c r="S23" s="108"/>
      <c r="T23" s="102">
        <f t="shared" ca="1" si="10"/>
        <v>0.7111767941813002</v>
      </c>
      <c r="V23" s="94">
        <f t="shared" ca="1" si="11"/>
        <v>1.4768829252760785E-3</v>
      </c>
      <c r="X23" s="34">
        <f t="shared" ca="1" si="12"/>
        <v>6.1117163133109506E-3</v>
      </c>
      <c r="Z23" s="94">
        <f t="shared" ca="1" si="13"/>
        <v>3.8631307808363055E-3</v>
      </c>
      <c r="AB23" s="94">
        <f t="shared" ca="1" si="14"/>
        <v>3.8631307808363055E-3</v>
      </c>
      <c r="AD23" s="110">
        <f t="shared" ca="1" si="15"/>
        <v>0.27962006133175116</v>
      </c>
      <c r="AE23" s="111"/>
      <c r="AF23" s="112">
        <f t="shared" ca="1" si="8"/>
        <v>1</v>
      </c>
      <c r="AG23" s="108"/>
      <c r="AH23" s="131">
        <f>('Country details'!$C$52/('Country details'!$C$8*'Country details'!$C$6))*(1-(F23+H23))</f>
        <v>4.5170795303954049E-2</v>
      </c>
      <c r="AJ23" s="54">
        <f t="shared" ca="1" si="0"/>
        <v>3.4015613767128268</v>
      </c>
      <c r="AL23" s="138">
        <f t="shared" ca="1" si="1"/>
        <v>0.66295909491550165</v>
      </c>
      <c r="AO23" s="135">
        <f t="shared" ca="1" si="2"/>
        <v>104.934426505296</v>
      </c>
      <c r="AP23" s="108"/>
      <c r="AQ23" s="31">
        <f t="shared" ca="1" si="3"/>
        <v>0.70914921780372853</v>
      </c>
      <c r="AR23" s="31"/>
      <c r="AS23" s="31">
        <f t="shared" ca="1" si="9"/>
        <v>1.1815063402208629E-3</v>
      </c>
      <c r="AT23" s="31"/>
      <c r="AU23" s="31">
        <f t="shared" ca="1" si="4"/>
        <v>1.6357886359447877E-3</v>
      </c>
      <c r="AV23" s="31"/>
      <c r="AW23" s="31">
        <f t="shared" ca="1" si="5"/>
        <v>2.6285024013215469E-4</v>
      </c>
      <c r="AX23" s="31"/>
      <c r="AY23" s="31">
        <f t="shared" ca="1" si="6"/>
        <v>4.4702589634559501E-4</v>
      </c>
      <c r="AZ23" s="31"/>
      <c r="BA23" s="134">
        <f t="shared" ca="1" si="7"/>
        <v>0.53029816428324428</v>
      </c>
    </row>
    <row r="24" spans="1:53">
      <c r="A24" s="78"/>
      <c r="B24">
        <v>26</v>
      </c>
      <c r="D24" s="78">
        <v>11</v>
      </c>
      <c r="E24" s="108"/>
      <c r="F24">
        <f>VLOOKUP(B24,Parameters!E15:F105,2)</f>
        <v>4.9799999999999997E-2</v>
      </c>
      <c r="H24">
        <f>VLOOKUP(B24,Parameters!H15:I105,2)</f>
        <v>0.01</v>
      </c>
      <c r="J24">
        <f ca="1">(VLOOKUP(B24,Parameters!K15:L105,2))*(1-mda_efficacy)</f>
        <v>1.5000000000000013E-3</v>
      </c>
      <c r="L24">
        <f>VLOOKUP(B24,Parameters!N15:O105,2)</f>
        <v>5.5E-2</v>
      </c>
      <c r="N24">
        <f>VLOOKUP(B24,Parameters!T15:U105,2)</f>
        <v>0.375</v>
      </c>
      <c r="P24">
        <f>VLOOKUP(B24,Parameters!T15:U105,2)</f>
        <v>0.375</v>
      </c>
      <c r="R24" s="78">
        <f>VLOOKUP(B24,Parameters!W15:X105,2)</f>
        <v>0.1</v>
      </c>
      <c r="S24" s="108"/>
      <c r="T24" s="102">
        <f t="shared" ca="1" si="10"/>
        <v>0.67469342463979953</v>
      </c>
      <c r="V24" s="94">
        <f t="shared" ca="1" si="11"/>
        <v>1.42121709333821E-3</v>
      </c>
      <c r="X24" s="34">
        <f t="shared" ca="1" si="12"/>
        <v>6.4553943492700883E-3</v>
      </c>
      <c r="Z24" s="94">
        <f t="shared" ca="1" si="13"/>
        <v>4.0306487997312044E-3</v>
      </c>
      <c r="AB24" s="94">
        <f t="shared" ca="1" si="14"/>
        <v>4.0306487997312044E-3</v>
      </c>
      <c r="AD24" s="110">
        <f t="shared" ca="1" si="15"/>
        <v>0.31582406066739993</v>
      </c>
      <c r="AE24" s="111"/>
      <c r="AF24" s="112">
        <f t="shared" ca="1" si="8"/>
        <v>1.0000000000000002</v>
      </c>
      <c r="AG24" s="108"/>
      <c r="AH24" s="131">
        <f>('Country details'!$C$52/('Country details'!$C$8*'Country details'!$C$6))*(1-(F24+H24))</f>
        <v>4.5170795303954049E-2</v>
      </c>
      <c r="AJ24" s="54">
        <f t="shared" ca="1" si="0"/>
        <v>3.4015613767128268</v>
      </c>
      <c r="AL24" s="138">
        <f t="shared" ca="1" si="1"/>
        <v>0.69602485891641186</v>
      </c>
      <c r="AO24" s="135">
        <f t="shared" ca="1" si="2"/>
        <v>101.90197139716552</v>
      </c>
      <c r="AP24" s="108"/>
      <c r="AQ24" s="31">
        <f t="shared" ca="1" si="3"/>
        <v>0.67276986293039731</v>
      </c>
      <c r="AR24" s="31"/>
      <c r="AS24" s="31">
        <f t="shared" ca="1" si="9"/>
        <v>1.136973674670568E-3</v>
      </c>
      <c r="AT24" s="31"/>
      <c r="AU24" s="31">
        <f t="shared" ca="1" si="4"/>
        <v>1.7277733742451203E-3</v>
      </c>
      <c r="AV24" s="31"/>
      <c r="AW24" s="31">
        <f t="shared" ca="1" si="5"/>
        <v>2.7424828850044076E-4</v>
      </c>
      <c r="AX24" s="31"/>
      <c r="AY24" s="31">
        <f t="shared" ca="1" si="6"/>
        <v>4.6641040512847368E-4</v>
      </c>
      <c r="AZ24" s="31"/>
      <c r="BA24" s="134">
        <f t="shared" ca="1" si="7"/>
        <v>0.48862788505453758</v>
      </c>
    </row>
    <row r="25" spans="1:53">
      <c r="A25" s="78"/>
      <c r="B25">
        <v>27</v>
      </c>
      <c r="D25" s="78">
        <v>12</v>
      </c>
      <c r="E25" s="108"/>
      <c r="F25">
        <f>VLOOKUP(B25,Parameters!E16:F106,2)</f>
        <v>4.9799999999999997E-2</v>
      </c>
      <c r="H25">
        <f>VLOOKUP(B25,Parameters!H16:I106,2)</f>
        <v>0.01</v>
      </c>
      <c r="J25">
        <f ca="1">(VLOOKUP(B25,Parameters!K16:L106,2))*(1-mda_efficacy)</f>
        <v>1.5000000000000013E-3</v>
      </c>
      <c r="L25">
        <f>VLOOKUP(B25,Parameters!N16:O106,2)</f>
        <v>5.5E-2</v>
      </c>
      <c r="N25">
        <f>VLOOKUP(B25,Parameters!T16:U106,2)</f>
        <v>0.375</v>
      </c>
      <c r="P25">
        <f>VLOOKUP(B25,Parameters!T16:U106,2)</f>
        <v>0.375</v>
      </c>
      <c r="R25" s="78">
        <f>VLOOKUP(B25,Parameters!W16:X106,2)</f>
        <v>0.1</v>
      </c>
      <c r="S25" s="108"/>
      <c r="T25" s="102">
        <f t="shared" ca="1" si="10"/>
        <v>0.64008165195577782</v>
      </c>
      <c r="V25" s="94">
        <f t="shared" ca="1" si="11"/>
        <v>1.3531322393608709E-3</v>
      </c>
      <c r="X25" s="34">
        <f t="shared" ca="1" si="12"/>
        <v>6.7287374596900883E-3</v>
      </c>
      <c r="Z25" s="94">
        <f t="shared" ca="1" si="13"/>
        <v>4.1605403297599129E-3</v>
      </c>
      <c r="AB25" s="94">
        <f t="shared" ca="1" si="14"/>
        <v>4.1605403297599129E-3</v>
      </c>
      <c r="AD25" s="110">
        <f t="shared" ca="1" si="15"/>
        <v>0.35024413514534153</v>
      </c>
      <c r="AE25" s="111"/>
      <c r="AF25" s="112">
        <f t="shared" ca="1" si="8"/>
        <v>1</v>
      </c>
      <c r="AG25" s="108"/>
      <c r="AH25" s="131">
        <f>('Country details'!$C$52/('Country details'!$C$8*'Country details'!$C$6))*(1-(F25+H25))</f>
        <v>4.5170795303954049E-2</v>
      </c>
      <c r="AJ25" s="54">
        <f t="shared" ca="1" si="0"/>
        <v>3.4015613767128268</v>
      </c>
      <c r="AL25" s="138">
        <f t="shared" ca="1" si="1"/>
        <v>0.72204019951225595</v>
      </c>
      <c r="AO25" s="135">
        <f t="shared" ca="1" si="2"/>
        <v>98.952199449252376</v>
      </c>
      <c r="AP25" s="108"/>
      <c r="AQ25" s="31">
        <f t="shared" ca="1" si="3"/>
        <v>0.63825676896206796</v>
      </c>
      <c r="AR25" s="31"/>
      <c r="AS25" s="31">
        <f t="shared" ca="1" si="9"/>
        <v>1.0825057914886967E-3</v>
      </c>
      <c r="AT25" s="31"/>
      <c r="AU25" s="31">
        <f t="shared" ca="1" si="4"/>
        <v>1.8009331105314744E-3</v>
      </c>
      <c r="AV25" s="31"/>
      <c r="AW25" s="31">
        <f t="shared" ca="1" si="5"/>
        <v>2.8308620308219558E-4</v>
      </c>
      <c r="AX25" s="31"/>
      <c r="AY25" s="31">
        <f t="shared" ca="1" si="6"/>
        <v>4.8144092853887038E-4</v>
      </c>
      <c r="AZ25" s="31"/>
      <c r="BA25" s="134">
        <f t="shared" ca="1" si="7"/>
        <v>0.45021906612659268</v>
      </c>
    </row>
    <row r="26" spans="1:53">
      <c r="A26" s="78"/>
      <c r="B26">
        <v>28</v>
      </c>
      <c r="D26" s="78">
        <v>13</v>
      </c>
      <c r="E26" s="108"/>
      <c r="F26">
        <f>VLOOKUP(B26,Parameters!E17:F107,2)</f>
        <v>4.9799999999999997E-2</v>
      </c>
      <c r="H26">
        <f>VLOOKUP(B26,Parameters!H17:I107,2)</f>
        <v>0.01</v>
      </c>
      <c r="J26">
        <f ca="1">(VLOOKUP(B26,Parameters!K17:L107,2))*(1-mda_efficacy)</f>
        <v>1.5000000000000013E-3</v>
      </c>
      <c r="L26">
        <f>VLOOKUP(B26,Parameters!N17:O107,2)</f>
        <v>5.5E-2</v>
      </c>
      <c r="N26">
        <f>VLOOKUP(B26,Parameters!T17:U107,2)</f>
        <v>0.375</v>
      </c>
      <c r="P26">
        <f>VLOOKUP(B26,Parameters!T17:U107,2)</f>
        <v>0.375</v>
      </c>
      <c r="R26" s="78">
        <f>VLOOKUP(B26,Parameters!W17:X107,2)</f>
        <v>0.1</v>
      </c>
      <c r="S26" s="108"/>
      <c r="T26" s="102">
        <f t="shared" ca="1" si="10"/>
        <v>0.60724546321044648</v>
      </c>
      <c r="V26" s="94">
        <f t="shared" ca="1" si="11"/>
        <v>1.2848742153802769E-3</v>
      </c>
      <c r="X26" s="34">
        <f t="shared" ca="1" si="12"/>
        <v>6.9393138172687031E-3</v>
      </c>
      <c r="Z26" s="94">
        <f t="shared" ca="1" si="13"/>
        <v>4.251910886544248E-3</v>
      </c>
      <c r="AB26" s="94">
        <f t="shared" ca="1" si="14"/>
        <v>4.251910886544248E-3</v>
      </c>
      <c r="AD26" s="110">
        <f t="shared" ca="1" si="15"/>
        <v>0.38296584080108492</v>
      </c>
      <c r="AE26" s="111"/>
      <c r="AF26" s="112">
        <f t="shared" ca="1" si="8"/>
        <v>1</v>
      </c>
      <c r="AG26" s="108"/>
      <c r="AH26" s="131">
        <f>('Country details'!$C$52/('Country details'!$C$8*'Country details'!$C$6))*(1-(F26+H26))</f>
        <v>4.5170795303954049E-2</v>
      </c>
      <c r="AJ26" s="54">
        <f t="shared" ca="1" si="0"/>
        <v>3.4015613767128268</v>
      </c>
      <c r="AL26" s="138">
        <f t="shared" ca="1" si="1"/>
        <v>0.74134474799857952</v>
      </c>
      <c r="AO26" s="135">
        <f t="shared" ca="1" si="2"/>
        <v>96.083242010831924</v>
      </c>
      <c r="AP26" s="108"/>
      <c r="AQ26" s="31">
        <f t="shared" ca="1" si="3"/>
        <v>0.60551419671431383</v>
      </c>
      <c r="AR26" s="31"/>
      <c r="AS26" s="31">
        <f t="shared" ca="1" si="9"/>
        <v>1.0278993723042216E-3</v>
      </c>
      <c r="AT26" s="31"/>
      <c r="AU26" s="31">
        <f t="shared" ca="1" si="4"/>
        <v>1.8572934510753467E-3</v>
      </c>
      <c r="AV26" s="31"/>
      <c r="AW26" s="31">
        <f t="shared" ca="1" si="5"/>
        <v>2.89303122506956E-4</v>
      </c>
      <c r="AX26" s="31"/>
      <c r="AY26" s="31">
        <f t="shared" ca="1" si="6"/>
        <v>4.9201396045607385E-4</v>
      </c>
      <c r="AZ26" s="31"/>
      <c r="BA26" s="134">
        <f t="shared" ca="1" si="7"/>
        <v>0.41482241847132695</v>
      </c>
    </row>
    <row r="27" spans="1:53">
      <c r="A27" s="78"/>
      <c r="B27">
        <v>29</v>
      </c>
      <c r="D27" s="78">
        <v>14</v>
      </c>
      <c r="E27" s="108"/>
      <c r="F27">
        <f>VLOOKUP(B27,Parameters!E18:F108,2)</f>
        <v>4.9799999999999997E-2</v>
      </c>
      <c r="H27">
        <f>VLOOKUP(B27,Parameters!H18:I108,2)</f>
        <v>0.01</v>
      </c>
      <c r="J27">
        <f ca="1">(VLOOKUP(B27,Parameters!K18:L108,2))*(1-mda_efficacy)</f>
        <v>1.5000000000000013E-3</v>
      </c>
      <c r="L27">
        <f>VLOOKUP(B27,Parameters!N18:O108,2)</f>
        <v>5.5E-2</v>
      </c>
      <c r="N27">
        <f>VLOOKUP(B27,Parameters!T18:U108,2)</f>
        <v>0.375</v>
      </c>
      <c r="P27">
        <f>VLOOKUP(B27,Parameters!T18:U108,2)</f>
        <v>0.375</v>
      </c>
      <c r="R27" s="78">
        <f>VLOOKUP(B27,Parameters!W18:X108,2)</f>
        <v>0.1</v>
      </c>
      <c r="S27" s="108"/>
      <c r="T27" s="102">
        <f t="shared" ca="1" si="10"/>
        <v>0.57609377094775061</v>
      </c>
      <c r="V27" s="94">
        <f t="shared" ca="1" si="11"/>
        <v>1.2192380065069368E-3</v>
      </c>
      <c r="X27" s="34">
        <f t="shared" ca="1" si="12"/>
        <v>7.0863210446439236E-3</v>
      </c>
      <c r="Z27" s="94">
        <f t="shared" ca="1" si="13"/>
        <v>4.3085476286574267E-3</v>
      </c>
      <c r="AB27" s="94">
        <f t="shared" ca="1" si="14"/>
        <v>4.3085476286574267E-3</v>
      </c>
      <c r="AD27" s="110">
        <f t="shared" ca="1" si="15"/>
        <v>0.41406989578842779</v>
      </c>
      <c r="AE27" s="111"/>
      <c r="AF27" s="112">
        <f t="shared" ca="1" si="8"/>
        <v>1</v>
      </c>
      <c r="AG27" s="108"/>
      <c r="AH27" s="131">
        <f>('Country details'!$C$52/('Country details'!$C$8*'Country details'!$C$6))*(1-(F27+H27))</f>
        <v>4.5170795303954049E-2</v>
      </c>
      <c r="AJ27" s="54">
        <f t="shared" ca="1" si="0"/>
        <v>3.4015613767128268</v>
      </c>
      <c r="AL27" s="138">
        <f t="shared" ca="1" si="1"/>
        <v>0.7542154768231536</v>
      </c>
      <c r="AO27" s="135">
        <f t="shared" ca="1" si="2"/>
        <v>93.293210049390012</v>
      </c>
      <c r="AP27" s="108"/>
      <c r="AQ27" s="31">
        <f t="shared" ca="1" si="3"/>
        <v>0.57445131842286956</v>
      </c>
      <c r="AR27" s="31"/>
      <c r="AS27" s="31">
        <f t="shared" ca="1" si="9"/>
        <v>9.7539040520554948E-4</v>
      </c>
      <c r="AT27" s="31"/>
      <c r="AU27" s="31">
        <f t="shared" ca="1" si="4"/>
        <v>1.8966396411821095E-3</v>
      </c>
      <c r="AV27" s="31"/>
      <c r="AW27" s="31">
        <f t="shared" ca="1" si="5"/>
        <v>2.9315672781035428E-4</v>
      </c>
      <c r="AX27" s="31"/>
      <c r="AY27" s="31">
        <f t="shared" ca="1" si="6"/>
        <v>4.9856773557930623E-4</v>
      </c>
      <c r="AZ27" s="31"/>
      <c r="BA27" s="134">
        <f t="shared" ca="1" si="7"/>
        <v>0.38220216852790262</v>
      </c>
    </row>
    <row r="28" spans="1:53">
      <c r="A28" s="78"/>
      <c r="B28">
        <v>30</v>
      </c>
      <c r="D28" s="78">
        <v>15</v>
      </c>
      <c r="E28" s="108"/>
      <c r="F28">
        <f>VLOOKUP(B28,Parameters!E19:F109,2)</f>
        <v>6.2700000000000006E-2</v>
      </c>
      <c r="H28">
        <f>VLOOKUP(B28,Parameters!H19:I109,2)</f>
        <v>0.01</v>
      </c>
      <c r="J28">
        <f ca="1">(VLOOKUP(B28,Parameters!K19:L109,2))*(1-mda_efficacy)</f>
        <v>1.5000000000000013E-3</v>
      </c>
      <c r="L28">
        <f>VLOOKUP(B28,Parameters!N19:O109,2)</f>
        <v>0.11</v>
      </c>
      <c r="N28">
        <f>VLOOKUP(B28,Parameters!T19:U109,2)</f>
        <v>0.375</v>
      </c>
      <c r="P28">
        <f>VLOOKUP(B28,Parameters!T19:U109,2)</f>
        <v>0.375</v>
      </c>
      <c r="R28" s="78">
        <f>VLOOKUP(B28,Parameters!W19:X109,2)</f>
        <v>0.1</v>
      </c>
      <c r="S28" s="108"/>
      <c r="T28" s="102">
        <f t="shared" ca="1" si="10"/>
        <v>0.54654016049813103</v>
      </c>
      <c r="V28" s="94">
        <f t="shared" ca="1" si="11"/>
        <v>1.1567577779832913E-3</v>
      </c>
      <c r="X28" s="34">
        <f t="shared" ca="1" si="12"/>
        <v>7.1761616776426351E-3</v>
      </c>
      <c r="Z28" s="94">
        <f t="shared" ca="1" si="13"/>
        <v>4.3349071182317853E-3</v>
      </c>
      <c r="AB28" s="94">
        <f t="shared" ca="1" si="14"/>
        <v>4.3349071182317853E-3</v>
      </c>
      <c r="AD28" s="110">
        <f t="shared" ca="1" si="15"/>
        <v>0.44363326748742232</v>
      </c>
      <c r="AE28" s="111"/>
      <c r="AF28" s="112">
        <f t="shared" ca="1" si="8"/>
        <v>1.0000000000000002</v>
      </c>
      <c r="AG28" s="108"/>
      <c r="AH28" s="131">
        <f>('Country details'!$C$52/('Country details'!$C$8*'Country details'!$C$6))*(1-(F28+H28))</f>
        <v>4.4551030084403948E-2</v>
      </c>
      <c r="AJ28" s="54">
        <f t="shared" ca="1" si="0"/>
        <v>3.5558151862077851</v>
      </c>
      <c r="AL28" s="138">
        <f t="shared" ca="1" si="1"/>
        <v>0.76138161175879193</v>
      </c>
      <c r="AO28" s="135">
        <f t="shared" ca="1" si="2"/>
        <v>90.679143602956543</v>
      </c>
      <c r="AP28" s="108"/>
      <c r="AQ28" s="31">
        <f t="shared" ca="1" si="3"/>
        <v>0.54498196578777647</v>
      </c>
      <c r="AR28" s="31"/>
      <c r="AS28" s="31">
        <f t="shared" ca="1" si="9"/>
        <v>9.2540622238663313E-4</v>
      </c>
      <c r="AT28" s="31"/>
      <c r="AU28" s="31">
        <f t="shared" ca="1" si="4"/>
        <v>1.920685306748312E-3</v>
      </c>
      <c r="AV28" s="31"/>
      <c r="AW28" s="31">
        <f t="shared" ca="1" si="5"/>
        <v>2.9495024673514754E-4</v>
      </c>
      <c r="AX28" s="31"/>
      <c r="AY28" s="31">
        <f t="shared" ca="1" si="6"/>
        <v>5.0161794928489526E-4</v>
      </c>
      <c r="AZ28" s="31"/>
      <c r="BA28" s="134">
        <f t="shared" ca="1" si="7"/>
        <v>0.35214127052152516</v>
      </c>
    </row>
    <row r="29" spans="1:53">
      <c r="A29" s="78"/>
      <c r="B29">
        <v>31</v>
      </c>
      <c r="D29" s="78">
        <v>16</v>
      </c>
      <c r="E29" s="108"/>
      <c r="F29">
        <f>VLOOKUP(B29,Parameters!E20:F110,2)</f>
        <v>6.2700000000000006E-2</v>
      </c>
      <c r="H29">
        <f>VLOOKUP(B29,Parameters!H20:I110,2)</f>
        <v>0.01</v>
      </c>
      <c r="J29">
        <f ca="1">(VLOOKUP(B29,Parameters!K20:L110,2))*(1-mda_efficacy)</f>
        <v>1.5000000000000013E-3</v>
      </c>
      <c r="L29">
        <f>VLOOKUP(B29,Parameters!N20:O110,2)</f>
        <v>0.11</v>
      </c>
      <c r="N29">
        <f>VLOOKUP(B29,Parameters!T20:U110,2)</f>
        <v>0.375</v>
      </c>
      <c r="P29">
        <f>VLOOKUP(B29,Parameters!T20:U110,2)</f>
        <v>0.375</v>
      </c>
      <c r="R29" s="78">
        <f>VLOOKUP(B29,Parameters!W20:X110,2)</f>
        <v>0.1</v>
      </c>
      <c r="S29" s="108"/>
      <c r="T29" s="102">
        <f t="shared" ca="1" si="10"/>
        <v>0.51145228219415106</v>
      </c>
      <c r="V29" s="94">
        <f t="shared" ca="1" si="11"/>
        <v>1.0974321074631872E-3</v>
      </c>
      <c r="X29" s="34">
        <f t="shared" ca="1" si="12"/>
        <v>7.2798401006606075E-3</v>
      </c>
      <c r="Z29" s="94">
        <f t="shared" ca="1" si="13"/>
        <v>4.3352005731523407E-3</v>
      </c>
      <c r="AB29" s="94">
        <f t="shared" ca="1" si="14"/>
        <v>4.3352005731523407E-3</v>
      </c>
      <c r="AD29" s="110">
        <f t="shared" ca="1" si="15"/>
        <v>0.47877988455208137</v>
      </c>
      <c r="AE29" s="111"/>
      <c r="AF29" s="112">
        <f t="shared" ca="1" si="8"/>
        <v>1.0000000000000002</v>
      </c>
      <c r="AG29" s="108"/>
      <c r="AH29" s="131">
        <f>('Country details'!$C$52/('Country details'!$C$8*'Country details'!$C$6))*(1-(F29+H29))</f>
        <v>4.4551030084403948E-2</v>
      </c>
      <c r="AJ29" s="54">
        <f t="shared" ca="1" si="0"/>
        <v>3.5558151862077851</v>
      </c>
      <c r="AL29" s="138">
        <f t="shared" ca="1" si="1"/>
        <v>0.76709787882557945</v>
      </c>
      <c r="AO29" s="135">
        <f t="shared" ca="1" si="2"/>
        <v>88.041565686667838</v>
      </c>
      <c r="AP29" s="108"/>
      <c r="AQ29" s="31">
        <f t="shared" ca="1" si="3"/>
        <v>0.50999412358420126</v>
      </c>
      <c r="AR29" s="31"/>
      <c r="AS29" s="31">
        <f t="shared" ca="1" si="9"/>
        <v>8.7794568597054977E-4</v>
      </c>
      <c r="AT29" s="31"/>
      <c r="AU29" s="31">
        <f t="shared" ca="1" si="4"/>
        <v>1.9484346291106908E-3</v>
      </c>
      <c r="AV29" s="31"/>
      <c r="AW29" s="31">
        <f t="shared" ca="1" si="5"/>
        <v>2.9497021362229474E-4</v>
      </c>
      <c r="AX29" s="31"/>
      <c r="AY29" s="31">
        <f t="shared" ca="1" si="6"/>
        <v>5.0165190670346089E-4</v>
      </c>
      <c r="AZ29" s="31"/>
      <c r="BA29" s="134">
        <f t="shared" ca="1" si="7"/>
        <v>0.32006921235267105</v>
      </c>
    </row>
    <row r="30" spans="1:53">
      <c r="A30" s="78"/>
      <c r="B30">
        <v>32</v>
      </c>
      <c r="D30" s="78">
        <v>17</v>
      </c>
      <c r="E30" s="108"/>
      <c r="F30">
        <f>VLOOKUP(B30,Parameters!E21:F111,2)</f>
        <v>6.2700000000000006E-2</v>
      </c>
      <c r="H30">
        <f>VLOOKUP(B30,Parameters!H21:I111,2)</f>
        <v>0.01</v>
      </c>
      <c r="J30">
        <f ca="1">(VLOOKUP(B30,Parameters!K21:L111,2))*(1-mda_efficacy)</f>
        <v>1.5000000000000013E-3</v>
      </c>
      <c r="L30">
        <f>VLOOKUP(B30,Parameters!N21:O111,2)</f>
        <v>0.11</v>
      </c>
      <c r="N30">
        <f>VLOOKUP(B30,Parameters!T21:U111,2)</f>
        <v>0.375</v>
      </c>
      <c r="P30">
        <f>VLOOKUP(B30,Parameters!T21:U111,2)</f>
        <v>0.375</v>
      </c>
      <c r="R30" s="78">
        <f>VLOOKUP(B30,Parameters!W21:X111,2)</f>
        <v>0.1</v>
      </c>
      <c r="S30" s="108"/>
      <c r="T30" s="102">
        <f t="shared" ca="1" si="10"/>
        <v>0.47861704567728658</v>
      </c>
      <c r="V30" s="94">
        <f t="shared" ca="1" si="11"/>
        <v>1.0305621290823922E-3</v>
      </c>
      <c r="X30" s="34">
        <f t="shared" ca="1" si="12"/>
        <v>7.2737984775223131E-3</v>
      </c>
      <c r="Z30" s="94">
        <f t="shared" ca="1" si="13"/>
        <v>4.3132175561358017E-3</v>
      </c>
      <c r="AB30" s="94">
        <f t="shared" ca="1" si="14"/>
        <v>4.3132175561358017E-3</v>
      </c>
      <c r="AD30" s="110">
        <f t="shared" ca="1" si="15"/>
        <v>0.51172595708135982</v>
      </c>
      <c r="AE30" s="111"/>
      <c r="AF30" s="112">
        <f t="shared" ca="1" si="8"/>
        <v>1.0000000000000004</v>
      </c>
      <c r="AG30" s="108"/>
      <c r="AH30" s="131">
        <f>('Country details'!$C$52/('Country details'!$C$8*'Country details'!$C$6))*(1-(F30+H30))</f>
        <v>4.4551030084403948E-2</v>
      </c>
      <c r="AJ30" s="54">
        <f t="shared" ca="1" si="0"/>
        <v>3.5558151862077851</v>
      </c>
      <c r="AL30" s="138">
        <f t="shared" ca="1" si="1"/>
        <v>0.76490283441500551</v>
      </c>
      <c r="AO30" s="135">
        <f t="shared" ca="1" si="2"/>
        <v>85.475920201515606</v>
      </c>
      <c r="AP30" s="108"/>
      <c r="AQ30" s="31">
        <f t="shared" ca="1" si="3"/>
        <v>0.47725250085009552</v>
      </c>
      <c r="AR30" s="31"/>
      <c r="AS30" s="31">
        <f t="shared" ca="1" si="9"/>
        <v>8.2444970326591381E-4</v>
      </c>
      <c r="AT30" s="31"/>
      <c r="AU30" s="31">
        <f t="shared" ca="1" si="4"/>
        <v>1.9468176007727167E-3</v>
      </c>
      <c r="AV30" s="31"/>
      <c r="AW30" s="31">
        <f t="shared" ca="1" si="5"/>
        <v>2.9347447308710747E-4</v>
      </c>
      <c r="AX30" s="31"/>
      <c r="AY30" s="31">
        <f t="shared" ca="1" si="6"/>
        <v>4.9910812073200291E-4</v>
      </c>
      <c r="AZ30" s="31"/>
      <c r="BA30" s="134">
        <f t="shared" ca="1" si="7"/>
        <v>0.29090179963357954</v>
      </c>
    </row>
    <row r="31" spans="1:53">
      <c r="A31" s="78"/>
      <c r="B31">
        <v>33</v>
      </c>
      <c r="D31" s="78">
        <v>18</v>
      </c>
      <c r="E31" s="108"/>
      <c r="F31">
        <f>VLOOKUP(B31,Parameters!E22:F112,2)</f>
        <v>6.2700000000000006E-2</v>
      </c>
      <c r="H31">
        <f>VLOOKUP(B31,Parameters!H22:I112,2)</f>
        <v>0.01</v>
      </c>
      <c r="J31">
        <f ca="1">(VLOOKUP(B31,Parameters!K22:L112,2))*(1-mda_efficacy)</f>
        <v>1.5000000000000013E-3</v>
      </c>
      <c r="L31">
        <f>VLOOKUP(B31,Parameters!N22:O112,2)</f>
        <v>0.11</v>
      </c>
      <c r="N31">
        <f>VLOOKUP(B31,Parameters!T22:U112,2)</f>
        <v>0.375</v>
      </c>
      <c r="P31">
        <f>VLOOKUP(B31,Parameters!T22:U112,2)</f>
        <v>0.375</v>
      </c>
      <c r="R31" s="78">
        <f>VLOOKUP(B31,Parameters!W22:X112,2)</f>
        <v>0.1</v>
      </c>
      <c r="S31" s="108"/>
      <c r="T31" s="102">
        <f t="shared" ca="1" si="10"/>
        <v>0.44788983134480481</v>
      </c>
      <c r="V31" s="94">
        <f t="shared" ca="1" si="11"/>
        <v>9.6526047949570465E-4</v>
      </c>
      <c r="X31" s="34">
        <f t="shared" ca="1" si="12"/>
        <v>7.2301708018231358E-3</v>
      </c>
      <c r="Z31" s="94">
        <f t="shared" ca="1" si="13"/>
        <v>4.2683565989281181E-3</v>
      </c>
      <c r="AB31" s="94">
        <f t="shared" ca="1" si="14"/>
        <v>4.2683565989281181E-3</v>
      </c>
      <c r="AD31" s="110">
        <f t="shared" ca="1" si="15"/>
        <v>0.54260819497784363</v>
      </c>
      <c r="AE31" s="111"/>
      <c r="AF31" s="112">
        <f t="shared" ca="1" si="8"/>
        <v>1.0000000000000004</v>
      </c>
      <c r="AG31" s="108"/>
      <c r="AH31" s="131">
        <f>('Country details'!$C$52/('Country details'!$C$8*'Country details'!$C$6))*(1-(F31+H31))</f>
        <v>4.4551030084403948E-2</v>
      </c>
      <c r="AJ31" s="54">
        <f t="shared" ca="1" si="0"/>
        <v>3.5558151862077851</v>
      </c>
      <c r="AL31" s="138">
        <f t="shared" ca="1" si="1"/>
        <v>0.75870526648656145</v>
      </c>
      <c r="AO31" s="135">
        <f t="shared" ca="1" si="2"/>
        <v>82.982689874752097</v>
      </c>
      <c r="AP31" s="108"/>
      <c r="AQ31" s="31">
        <f t="shared" ca="1" si="3"/>
        <v>0.44661289029551943</v>
      </c>
      <c r="AR31" s="31"/>
      <c r="AS31" s="31">
        <f t="shared" ca="1" si="9"/>
        <v>7.7220838359656372E-4</v>
      </c>
      <c r="AT31" s="31"/>
      <c r="AU31" s="31">
        <f t="shared" ca="1" si="4"/>
        <v>1.9351407407119888E-3</v>
      </c>
      <c r="AV31" s="31"/>
      <c r="AW31" s="31">
        <f t="shared" ca="1" si="5"/>
        <v>2.9042210079024072E-4</v>
      </c>
      <c r="AX31" s="31"/>
      <c r="AY31" s="31">
        <f t="shared" ca="1" si="6"/>
        <v>4.9391699189262539E-4</v>
      </c>
      <c r="AZ31" s="31"/>
      <c r="BA31" s="134">
        <f t="shared" ca="1" si="7"/>
        <v>0.26438900228164858</v>
      </c>
    </row>
    <row r="32" spans="1:53">
      <c r="A32" s="78"/>
      <c r="B32">
        <v>34</v>
      </c>
      <c r="D32" s="78">
        <v>19</v>
      </c>
      <c r="E32" s="108"/>
      <c r="F32">
        <f>VLOOKUP(B32,Parameters!E23:F113,2)</f>
        <v>6.2700000000000006E-2</v>
      </c>
      <c r="H32">
        <f>VLOOKUP(B32,Parameters!H23:I113,2)</f>
        <v>0.01</v>
      </c>
      <c r="J32">
        <f ca="1">(VLOOKUP(B32,Parameters!K23:L113,2))*(1-mda_efficacy)</f>
        <v>1.5000000000000013E-3</v>
      </c>
      <c r="L32">
        <f>VLOOKUP(B32,Parameters!N23:O113,2)</f>
        <v>0.11</v>
      </c>
      <c r="N32">
        <f>VLOOKUP(B32,Parameters!T23:U113,2)</f>
        <v>0.375</v>
      </c>
      <c r="P32">
        <f>VLOOKUP(B32,Parameters!T23:U113,2)</f>
        <v>0.375</v>
      </c>
      <c r="R32" s="78">
        <f>VLOOKUP(B32,Parameters!W23:X113,2)</f>
        <v>0.1</v>
      </c>
      <c r="S32" s="108"/>
      <c r="T32" s="102">
        <f t="shared" ca="1" si="10"/>
        <v>0.41913530417246836</v>
      </c>
      <c r="V32" s="94">
        <f t="shared" ca="1" si="11"/>
        <v>9.0349726209617686E-4</v>
      </c>
      <c r="X32" s="34">
        <f t="shared" ca="1" si="12"/>
        <v>7.1489670409759214E-3</v>
      </c>
      <c r="Z32" s="94">
        <f t="shared" ca="1" si="13"/>
        <v>4.2034936188461956E-3</v>
      </c>
      <c r="AB32" s="94">
        <f t="shared" ca="1" si="14"/>
        <v>4.2034936188461956E-3</v>
      </c>
      <c r="AD32" s="110">
        <f t="shared" ca="1" si="15"/>
        <v>0.57155421132774331</v>
      </c>
      <c r="AE32" s="111"/>
      <c r="AF32" s="112">
        <f t="shared" ca="1" si="8"/>
        <v>1.0000000000000002</v>
      </c>
      <c r="AG32" s="108"/>
      <c r="AH32" s="131">
        <f>('Country details'!$C$52/('Country details'!$C$8*'Country details'!$C$6))*(1-(F32+H32))</f>
        <v>4.4551030084403948E-2</v>
      </c>
      <c r="AJ32" s="54">
        <f t="shared" ca="1" si="0"/>
        <v>3.5558151862077851</v>
      </c>
      <c r="AL32" s="138">
        <f t="shared" ca="1" si="1"/>
        <v>0.74874949947229708</v>
      </c>
      <c r="AO32" s="135">
        <f t="shared" ca="1" si="2"/>
        <v>80.560040690187591</v>
      </c>
      <c r="AP32" s="108"/>
      <c r="AQ32" s="31">
        <f t="shared" ca="1" si="3"/>
        <v>0.41794034273854708</v>
      </c>
      <c r="AR32" s="31"/>
      <c r="AS32" s="31">
        <f t="shared" ca="1" si="9"/>
        <v>7.2279780967694155E-4</v>
      </c>
      <c r="AT32" s="31"/>
      <c r="AU32" s="31">
        <f t="shared" ca="1" si="4"/>
        <v>1.9134067166866016E-3</v>
      </c>
      <c r="AV32" s="31"/>
      <c r="AW32" s="31">
        <f t="shared" ca="1" si="5"/>
        <v>2.8600877624663585E-4</v>
      </c>
      <c r="AX32" s="31"/>
      <c r="AY32" s="31">
        <f t="shared" ca="1" si="6"/>
        <v>4.8641130972555918E-4</v>
      </c>
      <c r="AZ32" s="31"/>
      <c r="BA32" s="134">
        <f t="shared" ca="1" si="7"/>
        <v>0.24028942849184246</v>
      </c>
    </row>
    <row r="33" spans="1:53">
      <c r="A33" s="78"/>
      <c r="B33">
        <v>35</v>
      </c>
      <c r="D33" s="78">
        <v>20</v>
      </c>
      <c r="E33" s="108"/>
      <c r="F33">
        <f>VLOOKUP(B33,Parameters!E24:F114,2)</f>
        <v>6.4699999999999994E-2</v>
      </c>
      <c r="H33">
        <f>VLOOKUP(B33,Parameters!H24:I114,2)</f>
        <v>0.01</v>
      </c>
      <c r="J33">
        <f ca="1">(VLOOKUP(B33,Parameters!K24:L114,2))*(1-mda_efficacy)</f>
        <v>1.5000000000000013E-3</v>
      </c>
      <c r="L33">
        <f>VLOOKUP(B33,Parameters!N24:O114,2)</f>
        <v>0.11</v>
      </c>
      <c r="N33">
        <f>VLOOKUP(B33,Parameters!T24:U114,2)</f>
        <v>0.375</v>
      </c>
      <c r="P33">
        <f>VLOOKUP(B33,Parameters!T24:U114,2)</f>
        <v>0.375</v>
      </c>
      <c r="R33" s="78">
        <f>VLOOKUP(B33,Parameters!W24:X114,2)</f>
        <v>0.1</v>
      </c>
      <c r="S33" s="108"/>
      <c r="T33" s="102">
        <f t="shared" ca="1" si="10"/>
        <v>0.39222681764459588</v>
      </c>
      <c r="V33" s="94">
        <f t="shared" ca="1" si="11"/>
        <v>8.4554229916178553E-4</v>
      </c>
      <c r="X33" s="34">
        <f t="shared" ca="1" si="12"/>
        <v>7.0351491699268019E-3</v>
      </c>
      <c r="Z33" s="94">
        <f t="shared" ca="1" si="13"/>
        <v>4.1219557302476419E-3</v>
      </c>
      <c r="AB33" s="94">
        <f t="shared" ca="1" si="14"/>
        <v>4.1219557302476419E-3</v>
      </c>
      <c r="AD33" s="110">
        <f t="shared" ca="1" si="15"/>
        <v>0.59868372859574726</v>
      </c>
      <c r="AE33" s="111"/>
      <c r="AF33" s="112">
        <f t="shared" ca="1" si="8"/>
        <v>1.0000000000000002</v>
      </c>
      <c r="AG33" s="108"/>
      <c r="AH33" s="131">
        <f>('Country details'!$C$52/('Country details'!$C$8*'Country details'!$C$6))*(1-(F33+H33))</f>
        <v>4.445494245346595E-2</v>
      </c>
      <c r="AJ33" s="54">
        <f t="shared" ca="1" si="0"/>
        <v>3.5558151862077851</v>
      </c>
      <c r="AL33" s="138">
        <f t="shared" ca="1" si="1"/>
        <v>0.73558994234067687</v>
      </c>
      <c r="AO33" s="135">
        <f t="shared" ca="1" si="2"/>
        <v>78.20629240893507</v>
      </c>
      <c r="AP33" s="108"/>
      <c r="AQ33" s="31">
        <f t="shared" ca="1" si="3"/>
        <v>0.39110857273473237</v>
      </c>
      <c r="AR33" s="31"/>
      <c r="AS33" s="31">
        <f t="shared" ca="1" si="9"/>
        <v>6.7643383932942849E-4</v>
      </c>
      <c r="AT33" s="31"/>
      <c r="AU33" s="31">
        <f t="shared" ca="1" si="4"/>
        <v>1.8829435913572919E-3</v>
      </c>
      <c r="AV33" s="31"/>
      <c r="AW33" s="31">
        <f t="shared" ca="1" si="5"/>
        <v>2.8046087874745795E-4</v>
      </c>
      <c r="AX33" s="31"/>
      <c r="AY33" s="31">
        <f t="shared" ca="1" si="6"/>
        <v>4.7697607447085081E-4</v>
      </c>
      <c r="AZ33" s="31"/>
      <c r="BA33" s="134">
        <f t="shared" ca="1" si="7"/>
        <v>0.21838377368314865</v>
      </c>
    </row>
    <row r="34" spans="1:53">
      <c r="A34" s="78"/>
      <c r="B34">
        <v>36</v>
      </c>
      <c r="D34" s="78">
        <v>21</v>
      </c>
      <c r="E34" s="108"/>
      <c r="F34">
        <f>VLOOKUP(B34,Parameters!E25:F115,2)</f>
        <v>6.4699999999999994E-2</v>
      </c>
      <c r="H34">
        <f>VLOOKUP(B34,Parameters!H25:I115,2)</f>
        <v>0.01</v>
      </c>
      <c r="J34">
        <f ca="1">(VLOOKUP(B34,Parameters!K25:L115,2))*(1-mda_efficacy)</f>
        <v>1.5000000000000013E-3</v>
      </c>
      <c r="L34">
        <f>VLOOKUP(B34,Parameters!N25:O115,2)</f>
        <v>0.11</v>
      </c>
      <c r="N34">
        <f>VLOOKUP(B34,Parameters!T25:U115,2)</f>
        <v>0.375</v>
      </c>
      <c r="P34">
        <f>VLOOKUP(B34,Parameters!T25:U115,2)</f>
        <v>0.375</v>
      </c>
      <c r="R34" s="78">
        <f>VLOOKUP(B34,Parameters!W25:X115,2)</f>
        <v>0.1</v>
      </c>
      <c r="S34" s="108"/>
      <c r="T34" s="102">
        <f t="shared" ca="1" si="10"/>
        <v>0.3662614023165236</v>
      </c>
      <c r="V34" s="94">
        <f t="shared" ca="1" si="11"/>
        <v>7.9127037826572284E-4</v>
      </c>
      <c r="X34" s="34">
        <f t="shared" ca="1" si="12"/>
        <v>6.8942366078164046E-3</v>
      </c>
      <c r="Z34" s="94">
        <f t="shared" ca="1" si="13"/>
        <v>4.026838519408547E-3</v>
      </c>
      <c r="AB34" s="94">
        <f t="shared" ca="1" si="14"/>
        <v>4.026838519408547E-3</v>
      </c>
      <c r="AD34" s="110">
        <f t="shared" ca="1" si="15"/>
        <v>0.62489365026639376</v>
      </c>
      <c r="AE34" s="111"/>
      <c r="AF34" s="112">
        <f t="shared" ca="1" si="8"/>
        <v>1.0000000000000002</v>
      </c>
      <c r="AG34" s="108"/>
      <c r="AH34" s="131">
        <f>('Country details'!$C$52/('Country details'!$C$8*'Country details'!$C$6))*(1-(F34+H34))</f>
        <v>4.445494245346595E-2</v>
      </c>
      <c r="AJ34" s="54">
        <f t="shared" ca="1" si="0"/>
        <v>3.5558151862077851</v>
      </c>
      <c r="AL34" s="138">
        <f t="shared" ca="1" si="1"/>
        <v>0.71979197928339556</v>
      </c>
      <c r="AO34" s="135">
        <f t="shared" ca="1" si="2"/>
        <v>75.91994704837353</v>
      </c>
      <c r="AP34" s="108"/>
      <c r="AQ34" s="31">
        <f t="shared" ca="1" si="3"/>
        <v>0.36521718521969304</v>
      </c>
      <c r="AR34" s="31"/>
      <c r="AS34" s="31">
        <f t="shared" ca="1" si="9"/>
        <v>6.3301630261257836E-4</v>
      </c>
      <c r="AT34" s="31"/>
      <c r="AU34" s="31">
        <f t="shared" ca="1" si="4"/>
        <v>1.845228626207481E-3</v>
      </c>
      <c r="AV34" s="31"/>
      <c r="AW34" s="31">
        <f t="shared" ca="1" si="5"/>
        <v>2.7398903424408747E-4</v>
      </c>
      <c r="AX34" s="31"/>
      <c r="AY34" s="31">
        <f t="shared" ca="1" si="6"/>
        <v>4.6596949487376181E-4</v>
      </c>
      <c r="AZ34" s="31"/>
      <c r="BA34" s="134">
        <f t="shared" ca="1" si="7"/>
        <v>0.19805217640293477</v>
      </c>
    </row>
    <row r="35" spans="1:53">
      <c r="A35" s="78"/>
      <c r="B35">
        <v>37</v>
      </c>
      <c r="D35" s="78">
        <v>22</v>
      </c>
      <c r="E35" s="108"/>
      <c r="F35">
        <f>VLOOKUP(B35,Parameters!E26:F116,2)</f>
        <v>6.4699999999999994E-2</v>
      </c>
      <c r="H35">
        <f>VLOOKUP(B35,Parameters!H26:I116,2)</f>
        <v>0.01</v>
      </c>
      <c r="J35">
        <f ca="1">(VLOOKUP(B35,Parameters!K26:L116,2))*(1-mda_efficacy)</f>
        <v>1.5000000000000013E-3</v>
      </c>
      <c r="L35">
        <f>VLOOKUP(B35,Parameters!N26:O116,2)</f>
        <v>0.11</v>
      </c>
      <c r="N35">
        <f>VLOOKUP(B35,Parameters!T26:U116,2)</f>
        <v>0.375</v>
      </c>
      <c r="P35">
        <f>VLOOKUP(B35,Parameters!T26:U116,2)</f>
        <v>0.375</v>
      </c>
      <c r="R35" s="78">
        <f>VLOOKUP(B35,Parameters!W26:X116,2)</f>
        <v>0.1</v>
      </c>
      <c r="S35" s="108"/>
      <c r="T35" s="102">
        <f t="shared" ca="1" si="10"/>
        <v>0.34201489748316977</v>
      </c>
      <c r="V35" s="94">
        <f t="shared" ca="1" si="11"/>
        <v>7.3929699425855956E-4</v>
      </c>
      <c r="X35" s="34">
        <f t="shared" ca="1" si="12"/>
        <v>6.7313232986333325E-3</v>
      </c>
      <c r="Z35" s="94">
        <f t="shared" ca="1" si="13"/>
        <v>3.9208810593173386E-3</v>
      </c>
      <c r="AB35" s="94">
        <f t="shared" ca="1" si="14"/>
        <v>3.9208810593173386E-3</v>
      </c>
      <c r="AD35" s="110">
        <f t="shared" ca="1" si="15"/>
        <v>0.6494040434039372</v>
      </c>
      <c r="AE35" s="111"/>
      <c r="AF35" s="112">
        <f t="shared" ca="1" si="8"/>
        <v>1.0000000000000002</v>
      </c>
      <c r="AG35" s="108"/>
      <c r="AH35" s="131">
        <f>('Country details'!$C$52/('Country details'!$C$8*'Country details'!$C$6))*(1-(F35+H35))</f>
        <v>4.445494245346595E-2</v>
      </c>
      <c r="AJ35" s="54">
        <f t="shared" ca="1" si="0"/>
        <v>3.5558151862077851</v>
      </c>
      <c r="AL35" s="138">
        <f t="shared" ca="1" si="1"/>
        <v>0.70186741830947819</v>
      </c>
      <c r="AO35" s="135">
        <f t="shared" ca="1" si="2"/>
        <v>73.699331760777667</v>
      </c>
      <c r="AP35" s="108"/>
      <c r="AQ35" s="31">
        <f t="shared" ca="1" si="3"/>
        <v>0.34103980755814939</v>
      </c>
      <c r="AR35" s="31"/>
      <c r="AS35" s="31">
        <f t="shared" ca="1" si="9"/>
        <v>5.9143759540684774E-4</v>
      </c>
      <c r="AT35" s="31"/>
      <c r="AU35" s="31">
        <f t="shared" ca="1" si="4"/>
        <v>1.8016252051479293E-3</v>
      </c>
      <c r="AV35" s="31"/>
      <c r="AW35" s="31">
        <f t="shared" ca="1" si="5"/>
        <v>2.667796112633987E-4</v>
      </c>
      <c r="AX35" s="31"/>
      <c r="AY35" s="31">
        <f t="shared" ca="1" si="6"/>
        <v>4.5370852540134823E-4</v>
      </c>
      <c r="AZ35" s="31"/>
      <c r="BA35" s="134">
        <f t="shared" ca="1" si="7"/>
        <v>0.1796110569522891</v>
      </c>
    </row>
    <row r="36" spans="1:53">
      <c r="A36" s="78"/>
      <c r="B36">
        <v>38</v>
      </c>
      <c r="D36" s="78">
        <v>23</v>
      </c>
      <c r="E36" s="108"/>
      <c r="F36">
        <f>VLOOKUP(B36,Parameters!E27:F117,2)</f>
        <v>6.4699999999999994E-2</v>
      </c>
      <c r="H36">
        <f>VLOOKUP(B36,Parameters!H27:I117,2)</f>
        <v>0.01</v>
      </c>
      <c r="J36">
        <f ca="1">(VLOOKUP(B36,Parameters!K27:L117,2))*(1-mda_efficacy)</f>
        <v>1.5000000000000013E-3</v>
      </c>
      <c r="L36">
        <f>VLOOKUP(B36,Parameters!N27:O117,2)</f>
        <v>0.11</v>
      </c>
      <c r="N36">
        <f>VLOOKUP(B36,Parameters!T27:U117,2)</f>
        <v>0.375</v>
      </c>
      <c r="P36">
        <f>VLOOKUP(B36,Parameters!T27:U117,2)</f>
        <v>0.375</v>
      </c>
      <c r="R36" s="78">
        <f>VLOOKUP(B36,Parameters!W27:X117,2)</f>
        <v>0.1</v>
      </c>
      <c r="S36" s="108"/>
      <c r="T36" s="102">
        <f t="shared" ca="1" si="10"/>
        <v>0.31937351126978392</v>
      </c>
      <c r="V36" s="94">
        <f t="shared" ca="1" si="11"/>
        <v>6.9045362484680944E-4</v>
      </c>
      <c r="X36" s="34">
        <f t="shared" ca="1" si="12"/>
        <v>6.5507764172420494E-3</v>
      </c>
      <c r="Z36" s="94">
        <f t="shared" ca="1" si="13"/>
        <v>3.8060293262325647E-3</v>
      </c>
      <c r="AB36" s="94">
        <f t="shared" ca="1" si="14"/>
        <v>3.8060293262325647E-3</v>
      </c>
      <c r="AD36" s="110">
        <f t="shared" ca="1" si="15"/>
        <v>0.67232397645290431</v>
      </c>
      <c r="AE36" s="111"/>
      <c r="AF36" s="112">
        <f t="shared" ca="1" si="8"/>
        <v>1.0000000000000002</v>
      </c>
      <c r="AG36" s="108"/>
      <c r="AH36" s="131">
        <f>('Country details'!$C$52/('Country details'!$C$8*'Country details'!$C$6))*(1-(F36+H36))</f>
        <v>4.445494245346595E-2</v>
      </c>
      <c r="AJ36" s="54">
        <f t="shared" ca="1" si="0"/>
        <v>3.5558151862077851</v>
      </c>
      <c r="AL36" s="138">
        <f t="shared" ca="1" si="1"/>
        <v>0.68222094479630857</v>
      </c>
      <c r="AO36" s="135">
        <f t="shared" ca="1" si="2"/>
        <v>71.542794576293559</v>
      </c>
      <c r="AP36" s="108"/>
      <c r="AQ36" s="31">
        <f t="shared" ca="1" si="3"/>
        <v>0.31846297229779991</v>
      </c>
      <c r="AR36" s="31"/>
      <c r="AS36" s="31">
        <f t="shared" ca="1" si="9"/>
        <v>5.5236289987744755E-4</v>
      </c>
      <c r="AT36" s="31"/>
      <c r="AU36" s="31">
        <f t="shared" ca="1" si="4"/>
        <v>1.7533021937882712E-3</v>
      </c>
      <c r="AV36" s="31"/>
      <c r="AW36" s="31">
        <f t="shared" ca="1" si="5"/>
        <v>2.5896501545145169E-4</v>
      </c>
      <c r="AX36" s="31"/>
      <c r="AY36" s="31">
        <f t="shared" ca="1" si="6"/>
        <v>4.4041834656925825E-4</v>
      </c>
      <c r="AZ36" s="31"/>
      <c r="BA36" s="134">
        <f t="shared" ca="1" si="7"/>
        <v>0.16288519349981737</v>
      </c>
    </row>
    <row r="37" spans="1:53">
      <c r="A37" s="78"/>
      <c r="B37">
        <v>39</v>
      </c>
      <c r="D37" s="78">
        <v>24</v>
      </c>
      <c r="E37" s="108"/>
      <c r="F37">
        <f>VLOOKUP(B37,Parameters!E28:F118,2)</f>
        <v>6.4699999999999994E-2</v>
      </c>
      <c r="H37">
        <f>VLOOKUP(B37,Parameters!H28:I118,2)</f>
        <v>0.01</v>
      </c>
      <c r="J37">
        <f ca="1">(VLOOKUP(B37,Parameters!K28:L118,2))*(1-mda_efficacy)</f>
        <v>1.5000000000000013E-3</v>
      </c>
      <c r="L37">
        <f>VLOOKUP(B37,Parameters!N28:O118,2)</f>
        <v>0.11</v>
      </c>
      <c r="N37">
        <f>VLOOKUP(B37,Parameters!T28:U118,2)</f>
        <v>0.375</v>
      </c>
      <c r="P37">
        <f>VLOOKUP(B37,Parameters!T28:U118,2)</f>
        <v>0.375</v>
      </c>
      <c r="R37" s="78">
        <f>VLOOKUP(B37,Parameters!W28:X118,2)</f>
        <v>0.1</v>
      </c>
      <c r="S37" s="108"/>
      <c r="T37" s="102">
        <f t="shared" ca="1" si="10"/>
        <v>0.29823098482372418</v>
      </c>
      <c r="V37" s="94">
        <f t="shared" ca="1" si="11"/>
        <v>6.4476913686791046E-4</v>
      </c>
      <c r="X37" s="34">
        <f t="shared" ca="1" si="12"/>
        <v>6.3558982870168803E-3</v>
      </c>
      <c r="Z37" s="94">
        <f t="shared" ca="1" si="13"/>
        <v>3.6843465029268623E-3</v>
      </c>
      <c r="AB37" s="94">
        <f t="shared" ca="1" si="14"/>
        <v>3.6843465029268623E-3</v>
      </c>
      <c r="AD37" s="110">
        <f t="shared" ca="1" si="15"/>
        <v>0.6937555530335543</v>
      </c>
      <c r="AE37" s="111"/>
      <c r="AF37" s="112">
        <f t="shared" ca="1" si="8"/>
        <v>1</v>
      </c>
      <c r="AG37" s="108"/>
      <c r="AH37" s="131">
        <f>('Country details'!$C$52/('Country details'!$C$8*'Country details'!$C$6))*(1-(F37+H37))</f>
        <v>4.445494245346595E-2</v>
      </c>
      <c r="AJ37" s="54">
        <f t="shared" ca="1" si="0"/>
        <v>3.5558151862077851</v>
      </c>
      <c r="AL37" s="138">
        <f t="shared" ca="1" si="1"/>
        <v>0.66120872447095647</v>
      </c>
      <c r="AO37" s="135">
        <f t="shared" ca="1" si="2"/>
        <v>69.448687240425755</v>
      </c>
      <c r="AP37" s="108"/>
      <c r="AQ37" s="31">
        <f t="shared" ca="1" si="3"/>
        <v>0.29738072353168549</v>
      </c>
      <c r="AR37" s="31"/>
      <c r="AS37" s="31">
        <f t="shared" ca="1" si="9"/>
        <v>5.1581530949432837E-4</v>
      </c>
      <c r="AT37" s="31"/>
      <c r="AU37" s="31">
        <f t="shared" ca="1" si="4"/>
        <v>1.7011434523685792E-3</v>
      </c>
      <c r="AV37" s="31"/>
      <c r="AW37" s="31">
        <f t="shared" ca="1" si="5"/>
        <v>2.5068562727113792E-4</v>
      </c>
      <c r="AX37" s="31"/>
      <c r="AY37" s="31">
        <f t="shared" ca="1" si="6"/>
        <v>4.2633770155772212E-4</v>
      </c>
      <c r="AZ37" s="31"/>
      <c r="BA37" s="134">
        <f t="shared" ca="1" si="7"/>
        <v>0.14771525786506237</v>
      </c>
    </row>
    <row r="38" spans="1:53">
      <c r="A38" s="78"/>
      <c r="B38">
        <v>40</v>
      </c>
      <c r="D38" s="78">
        <v>25</v>
      </c>
      <c r="E38" s="108"/>
      <c r="F38">
        <f>VLOOKUP(B38,Parameters!E29:F119,2)</f>
        <v>8.8999999999999996E-2</v>
      </c>
      <c r="H38">
        <f>VLOOKUP(B38,Parameters!H29:I119,2)</f>
        <v>0.01</v>
      </c>
      <c r="J38">
        <f ca="1">(VLOOKUP(B38,Parameters!K29:L119,2))*(1-mda_efficacy)</f>
        <v>1.5000000000000013E-3</v>
      </c>
      <c r="L38">
        <f>VLOOKUP(B38,Parameters!N29:O119,2)</f>
        <v>0.24</v>
      </c>
      <c r="N38">
        <f>VLOOKUP(B38,Parameters!T29:U119,2)</f>
        <v>0.375</v>
      </c>
      <c r="P38">
        <f>VLOOKUP(B38,Parameters!T29:U119,2)</f>
        <v>0.375</v>
      </c>
      <c r="R38" s="78">
        <f>VLOOKUP(B38,Parameters!W29:X119,2)</f>
        <v>0.1</v>
      </c>
      <c r="S38" s="108"/>
      <c r="T38" s="102">
        <f t="shared" ca="1" si="10"/>
        <v>0.27848809362839361</v>
      </c>
      <c r="V38" s="94">
        <f t="shared" ca="1" si="11"/>
        <v>6.0209107008388511E-4</v>
      </c>
      <c r="X38" s="34">
        <f t="shared" ca="1" si="12"/>
        <v>6.1500963348847925E-3</v>
      </c>
      <c r="Z38" s="94">
        <f t="shared" ca="1" si="13"/>
        <v>3.5577002789596427E-3</v>
      </c>
      <c r="AB38" s="94">
        <f t="shared" ca="1" si="14"/>
        <v>3.5577002789596427E-3</v>
      </c>
      <c r="AD38" s="110">
        <f t="shared" ca="1" si="15"/>
        <v>0.71379441474360328</v>
      </c>
      <c r="AE38" s="111"/>
      <c r="AF38" s="112">
        <f t="shared" ca="1" si="8"/>
        <v>1</v>
      </c>
      <c r="AG38" s="108"/>
      <c r="AH38" s="131">
        <f>('Country details'!$C$52/('Country details'!$C$8*'Country details'!$C$6))*(1-(F38+H38))</f>
        <v>4.328747773756924E-2</v>
      </c>
      <c r="AJ38" s="54">
        <f t="shared" ca="1" si="0"/>
        <v>3.920415099559504</v>
      </c>
      <c r="AL38" s="138">
        <f t="shared" ca="1" si="1"/>
        <v>0.63917612169291926</v>
      </c>
      <c r="AO38" s="135">
        <f t="shared" ca="1" si="2"/>
        <v>67.588964409887666</v>
      </c>
      <c r="AP38" s="108"/>
      <c r="AQ38" s="31">
        <f t="shared" ca="1" si="3"/>
        <v>0.2776941196338879</v>
      </c>
      <c r="AR38" s="31"/>
      <c r="AS38" s="31">
        <f t="shared" ca="1" si="9"/>
        <v>4.8167285606710809E-4</v>
      </c>
      <c r="AT38" s="31"/>
      <c r="AU38" s="31">
        <f t="shared" ca="1" si="4"/>
        <v>1.6460609718843783E-3</v>
      </c>
      <c r="AV38" s="31"/>
      <c r="AW38" s="31">
        <f t="shared" ca="1" si="5"/>
        <v>2.4206852568432399E-4</v>
      </c>
      <c r="AX38" s="31"/>
      <c r="AY38" s="31">
        <f t="shared" ca="1" si="6"/>
        <v>4.1168271186165103E-4</v>
      </c>
      <c r="AZ38" s="31"/>
      <c r="BA38" s="134">
        <f t="shared" ca="1" si="7"/>
        <v>0.13395671084645816</v>
      </c>
    </row>
    <row r="39" spans="1:53">
      <c r="A39" s="78"/>
      <c r="B39">
        <v>41</v>
      </c>
      <c r="D39" s="78">
        <v>26</v>
      </c>
      <c r="E39" s="108"/>
      <c r="F39">
        <f>VLOOKUP(B39,Parameters!E30:F120,2)</f>
        <v>8.8999999999999996E-2</v>
      </c>
      <c r="H39">
        <f>VLOOKUP(B39,Parameters!H30:I120,2)</f>
        <v>0.01</v>
      </c>
      <c r="J39">
        <f ca="1">(VLOOKUP(B39,Parameters!K30:L120,2))*(1-mda_efficacy)</f>
        <v>1.5000000000000013E-3</v>
      </c>
      <c r="L39">
        <f>VLOOKUP(B39,Parameters!N30:O120,2)</f>
        <v>0.24</v>
      </c>
      <c r="N39">
        <f>VLOOKUP(B39,Parameters!T30:U120,2)</f>
        <v>0.375</v>
      </c>
      <c r="P39">
        <f>VLOOKUP(B39,Parameters!T30:U120,2)</f>
        <v>0.375</v>
      </c>
      <c r="R39" s="78">
        <f>VLOOKUP(B39,Parameters!W30:X120,2)</f>
        <v>0.1</v>
      </c>
      <c r="S39" s="108"/>
      <c r="T39" s="102">
        <f t="shared" ca="1" si="10"/>
        <v>0.25328492115502399</v>
      </c>
      <c r="V39" s="94">
        <f t="shared" ca="1" si="11"/>
        <v>5.6223399726272334E-4</v>
      </c>
      <c r="X39" s="34">
        <f t="shared" ca="1" si="12"/>
        <v>6.0147073171035424E-3</v>
      </c>
      <c r="Z39" s="94">
        <f t="shared" ca="1" si="13"/>
        <v>3.4277144023451356E-3</v>
      </c>
      <c r="AB39" s="94">
        <f t="shared" ca="1" si="14"/>
        <v>3.4277144023451356E-3</v>
      </c>
      <c r="AD39" s="110">
        <f t="shared" ca="1" si="15"/>
        <v>0.73929741604302313</v>
      </c>
      <c r="AE39" s="111"/>
      <c r="AF39" s="112">
        <f t="shared" ca="1" si="8"/>
        <v>1</v>
      </c>
      <c r="AG39" s="108"/>
      <c r="AH39" s="131">
        <f>('Country details'!$C$52/('Country details'!$C$8*'Country details'!$C$6))*(1-(F39+H39))</f>
        <v>4.328747773756924E-2</v>
      </c>
      <c r="AJ39" s="54">
        <f t="shared" ca="1" si="0"/>
        <v>3.920415099559504</v>
      </c>
      <c r="AL39" s="138">
        <f t="shared" ca="1" si="1"/>
        <v>0.62072572756678657</v>
      </c>
      <c r="AO39" s="135">
        <f t="shared" ca="1" si="2"/>
        <v>65.611798445531974</v>
      </c>
      <c r="AP39" s="108"/>
      <c r="AQ39" s="31">
        <f t="shared" ca="1" si="3"/>
        <v>0.25256280180702101</v>
      </c>
      <c r="AR39" s="31"/>
      <c r="AS39" s="31">
        <f t="shared" ca="1" si="9"/>
        <v>4.4978719781017871E-4</v>
      </c>
      <c r="AT39" s="31"/>
      <c r="AU39" s="31">
        <f t="shared" ca="1" si="4"/>
        <v>1.6098243723164382E-3</v>
      </c>
      <c r="AV39" s="31"/>
      <c r="AW39" s="31">
        <f t="shared" ca="1" si="5"/>
        <v>2.3322419169195647E-4</v>
      </c>
      <c r="AX39" s="31"/>
      <c r="AY39" s="31">
        <f t="shared" ca="1" si="6"/>
        <v>3.9664127104527546E-4</v>
      </c>
      <c r="AZ39" s="31"/>
      <c r="BA39" s="134">
        <f t="shared" ca="1" si="7"/>
        <v>0.11835913586471757</v>
      </c>
    </row>
    <row r="40" spans="1:53">
      <c r="A40" s="78"/>
      <c r="B40">
        <v>42</v>
      </c>
      <c r="D40" s="78">
        <v>27</v>
      </c>
      <c r="E40" s="108"/>
      <c r="F40">
        <f>VLOOKUP(B40,Parameters!E31:F121,2)</f>
        <v>8.8999999999999996E-2</v>
      </c>
      <c r="H40">
        <f>VLOOKUP(B40,Parameters!H31:I121,2)</f>
        <v>0.01</v>
      </c>
      <c r="J40">
        <f ca="1">(VLOOKUP(B40,Parameters!K31:L121,2))*(1-mda_efficacy)</f>
        <v>1.5000000000000013E-3</v>
      </c>
      <c r="L40">
        <f>VLOOKUP(B40,Parameters!N31:O121,2)</f>
        <v>0.24</v>
      </c>
      <c r="N40">
        <f>VLOOKUP(B40,Parameters!T31:U121,2)</f>
        <v>0.375</v>
      </c>
      <c r="P40">
        <f>VLOOKUP(B40,Parameters!T31:U121,2)</f>
        <v>0.375</v>
      </c>
      <c r="R40" s="78">
        <f>VLOOKUP(B40,Parameters!W31:X121,2)</f>
        <v>0.1</v>
      </c>
      <c r="S40" s="108"/>
      <c r="T40" s="102">
        <f t="shared" ca="1" si="10"/>
        <v>0.23036263579049432</v>
      </c>
      <c r="V40" s="94">
        <f t="shared" ca="1" si="11"/>
        <v>5.1486354107558999E-4</v>
      </c>
      <c r="X40" s="34">
        <f t="shared" ca="1" si="12"/>
        <v>5.7906649232125264E-3</v>
      </c>
      <c r="Z40" s="94">
        <f t="shared" ca="1" si="13"/>
        <v>3.2957807110841433E-3</v>
      </c>
      <c r="AB40" s="94">
        <f t="shared" ca="1" si="14"/>
        <v>3.2957807110841433E-3</v>
      </c>
      <c r="AD40" s="110">
        <f t="shared" ca="1" si="15"/>
        <v>0.76253093924626192</v>
      </c>
      <c r="AE40" s="111"/>
      <c r="AF40" s="112">
        <f t="shared" ca="1" si="8"/>
        <v>1</v>
      </c>
      <c r="AG40" s="108"/>
      <c r="AH40" s="131">
        <f>('Country details'!$C$52/('Country details'!$C$8*'Country details'!$C$6))*(1-(F40+H40))</f>
        <v>4.328747773756924E-2</v>
      </c>
      <c r="AJ40" s="54">
        <f t="shared" ca="1" si="0"/>
        <v>3.920415099559504</v>
      </c>
      <c r="AL40" s="138">
        <f t="shared" ca="1" si="1"/>
        <v>0.59724362941288545</v>
      </c>
      <c r="AO40" s="135">
        <f t="shared" ca="1" si="2"/>
        <v>63.690203806241591</v>
      </c>
      <c r="AP40" s="108"/>
      <c r="AQ40" s="31">
        <f t="shared" ca="1" si="3"/>
        <v>0.22970586824348563</v>
      </c>
      <c r="AR40" s="31"/>
      <c r="AS40" s="31">
        <f t="shared" ca="1" si="9"/>
        <v>4.1189083286047204E-4</v>
      </c>
      <c r="AT40" s="31"/>
      <c r="AU40" s="31">
        <f t="shared" ca="1" si="4"/>
        <v>1.5498598741118005E-3</v>
      </c>
      <c r="AV40" s="31"/>
      <c r="AW40" s="31">
        <f t="shared" ca="1" si="5"/>
        <v>2.2424732696827088E-4</v>
      </c>
      <c r="AX40" s="31"/>
      <c r="AY40" s="31">
        <f t="shared" ca="1" si="6"/>
        <v>3.8137443698242233E-4</v>
      </c>
      <c r="AZ40" s="31"/>
      <c r="BA40" s="134">
        <f t="shared" ca="1" si="7"/>
        <v>0.10456687091682119</v>
      </c>
    </row>
    <row r="41" spans="1:53">
      <c r="A41" s="78"/>
      <c r="B41">
        <v>43</v>
      </c>
      <c r="D41" s="78">
        <v>28</v>
      </c>
      <c r="E41" s="108"/>
      <c r="F41">
        <f>VLOOKUP(B41,Parameters!E32:F122,2)</f>
        <v>8.8999999999999996E-2</v>
      </c>
      <c r="H41">
        <f>VLOOKUP(B41,Parameters!H32:I122,2)</f>
        <v>0.01</v>
      </c>
      <c r="J41">
        <f ca="1">(VLOOKUP(B41,Parameters!K32:L122,2))*(1-mda_efficacy)</f>
        <v>1.5000000000000013E-3</v>
      </c>
      <c r="L41">
        <f>VLOOKUP(B41,Parameters!N32:O122,2)</f>
        <v>0.24</v>
      </c>
      <c r="N41">
        <f>VLOOKUP(B41,Parameters!T32:U122,2)</f>
        <v>0.375</v>
      </c>
      <c r="P41">
        <f>VLOOKUP(B41,Parameters!T32:U122,2)</f>
        <v>0.375</v>
      </c>
      <c r="R41" s="78">
        <f>VLOOKUP(B41,Parameters!W32:X122,2)</f>
        <v>0.1</v>
      </c>
      <c r="S41" s="108"/>
      <c r="T41" s="102">
        <f t="shared" ca="1" si="10"/>
        <v>0.20951481725145457</v>
      </c>
      <c r="V41" s="94">
        <f t="shared" ca="1" si="11"/>
        <v>4.6911120354388344E-4</v>
      </c>
      <c r="X41" s="34">
        <f t="shared" ca="1" si="12"/>
        <v>5.5616054231469782E-3</v>
      </c>
      <c r="Z41" s="94">
        <f t="shared" ca="1" si="13"/>
        <v>3.1592764678790753E-3</v>
      </c>
      <c r="AB41" s="94">
        <f t="shared" ca="1" si="14"/>
        <v>3.1592764678790753E-3</v>
      </c>
      <c r="AD41" s="110">
        <f t="shared" ca="1" si="15"/>
        <v>0.78369751860924364</v>
      </c>
      <c r="AE41" s="111"/>
      <c r="AF41" s="112">
        <f t="shared" ca="1" si="8"/>
        <v>1.0000000000000002</v>
      </c>
      <c r="AG41" s="108"/>
      <c r="AH41" s="131">
        <f>('Country details'!$C$52/('Country details'!$C$8*'Country details'!$C$6))*(1-(F41+H41))</f>
        <v>4.328747773756924E-2</v>
      </c>
      <c r="AJ41" s="54">
        <f t="shared" ca="1" si="0"/>
        <v>3.920415099559504</v>
      </c>
      <c r="AL41" s="138">
        <f t="shared" ca="1" si="1"/>
        <v>0.57309869583138418</v>
      </c>
      <c r="AO41" s="135">
        <f t="shared" ca="1" si="2"/>
        <v>61.824596137272835</v>
      </c>
      <c r="AP41" s="108"/>
      <c r="AQ41" s="31">
        <f t="shared" ca="1" si="3"/>
        <v>0.20891748716745018</v>
      </c>
      <c r="AR41" s="31"/>
      <c r="AS41" s="31">
        <f t="shared" ca="1" si="9"/>
        <v>3.7528896283510677E-4</v>
      </c>
      <c r="AT41" s="31"/>
      <c r="AU41" s="31">
        <f t="shared" ca="1" si="4"/>
        <v>1.488552557483514E-3</v>
      </c>
      <c r="AV41" s="31"/>
      <c r="AW41" s="31">
        <f t="shared" ca="1" si="5"/>
        <v>2.1495947855177416E-4</v>
      </c>
      <c r="AX41" s="31"/>
      <c r="AY41" s="31">
        <f t="shared" ca="1" si="6"/>
        <v>3.6557871710246717E-4</v>
      </c>
      <c r="AZ41" s="31"/>
      <c r="BA41" s="134">
        <f t="shared" ca="1" si="7"/>
        <v>9.2381358521446244E-2</v>
      </c>
    </row>
    <row r="42" spans="1:53">
      <c r="A42" s="78"/>
      <c r="B42">
        <v>44</v>
      </c>
      <c r="D42" s="78">
        <v>29</v>
      </c>
      <c r="E42" s="108"/>
      <c r="F42">
        <f>VLOOKUP(B42,Parameters!E33:F123,2)</f>
        <v>8.8999999999999996E-2</v>
      </c>
      <c r="H42">
        <f>VLOOKUP(B42,Parameters!H33:I123,2)</f>
        <v>0.01</v>
      </c>
      <c r="J42">
        <f ca="1">(VLOOKUP(B42,Parameters!K33:L123,2))*(1-mda_efficacy)</f>
        <v>1.5000000000000013E-3</v>
      </c>
      <c r="L42">
        <f>VLOOKUP(B42,Parameters!N33:O123,2)</f>
        <v>0.24</v>
      </c>
      <c r="N42">
        <f>VLOOKUP(B42,Parameters!T33:U123,2)</f>
        <v>0.375</v>
      </c>
      <c r="P42">
        <f>VLOOKUP(B42,Parameters!T33:U123,2)</f>
        <v>0.375</v>
      </c>
      <c r="R42" s="78">
        <f>VLOOKUP(B42,Parameters!W33:X123,2)</f>
        <v>0.1</v>
      </c>
      <c r="S42" s="108"/>
      <c r="T42" s="102">
        <f t="shared" ca="1" si="10"/>
        <v>0.19055372629019793</v>
      </c>
      <c r="V42" s="94">
        <f t="shared" ca="1" si="11"/>
        <v>4.268589147277141E-4</v>
      </c>
      <c r="X42" s="34">
        <f t="shared" ca="1" si="12"/>
        <v>5.3253928608510068E-3</v>
      </c>
      <c r="Z42" s="94">
        <f t="shared" ca="1" si="13"/>
        <v>3.0192655224201238E-3</v>
      </c>
      <c r="AB42" s="94">
        <f t="shared" ca="1" si="14"/>
        <v>3.0192655224201238E-3</v>
      </c>
      <c r="AD42" s="110">
        <f t="shared" ca="1" si="15"/>
        <v>0.80298088375023435</v>
      </c>
      <c r="AE42" s="111"/>
      <c r="AF42" s="112">
        <f t="shared" ca="1" si="8"/>
        <v>1.0000000000000002</v>
      </c>
      <c r="AG42" s="108"/>
      <c r="AH42" s="131">
        <f>('Country details'!$C$52/('Country details'!$C$8*'Country details'!$C$6))*(1-(F42+H42))</f>
        <v>4.328747773756924E-2</v>
      </c>
      <c r="AJ42" s="54">
        <f t="shared" ca="1" si="0"/>
        <v>3.920415099559504</v>
      </c>
      <c r="AL42" s="138">
        <f t="shared" ca="1" si="1"/>
        <v>0.54826385150102686</v>
      </c>
      <c r="AO42" s="135">
        <f t="shared" ca="1" si="2"/>
        <v>60.013341169075176</v>
      </c>
      <c r="AP42" s="108"/>
      <c r="AQ42" s="31">
        <f t="shared" ca="1" si="3"/>
        <v>0.19001045457879592</v>
      </c>
      <c r="AR42" s="31"/>
      <c r="AS42" s="31">
        <f t="shared" ca="1" si="9"/>
        <v>3.4148713178217129E-4</v>
      </c>
      <c r="AT42" s="31"/>
      <c r="AU42" s="31">
        <f t="shared" ca="1" si="4"/>
        <v>1.4253307380692837E-3</v>
      </c>
      <c r="AV42" s="31"/>
      <c r="AW42" s="31">
        <f t="shared" ca="1" si="5"/>
        <v>2.0543303155247058E-4</v>
      </c>
      <c r="AX42" s="31"/>
      <c r="AY42" s="31">
        <f t="shared" ca="1" si="6"/>
        <v>3.4937721579620474E-4</v>
      </c>
      <c r="AZ42" s="31"/>
      <c r="BA42" s="134">
        <f t="shared" ca="1" si="7"/>
        <v>8.1615419645894902E-2</v>
      </c>
    </row>
    <row r="43" spans="1:53">
      <c r="A43" s="78"/>
      <c r="B43">
        <v>45</v>
      </c>
      <c r="D43" s="78">
        <v>30</v>
      </c>
      <c r="E43" s="108"/>
      <c r="F43">
        <f>VLOOKUP(B43,Parameters!E34:F124,2)</f>
        <v>8.9499999999999996E-2</v>
      </c>
      <c r="H43">
        <f>VLOOKUP(B43,Parameters!H34:I124,2)</f>
        <v>0.01</v>
      </c>
      <c r="J43">
        <f ca="1">(VLOOKUP(B43,Parameters!K34:L124,2))*(1-mda_efficacy)</f>
        <v>1.5000000000000013E-3</v>
      </c>
      <c r="L43">
        <f>VLOOKUP(B43,Parameters!N34:O124,2)</f>
        <v>0.24</v>
      </c>
      <c r="N43">
        <f>VLOOKUP(B43,Parameters!T34:U124,2)</f>
        <v>0.375</v>
      </c>
      <c r="P43">
        <f>VLOOKUP(B43,Parameters!T34:U124,2)</f>
        <v>0.375</v>
      </c>
      <c r="R43" s="78">
        <f>VLOOKUP(B43,Parameters!W34:X124,2)</f>
        <v>0.1</v>
      </c>
      <c r="S43" s="108"/>
      <c r="T43" s="102">
        <f t="shared" ca="1" si="10"/>
        <v>0.17330861406093503</v>
      </c>
      <c r="V43" s="94">
        <f t="shared" ca="1" si="11"/>
        <v>3.8827672896994854E-4</v>
      </c>
      <c r="X43" s="34">
        <f t="shared" ca="1" si="12"/>
        <v>5.0842342515278558E-3</v>
      </c>
      <c r="Z43" s="94">
        <f t="shared" ca="1" si="13"/>
        <v>2.8774110632010042E-3</v>
      </c>
      <c r="AB43" s="94">
        <f t="shared" ca="1" si="14"/>
        <v>2.8774110632010042E-3</v>
      </c>
      <c r="AD43" s="110">
        <f t="shared" ca="1" si="15"/>
        <v>0.82054828708369332</v>
      </c>
      <c r="AE43" s="111"/>
      <c r="AF43" s="112">
        <f t="shared" ca="1" si="8"/>
        <v>1.0000000000000002</v>
      </c>
      <c r="AG43" s="108"/>
      <c r="AH43" s="131">
        <f>('Country details'!$C$52/('Country details'!$C$8*'Country details'!$C$6))*(1-(F43+H43))</f>
        <v>4.3263455829834735E-2</v>
      </c>
      <c r="AJ43" s="54">
        <f t="shared" ca="1" si="0"/>
        <v>3.920415099559504</v>
      </c>
      <c r="AL43" s="138">
        <f t="shared" ca="1" si="1"/>
        <v>0.52300123003834176</v>
      </c>
      <c r="AO43" s="135">
        <f t="shared" ca="1" si="2"/>
        <v>58.254962013539931</v>
      </c>
      <c r="AP43" s="108"/>
      <c r="AQ43" s="31">
        <f t="shared" ca="1" si="3"/>
        <v>0.17281450843941493</v>
      </c>
      <c r="AR43" s="31"/>
      <c r="AS43" s="31">
        <f t="shared" ca="1" si="9"/>
        <v>3.1062138317595886E-4</v>
      </c>
      <c r="AT43" s="31"/>
      <c r="AU43" s="31">
        <f t="shared" ca="1" si="4"/>
        <v>1.3607851190699373E-3</v>
      </c>
      <c r="AV43" s="31"/>
      <c r="AW43" s="31">
        <f t="shared" ca="1" si="5"/>
        <v>1.9578115053033997E-4</v>
      </c>
      <c r="AX43" s="31"/>
      <c r="AY43" s="31">
        <f t="shared" ca="1" si="6"/>
        <v>3.3296239052090854E-4</v>
      </c>
      <c r="AZ43" s="31"/>
      <c r="BA43" s="134">
        <f t="shared" ca="1" si="7"/>
        <v>7.2103722016075664E-2</v>
      </c>
    </row>
    <row r="44" spans="1:53">
      <c r="A44" s="78"/>
      <c r="B44">
        <v>46</v>
      </c>
      <c r="D44" s="78">
        <v>31</v>
      </c>
      <c r="E44" s="108"/>
      <c r="F44">
        <f>VLOOKUP(B44,Parameters!E35:F125,2)</f>
        <v>8.9499999999999996E-2</v>
      </c>
      <c r="H44">
        <f>VLOOKUP(B44,Parameters!H35:I125,2)</f>
        <v>0.01</v>
      </c>
      <c r="J44">
        <f ca="1">(VLOOKUP(B44,Parameters!K35:L125,2))*(1-mda_efficacy)</f>
        <v>1.5000000000000013E-3</v>
      </c>
      <c r="L44">
        <f>VLOOKUP(B44,Parameters!N35:O125,2)</f>
        <v>0.24</v>
      </c>
      <c r="N44">
        <f>VLOOKUP(B44,Parameters!T35:U125,2)</f>
        <v>0.375</v>
      </c>
      <c r="P44">
        <f>VLOOKUP(B44,Parameters!T35:U125,2)</f>
        <v>0.375</v>
      </c>
      <c r="R44" s="78">
        <f>VLOOKUP(B44,Parameters!W35:X125,2)</f>
        <v>0.1</v>
      </c>
      <c r="S44" s="108"/>
      <c r="T44" s="102">
        <f t="shared" ca="1" si="10"/>
        <v>0.15753753018138994</v>
      </c>
      <c r="V44" s="94">
        <f t="shared" ca="1" si="11"/>
        <v>3.5314933604419044E-4</v>
      </c>
      <c r="X44" s="34">
        <f t="shared" ca="1" si="12"/>
        <v>4.8409146692344439E-3</v>
      </c>
      <c r="Z44" s="94">
        <f t="shared" ca="1" si="13"/>
        <v>2.7352737302446346E-3</v>
      </c>
      <c r="AB44" s="94">
        <f t="shared" ca="1" si="14"/>
        <v>2.7352737302446346E-3</v>
      </c>
      <c r="AD44" s="110">
        <f t="shared" ca="1" si="15"/>
        <v>0.8366387730220769</v>
      </c>
      <c r="AE44" s="111"/>
      <c r="AF44" s="112">
        <f t="shared" ca="1" si="8"/>
        <v>1.0000000000000002</v>
      </c>
      <c r="AG44" s="108"/>
      <c r="AH44" s="131">
        <f>('Country details'!$C$52/('Country details'!$C$8*'Country details'!$C$6))*(1-(F44+H44))</f>
        <v>4.3263455829834735E-2</v>
      </c>
      <c r="AJ44" s="54">
        <f t="shared" ca="1" si="0"/>
        <v>3.920415099559504</v>
      </c>
      <c r="AL44" s="138">
        <f t="shared" ca="1" si="1"/>
        <v>0.49759600488101691</v>
      </c>
      <c r="AO44" s="135">
        <f t="shared" ca="1" si="2"/>
        <v>56.548053783643283</v>
      </c>
      <c r="AP44" s="108"/>
      <c r="AQ44" s="31">
        <f t="shared" ca="1" si="3"/>
        <v>0.15708838817142814</v>
      </c>
      <c r="AR44" s="31"/>
      <c r="AS44" s="31">
        <f t="shared" ca="1" si="9"/>
        <v>2.8251946883535239E-4</v>
      </c>
      <c r="AT44" s="31"/>
      <c r="AU44" s="31">
        <f t="shared" ca="1" si="4"/>
        <v>1.295661119981247E-3</v>
      </c>
      <c r="AV44" s="31"/>
      <c r="AW44" s="31">
        <f t="shared" ca="1" si="5"/>
        <v>1.8611002257250318E-4</v>
      </c>
      <c r="AX44" s="31"/>
      <c r="AY44" s="31">
        <f t="shared" ca="1" si="6"/>
        <v>3.1651483223885677E-4</v>
      </c>
      <c r="AZ44" s="31"/>
      <c r="BA44" s="134">
        <f t="shared" ca="1" si="7"/>
        <v>6.3665631351676633E-2</v>
      </c>
    </row>
    <row r="45" spans="1:53">
      <c r="A45" s="78"/>
      <c r="B45">
        <v>47</v>
      </c>
      <c r="D45" s="78">
        <v>32</v>
      </c>
      <c r="E45" s="108"/>
      <c r="F45">
        <f>VLOOKUP(B45,Parameters!E36:F126,2)</f>
        <v>8.9499999999999996E-2</v>
      </c>
      <c r="H45">
        <f>VLOOKUP(B45,Parameters!H36:I126,2)</f>
        <v>0.01</v>
      </c>
      <c r="J45">
        <f ca="1">(VLOOKUP(B45,Parameters!K36:L126,2))*(1-mda_efficacy)</f>
        <v>1.5000000000000013E-3</v>
      </c>
      <c r="L45">
        <f>VLOOKUP(B45,Parameters!N36:O126,2)</f>
        <v>0.24</v>
      </c>
      <c r="N45">
        <f>VLOOKUP(B45,Parameters!T36:U126,2)</f>
        <v>0.375</v>
      </c>
      <c r="P45">
        <f>VLOOKUP(B45,Parameters!T36:U126,2)</f>
        <v>0.375</v>
      </c>
      <c r="R45" s="78">
        <f>VLOOKUP(B45,Parameters!W36:X126,2)</f>
        <v>0.1</v>
      </c>
      <c r="S45" s="108"/>
      <c r="T45" s="102">
        <f t="shared" ca="1" si="10"/>
        <v>0.14320161493488345</v>
      </c>
      <c r="V45" s="94">
        <f t="shared" ca="1" si="11"/>
        <v>3.2106213592269085E-4</v>
      </c>
      <c r="X45" s="34">
        <f t="shared" ca="1" si="12"/>
        <v>4.5979574955542519E-3</v>
      </c>
      <c r="Z45" s="94">
        <f t="shared" ca="1" si="13"/>
        <v>2.5941773582367428E-3</v>
      </c>
      <c r="AB45" s="94">
        <f t="shared" ca="1" si="14"/>
        <v>2.5941773582367428E-3</v>
      </c>
      <c r="AD45" s="110">
        <f t="shared" ca="1" si="15"/>
        <v>0.8512889682127206</v>
      </c>
      <c r="AE45" s="111"/>
      <c r="AF45" s="112">
        <f t="shared" ca="1" si="8"/>
        <v>1.0000000000000002</v>
      </c>
      <c r="AG45" s="108"/>
      <c r="AH45" s="131">
        <f>('Country details'!$C$52/('Country details'!$C$8*'Country details'!$C$6))*(1-(F45+H45))</f>
        <v>4.3263455829834735E-2</v>
      </c>
      <c r="AJ45" s="54">
        <f t="shared" ref="AJ45:AJ76" ca="1" si="16">(ccc_adl*L45)+(ccc_hydrocele*P45)+(ccc_le*N45)</f>
        <v>3.920415099559504</v>
      </c>
      <c r="AL45" s="138">
        <f t="shared" ref="AL45:AL76" ca="1" si="17">IF(study_perspective=1,0,IF(age&lt;15,0,IF(age&gt;75,0,min_daily_wage*adl_episode_duration*annual_adl_episodes*X45 + prod_loss_hydrocele*min_annual_wage*Z45+prod_loss_lymphedema*min_annual_wage*AB45)))</f>
        <v>0.47229891112978828</v>
      </c>
      <c r="AO45" s="135">
        <f t="shared" ref="AO45:AO76" ca="1" si="18">IF(study_perspective=1,((AH45+AJ45)/(1+discount_cost)^cycle),((AH45+AJ45+AL45+hh_costs_adl+hh_costs_hydrocele+hh_costs_lymphedema)/(1+discount_cost)^cycle))</f>
        <v>54.891199292556173</v>
      </c>
      <c r="AP45" s="108"/>
      <c r="AQ45" s="31">
        <f t="shared" ref="AQ45:AQ76" ca="1" si="19">util_healthy*T45*1</f>
        <v>0.14279334484782819</v>
      </c>
      <c r="AR45" s="31"/>
      <c r="AS45" s="31">
        <f t="shared" ca="1" si="9"/>
        <v>2.5684970873815271E-4</v>
      </c>
      <c r="AT45" s="31"/>
      <c r="AU45" s="31">
        <f t="shared" ref="AU45:AU76" ca="1" si="20">util_adl*X45</f>
        <v>1.2306341188323634E-3</v>
      </c>
      <c r="AV45" s="31"/>
      <c r="AW45" s="31">
        <f t="shared" ref="AW45:AW76" ca="1" si="21">util_lymphedema*AB45</f>
        <v>1.7650972235796545E-4</v>
      </c>
      <c r="AX45" s="31"/>
      <c r="AY45" s="31">
        <f t="shared" ref="AY45:AY76" ca="1" si="22">util_hydrocele*Z45</f>
        <v>3.0018772975482308E-4</v>
      </c>
      <c r="AZ45" s="31"/>
      <c r="BA45" s="134">
        <f t="shared" ref="BA45:BA76" ca="1" si="23">(AQ45+AS45+AU45+AW45+AY45)/((1+discount_effects)^cycle)</f>
        <v>5.6214708365362138E-2</v>
      </c>
    </row>
    <row r="46" spans="1:53">
      <c r="A46" s="78"/>
      <c r="B46">
        <v>48</v>
      </c>
      <c r="D46" s="78">
        <v>33</v>
      </c>
      <c r="E46" s="108"/>
      <c r="F46">
        <f>VLOOKUP(B46,Parameters!E37:F127,2)</f>
        <v>8.9499999999999996E-2</v>
      </c>
      <c r="H46">
        <f>VLOOKUP(B46,Parameters!H37:I127,2)</f>
        <v>0.01</v>
      </c>
      <c r="J46">
        <f ca="1">(VLOOKUP(B46,Parameters!K37:L127,2))*(1-mda_efficacy)</f>
        <v>1.5000000000000013E-3</v>
      </c>
      <c r="L46">
        <f>VLOOKUP(B46,Parameters!N37:O127,2)</f>
        <v>0.24</v>
      </c>
      <c r="N46">
        <f>VLOOKUP(B46,Parameters!T37:U127,2)</f>
        <v>0.375</v>
      </c>
      <c r="P46">
        <f>VLOOKUP(B46,Parameters!T37:U127,2)</f>
        <v>0.375</v>
      </c>
      <c r="R46" s="78">
        <f>VLOOKUP(B46,Parameters!W37:X127,2)</f>
        <v>0.1</v>
      </c>
      <c r="S46" s="108"/>
      <c r="T46" s="102">
        <f t="shared" ca="1" si="10"/>
        <v>0.13017026797580905</v>
      </c>
      <c r="V46" s="94">
        <f t="shared" ca="1" si="11"/>
        <v>2.9185733502377128E-4</v>
      </c>
      <c r="X46" s="34">
        <f t="shared" ca="1" si="12"/>
        <v>4.3574475537120714E-3</v>
      </c>
      <c r="Z46" s="94">
        <f t="shared" ca="1" si="13"/>
        <v>2.4551579233840779E-3</v>
      </c>
      <c r="AB46" s="94">
        <f t="shared" ca="1" si="14"/>
        <v>2.4551579233840779E-3</v>
      </c>
      <c r="AD46" s="110">
        <f t="shared" ca="1" si="15"/>
        <v>0.86462755884239928</v>
      </c>
      <c r="AE46" s="111"/>
      <c r="AF46" s="112">
        <f t="shared" ca="1" si="8"/>
        <v>1.0000000000000002</v>
      </c>
      <c r="AG46" s="108"/>
      <c r="AH46" s="131">
        <f>('Country details'!$C$52/('Country details'!$C$8*'Country details'!$C$6))*(1-(F46+H46))</f>
        <v>4.3263455829834735E-2</v>
      </c>
      <c r="AJ46" s="54">
        <f t="shared" ca="1" si="16"/>
        <v>3.920415099559504</v>
      </c>
      <c r="AL46" s="138">
        <f t="shared" ca="1" si="17"/>
        <v>0.44731220903273872</v>
      </c>
      <c r="AO46" s="135">
        <f t="shared" ca="1" si="18"/>
        <v>53.283005855117423</v>
      </c>
      <c r="AP46" s="108"/>
      <c r="AQ46" s="31">
        <f t="shared" ca="1" si="19"/>
        <v>0.12979915046667581</v>
      </c>
      <c r="AR46" s="31"/>
      <c r="AS46" s="31">
        <f t="shared" ca="1" si="9"/>
        <v>2.3348586801901703E-4</v>
      </c>
      <c r="AT46" s="31"/>
      <c r="AU46" s="31">
        <f t="shared" ca="1" si="20"/>
        <v>1.1662621143857027E-3</v>
      </c>
      <c r="AV46" s="31"/>
      <c r="AW46" s="31">
        <f t="shared" ca="1" si="21"/>
        <v>1.670507384645574E-4</v>
      </c>
      <c r="AX46" s="31"/>
      <c r="AY46" s="31">
        <f t="shared" ca="1" si="22"/>
        <v>2.8410096205263902E-4</v>
      </c>
      <c r="AZ46" s="31"/>
      <c r="BA46" s="134">
        <f t="shared" ca="1" si="23"/>
        <v>4.9635524290366585E-2</v>
      </c>
    </row>
    <row r="47" spans="1:53">
      <c r="A47" s="78"/>
      <c r="B47">
        <v>49</v>
      </c>
      <c r="D47" s="78">
        <v>34</v>
      </c>
      <c r="E47" s="108"/>
      <c r="F47">
        <f>VLOOKUP(B47,Parameters!E38:F128,2)</f>
        <v>8.9499999999999996E-2</v>
      </c>
      <c r="H47">
        <f>VLOOKUP(B47,Parameters!H38:I128,2)</f>
        <v>0.01</v>
      </c>
      <c r="J47">
        <f ca="1">(VLOOKUP(B47,Parameters!K38:L128,2))*(1-mda_efficacy)</f>
        <v>1.5000000000000013E-3</v>
      </c>
      <c r="L47">
        <f>VLOOKUP(B47,Parameters!N38:O128,2)</f>
        <v>0.24</v>
      </c>
      <c r="N47">
        <f>VLOOKUP(B47,Parameters!T38:U128,2)</f>
        <v>0.375</v>
      </c>
      <c r="P47">
        <f>VLOOKUP(B47,Parameters!T38:U128,2)</f>
        <v>0.375</v>
      </c>
      <c r="R47" s="78">
        <f>VLOOKUP(B47,Parameters!W38:X128,2)</f>
        <v>0.1</v>
      </c>
      <c r="S47" s="108"/>
      <c r="T47" s="102">
        <f t="shared" ca="1" si="10"/>
        <v>0.11832477359001042</v>
      </c>
      <c r="V47" s="94">
        <f t="shared" ca="1" si="11"/>
        <v>2.6530116236941887E-4</v>
      </c>
      <c r="X47" s="34">
        <f t="shared" ca="1" si="12"/>
        <v>4.121056333989433E-3</v>
      </c>
      <c r="Z47" s="94">
        <f t="shared" ca="1" si="13"/>
        <v>2.319088631679584E-3</v>
      </c>
      <c r="AB47" s="94">
        <f t="shared" ca="1" si="14"/>
        <v>2.319088631679584E-3</v>
      </c>
      <c r="AD47" s="110">
        <f t="shared" ca="1" si="15"/>
        <v>0.87677174798426127</v>
      </c>
      <c r="AE47" s="111"/>
      <c r="AF47" s="112">
        <f t="shared" ca="1" si="8"/>
        <v>1.0000000000000002</v>
      </c>
      <c r="AG47" s="108"/>
      <c r="AH47" s="131">
        <f>('Country details'!$C$52/('Country details'!$C$8*'Country details'!$C$6))*(1-(F47+H47))</f>
        <v>4.3263455829834735E-2</v>
      </c>
      <c r="AJ47" s="54">
        <f t="shared" ca="1" si="16"/>
        <v>3.920415099559504</v>
      </c>
      <c r="AL47" s="138">
        <f t="shared" ca="1" si="17"/>
        <v>0.42280167183905115</v>
      </c>
      <c r="AO47" s="135">
        <f t="shared" ca="1" si="18"/>
        <v>51.722101688615375</v>
      </c>
      <c r="AP47" s="108"/>
      <c r="AQ47" s="31">
        <f t="shared" ca="1" si="19"/>
        <v>0.11798742777420831</v>
      </c>
      <c r="AR47" s="31"/>
      <c r="AS47" s="31">
        <f t="shared" ca="1" si="9"/>
        <v>2.122409298955351E-4</v>
      </c>
      <c r="AT47" s="31"/>
      <c r="AU47" s="31">
        <f t="shared" ca="1" si="20"/>
        <v>1.1029924776688872E-3</v>
      </c>
      <c r="AV47" s="31"/>
      <c r="AW47" s="31">
        <f t="shared" ca="1" si="21"/>
        <v>1.5779248446586786E-4</v>
      </c>
      <c r="AX47" s="31"/>
      <c r="AY47" s="31">
        <f t="shared" ca="1" si="22"/>
        <v>2.6835557300418865E-4</v>
      </c>
      <c r="AZ47" s="31"/>
      <c r="BA47" s="134">
        <f t="shared" ca="1" si="23"/>
        <v>4.3826119974284185E-2</v>
      </c>
    </row>
    <row r="48" spans="1:53">
      <c r="A48" s="78"/>
      <c r="B48">
        <v>50</v>
      </c>
      <c r="D48" s="78">
        <v>35</v>
      </c>
      <c r="E48" s="108"/>
      <c r="F48">
        <f>VLOOKUP(B48,Parameters!E39:F129,2)</f>
        <v>0.12529999999999999</v>
      </c>
      <c r="H48">
        <f>VLOOKUP(B48,Parameters!H39:I129,2)</f>
        <v>0.01</v>
      </c>
      <c r="J48">
        <f ca="1">(VLOOKUP(B48,Parameters!K39:L129,2))*(1-mda_efficacy)</f>
        <v>1.5000000000000013E-3</v>
      </c>
      <c r="L48">
        <f>VLOOKUP(B48,Parameters!N39:O129,2)</f>
        <v>0.15</v>
      </c>
      <c r="N48">
        <f>VLOOKUP(B48,Parameters!T39:U129,2)</f>
        <v>0.375</v>
      </c>
      <c r="P48">
        <f>VLOOKUP(B48,Parameters!T39:U129,2)</f>
        <v>0.375</v>
      </c>
      <c r="R48" s="78">
        <f>VLOOKUP(B48,Parameters!W39:X129,2)</f>
        <v>0.1</v>
      </c>
      <c r="S48" s="108"/>
      <c r="T48" s="102">
        <f t="shared" ca="1" si="10"/>
        <v>0.10755721919331948</v>
      </c>
      <c r="V48" s="94">
        <f t="shared" ca="1" si="11"/>
        <v>2.4115943935367631E-4</v>
      </c>
      <c r="X48" s="34">
        <f t="shared" ca="1" si="12"/>
        <v>3.8901685212399742E-3</v>
      </c>
      <c r="Z48" s="94">
        <f t="shared" ca="1" si="13"/>
        <v>2.1866677044001578E-3</v>
      </c>
      <c r="AB48" s="94">
        <f t="shared" ca="1" si="14"/>
        <v>2.1866677044001578E-3</v>
      </c>
      <c r="AD48" s="110">
        <f t="shared" ca="1" si="15"/>
        <v>0.88782828595852681</v>
      </c>
      <c r="AE48" s="111"/>
      <c r="AF48" s="112">
        <f t="shared" ca="1" si="8"/>
        <v>1.0000000000000002</v>
      </c>
      <c r="AG48" s="108"/>
      <c r="AH48" s="131">
        <f>('Country details'!$C$52/('Country details'!$C$8*'Country details'!$C$6))*(1-(F48+H48))</f>
        <v>4.1543487236044528E-2</v>
      </c>
      <c r="AJ48" s="54">
        <f t="shared" ca="1" si="16"/>
        <v>3.6679997749313906</v>
      </c>
      <c r="AL48" s="138">
        <f t="shared" ca="1" si="17"/>
        <v>0.39890249612174572</v>
      </c>
      <c r="AO48" s="135">
        <f t="shared" ca="1" si="18"/>
        <v>50.116823873114093</v>
      </c>
      <c r="AP48" s="108"/>
      <c r="AQ48" s="31">
        <f t="shared" ca="1" si="19"/>
        <v>0.10725057184675536</v>
      </c>
      <c r="AR48" s="31"/>
      <c r="AS48" s="31">
        <f t="shared" ca="1" si="9"/>
        <v>1.9292755148294106E-4</v>
      </c>
      <c r="AT48" s="31"/>
      <c r="AU48" s="31">
        <f t="shared" ca="1" si="20"/>
        <v>1.0411958168109314E-3</v>
      </c>
      <c r="AV48" s="31"/>
      <c r="AW48" s="31">
        <f t="shared" ca="1" si="21"/>
        <v>1.4878246784758898E-4</v>
      </c>
      <c r="AX48" s="31"/>
      <c r="AY48" s="31">
        <f t="shared" ca="1" si="22"/>
        <v>2.5303235795652579E-4</v>
      </c>
      <c r="AZ48" s="31"/>
      <c r="BA48" s="134">
        <f t="shared" ca="1" si="23"/>
        <v>3.8696457913815555E-2</v>
      </c>
    </row>
    <row r="49" spans="1:53">
      <c r="A49" s="78"/>
      <c r="B49">
        <v>51</v>
      </c>
      <c r="D49" s="78">
        <v>36</v>
      </c>
      <c r="E49" s="108"/>
      <c r="F49">
        <f>VLOOKUP(B49,Parameters!E40:F130,2)</f>
        <v>0.12529999999999999</v>
      </c>
      <c r="H49">
        <f>VLOOKUP(B49,Parameters!H40:I130,2)</f>
        <v>0.01</v>
      </c>
      <c r="J49">
        <f ca="1">(VLOOKUP(B49,Parameters!K40:L130,2))*(1-mda_efficacy)</f>
        <v>1.5000000000000013E-3</v>
      </c>
      <c r="L49">
        <f>VLOOKUP(B49,Parameters!N40:O130,2)</f>
        <v>0.15</v>
      </c>
      <c r="N49">
        <f>VLOOKUP(B49,Parameters!T40:U130,2)</f>
        <v>0.375</v>
      </c>
      <c r="P49">
        <f>VLOOKUP(B49,Parameters!T40:U130,2)</f>
        <v>0.375</v>
      </c>
      <c r="R49" s="78">
        <f>VLOOKUP(B49,Parameters!W40:X130,2)</f>
        <v>0.1</v>
      </c>
      <c r="S49" s="108"/>
      <c r="T49" s="102">
        <f t="shared" ca="1" si="10"/>
        <v>9.391896379960657E-2</v>
      </c>
      <c r="V49" s="94">
        <f t="shared" ca="1" si="11"/>
        <v>2.1921409423486166E-4</v>
      </c>
      <c r="X49" s="34">
        <f t="shared" ca="1" si="12"/>
        <v>3.6441756281633117E-3</v>
      </c>
      <c r="Z49" s="94">
        <f t="shared" ca="1" si="13"/>
        <v>2.0584357237177706E-3</v>
      </c>
      <c r="AB49" s="94">
        <f t="shared" ca="1" si="14"/>
        <v>2.0584357237177706E-3</v>
      </c>
      <c r="AD49" s="110">
        <f t="shared" ca="1" si="15"/>
        <v>0.90174495065872329</v>
      </c>
      <c r="AE49" s="111"/>
      <c r="AF49" s="112">
        <f t="shared" ca="1" si="8"/>
        <v>1.0000000000000002</v>
      </c>
      <c r="AG49" s="108"/>
      <c r="AH49" s="131">
        <f>('Country details'!$C$52/('Country details'!$C$8*'Country details'!$C$6))*(1-(F49+H49))</f>
        <v>4.1543487236044528E-2</v>
      </c>
      <c r="AJ49" s="54">
        <f t="shared" ca="1" si="16"/>
        <v>3.6679997749313906</v>
      </c>
      <c r="AL49" s="138">
        <f t="shared" ca="1" si="17"/>
        <v>0.37452920833972064</v>
      </c>
      <c r="AO49" s="135">
        <f t="shared" ca="1" si="18"/>
        <v>48.648700981831411</v>
      </c>
      <c r="AP49" s="108"/>
      <c r="AQ49" s="31">
        <f t="shared" ca="1" si="19"/>
        <v>9.3651199336586777E-2</v>
      </c>
      <c r="AR49" s="31"/>
      <c r="AS49" s="31">
        <f t="shared" ca="1" si="9"/>
        <v>1.7537127538788934E-4</v>
      </c>
      <c r="AT49" s="31"/>
      <c r="AU49" s="31">
        <f t="shared" ca="1" si="20"/>
        <v>9.7535631144292216E-4</v>
      </c>
      <c r="AV49" s="31"/>
      <c r="AW49" s="31">
        <f t="shared" ca="1" si="21"/>
        <v>1.4005747021556718E-4</v>
      </c>
      <c r="AX49" s="31"/>
      <c r="AY49" s="31">
        <f t="shared" ca="1" si="22"/>
        <v>2.3819387089595942E-4</v>
      </c>
      <c r="AZ49" s="31"/>
      <c r="BA49" s="134">
        <f t="shared" ca="1" si="23"/>
        <v>3.2840247723938232E-2</v>
      </c>
    </row>
    <row r="50" spans="1:53">
      <c r="A50" s="78"/>
      <c r="B50">
        <v>52</v>
      </c>
      <c r="D50" s="78">
        <v>37</v>
      </c>
      <c r="E50" s="108"/>
      <c r="F50">
        <f>VLOOKUP(B50,Parameters!E41:F131,2)</f>
        <v>0.12529999999999999</v>
      </c>
      <c r="H50">
        <f>VLOOKUP(B50,Parameters!H41:I131,2)</f>
        <v>0.01</v>
      </c>
      <c r="J50">
        <f ca="1">(VLOOKUP(B50,Parameters!K41:L131,2))*(1-mda_efficacy)</f>
        <v>1.5000000000000013E-3</v>
      </c>
      <c r="L50">
        <f>VLOOKUP(B50,Parameters!N41:O131,2)</f>
        <v>0.15</v>
      </c>
      <c r="N50">
        <f>VLOOKUP(B50,Parameters!T41:U131,2)</f>
        <v>0.375</v>
      </c>
      <c r="P50">
        <f>VLOOKUP(B50,Parameters!T41:U131,2)</f>
        <v>0.375</v>
      </c>
      <c r="R50" s="78">
        <f>VLOOKUP(B50,Parameters!W41:X131,2)</f>
        <v>0.1</v>
      </c>
      <c r="S50" s="108"/>
      <c r="T50" s="102">
        <f t="shared" ca="1" si="10"/>
        <v>8.2010039189816461E-2</v>
      </c>
      <c r="V50" s="94">
        <f t="shared" ca="1" si="11"/>
        <v>1.9348982831577681E-4</v>
      </c>
      <c r="X50" s="34">
        <f t="shared" ca="1" si="12"/>
        <v>3.4293010582695503E-3</v>
      </c>
      <c r="Z50" s="94">
        <f t="shared" ca="1" si="13"/>
        <v>1.9347974366840668E-3</v>
      </c>
      <c r="AB50" s="94">
        <f t="shared" ca="1" si="14"/>
        <v>1.9347974366840668E-3</v>
      </c>
      <c r="AD50" s="110">
        <f t="shared" ca="1" si="15"/>
        <v>0.91392687610849976</v>
      </c>
      <c r="AE50" s="111"/>
      <c r="AF50" s="112">
        <f t="shared" ca="1" si="8"/>
        <v>1.0000000000000002</v>
      </c>
      <c r="AG50" s="108"/>
      <c r="AH50" s="131">
        <f>('Country details'!$C$52/('Country details'!$C$8*'Country details'!$C$6))*(1-(F50+H50))</f>
        <v>4.1543487236044528E-2</v>
      </c>
      <c r="AJ50" s="54">
        <f t="shared" ca="1" si="16"/>
        <v>3.6679997749313906</v>
      </c>
      <c r="AL50" s="138">
        <f t="shared" ca="1" si="17"/>
        <v>0.35225353516852642</v>
      </c>
      <c r="AO50" s="135">
        <f t="shared" ca="1" si="18"/>
        <v>47.224286555628545</v>
      </c>
      <c r="AP50" s="108"/>
      <c r="AQ50" s="31">
        <f t="shared" ca="1" si="19"/>
        <v>8.1776227260707574E-2</v>
      </c>
      <c r="AR50" s="31"/>
      <c r="AS50" s="31">
        <f t="shared" ca="1" si="9"/>
        <v>1.5479186265262147E-4</v>
      </c>
      <c r="AT50" s="31"/>
      <c r="AU50" s="31">
        <f t="shared" ca="1" si="20"/>
        <v>9.1784556297768067E-4</v>
      </c>
      <c r="AV50" s="31"/>
      <c r="AW50" s="31">
        <f t="shared" ca="1" si="21"/>
        <v>1.3164503085484174E-4</v>
      </c>
      <c r="AX50" s="31"/>
      <c r="AY50" s="31">
        <f t="shared" ca="1" si="22"/>
        <v>2.2388694751711633E-4</v>
      </c>
      <c r="AZ50" s="31"/>
      <c r="BA50" s="134">
        <f t="shared" ca="1" si="23"/>
        <v>2.7872053161750811E-2</v>
      </c>
    </row>
    <row r="51" spans="1:53">
      <c r="A51" s="78"/>
      <c r="B51">
        <v>53</v>
      </c>
      <c r="D51" s="78">
        <v>38</v>
      </c>
      <c r="E51" s="108"/>
      <c r="F51">
        <f>VLOOKUP(B51,Parameters!E42:F132,2)</f>
        <v>0.12529999999999999</v>
      </c>
      <c r="H51">
        <f>VLOOKUP(B51,Parameters!H42:I132,2)</f>
        <v>0.01</v>
      </c>
      <c r="J51">
        <f ca="1">(VLOOKUP(B51,Parameters!K42:L132,2))*(1-mda_efficacy)</f>
        <v>1.5000000000000013E-3</v>
      </c>
      <c r="L51">
        <f>VLOOKUP(B51,Parameters!N42:O132,2)</f>
        <v>0.15</v>
      </c>
      <c r="N51">
        <f>VLOOKUP(B51,Parameters!T42:U132,2)</f>
        <v>0.375</v>
      </c>
      <c r="P51">
        <f>VLOOKUP(B51,Parameters!T42:U132,2)</f>
        <v>0.375</v>
      </c>
      <c r="R51" s="78">
        <f>VLOOKUP(B51,Parameters!W42:X132,2)</f>
        <v>0.1</v>
      </c>
      <c r="S51" s="108"/>
      <c r="T51" s="102">
        <f t="shared" ca="1" si="10"/>
        <v>7.1611166220547723E-2</v>
      </c>
      <c r="V51" s="94">
        <f t="shared" ca="1" si="11"/>
        <v>1.6945261758051123E-4</v>
      </c>
      <c r="X51" s="34">
        <f t="shared" ca="1" si="12"/>
        <v>3.2214392447760766E-3</v>
      </c>
      <c r="Z51" s="94">
        <f t="shared" ca="1" si="13"/>
        <v>1.8138763786340762E-3</v>
      </c>
      <c r="AB51" s="94">
        <f t="shared" ca="1" si="14"/>
        <v>1.8138763786340762E-3</v>
      </c>
      <c r="AD51" s="110">
        <f t="shared" ca="1" si="15"/>
        <v>0.92459162840460385</v>
      </c>
      <c r="AE51" s="111"/>
      <c r="AF51" s="112">
        <f t="shared" ca="1" si="8"/>
        <v>1.0000000000000002</v>
      </c>
      <c r="AG51" s="108"/>
      <c r="AH51" s="131">
        <f>('Country details'!$C$52/('Country details'!$C$8*'Country details'!$C$6))*(1-(F51+H51))</f>
        <v>4.1543487236044528E-2</v>
      </c>
      <c r="AJ51" s="54">
        <f t="shared" ca="1" si="16"/>
        <v>3.6679997749313906</v>
      </c>
      <c r="AL51" s="138">
        <f t="shared" ca="1" si="17"/>
        <v>0.33059315096361153</v>
      </c>
      <c r="AO51" s="135">
        <f t="shared" ca="1" si="18"/>
        <v>45.841777375254509</v>
      </c>
      <c r="AP51" s="108"/>
      <c r="AQ51" s="31">
        <f t="shared" ca="1" si="19"/>
        <v>7.1407001644049853E-2</v>
      </c>
      <c r="AR51" s="31"/>
      <c r="AS51" s="31">
        <f t="shared" ca="1" si="9"/>
        <v>1.35562094064409E-4</v>
      </c>
      <c r="AT51" s="31"/>
      <c r="AU51" s="31">
        <f t="shared" ca="1" si="20"/>
        <v>8.6221176472383167E-4</v>
      </c>
      <c r="AV51" s="31"/>
      <c r="AW51" s="31">
        <f t="shared" ca="1" si="21"/>
        <v>1.2341747373895411E-4</v>
      </c>
      <c r="AX51" s="31"/>
      <c r="AY51" s="31">
        <f t="shared" ca="1" si="22"/>
        <v>2.0989445090530015E-4</v>
      </c>
      <c r="AZ51" s="31"/>
      <c r="BA51" s="134">
        <f t="shared" ca="1" si="23"/>
        <v>2.3656328305296952E-2</v>
      </c>
    </row>
    <row r="52" spans="1:53">
      <c r="A52" s="78"/>
      <c r="B52">
        <v>54</v>
      </c>
      <c r="D52" s="78">
        <v>39</v>
      </c>
      <c r="E52" s="108"/>
      <c r="F52">
        <f>VLOOKUP(B52,Parameters!E43:F133,2)</f>
        <v>0.12529999999999999</v>
      </c>
      <c r="H52">
        <f>VLOOKUP(B52,Parameters!H43:I133,2)</f>
        <v>0.01</v>
      </c>
      <c r="J52">
        <f ca="1">(VLOOKUP(B52,Parameters!K43:L133,2))*(1-mda_efficacy)</f>
        <v>1.5000000000000013E-3</v>
      </c>
      <c r="L52">
        <f>VLOOKUP(B52,Parameters!N43:O133,2)</f>
        <v>0.15</v>
      </c>
      <c r="N52">
        <f>VLOOKUP(B52,Parameters!T43:U133,2)</f>
        <v>0.375</v>
      </c>
      <c r="P52">
        <f>VLOOKUP(B52,Parameters!T43:U133,2)</f>
        <v>0.375</v>
      </c>
      <c r="R52" s="78">
        <f>VLOOKUP(B52,Parameters!W43:X133,2)</f>
        <v>0.1</v>
      </c>
      <c r="S52" s="108"/>
      <c r="T52" s="102">
        <f t="shared" ca="1" si="10"/>
        <v>6.2530870343782269E-2</v>
      </c>
      <c r="V52" s="94">
        <f t="shared" ca="1" si="11"/>
        <v>1.4808537755014439E-4</v>
      </c>
      <c r="X52" s="34">
        <f t="shared" ca="1" si="12"/>
        <v>3.018313917383302E-3</v>
      </c>
      <c r="Z52" s="94">
        <f t="shared" ca="1" si="13"/>
        <v>1.6960334723633605E-3</v>
      </c>
      <c r="AB52" s="94">
        <f t="shared" ca="1" si="14"/>
        <v>1.6960334723633605E-3</v>
      </c>
      <c r="AD52" s="110">
        <f t="shared" ca="1" si="15"/>
        <v>0.9339289773339412</v>
      </c>
      <c r="AE52" s="111"/>
      <c r="AF52" s="112">
        <f t="shared" ca="1" si="8"/>
        <v>1.0000000000000004</v>
      </c>
      <c r="AG52" s="108"/>
      <c r="AH52" s="131">
        <f>('Country details'!$C$52/('Country details'!$C$8*'Country details'!$C$6))*(1-(F52+H52))</f>
        <v>4.1543487236044528E-2</v>
      </c>
      <c r="AJ52" s="54">
        <f t="shared" ca="1" si="16"/>
        <v>3.6679997749313906</v>
      </c>
      <c r="AL52" s="138">
        <f t="shared" ca="1" si="17"/>
        <v>0.3094536942671065</v>
      </c>
      <c r="AO52" s="135">
        <f t="shared" ca="1" si="18"/>
        <v>44.499905117562882</v>
      </c>
      <c r="AP52" s="108"/>
      <c r="AQ52" s="31">
        <f t="shared" ca="1" si="19"/>
        <v>6.2352593835584322E-2</v>
      </c>
      <c r="AR52" s="31"/>
      <c r="AS52" s="31">
        <f t="shared" ca="1" si="9"/>
        <v>1.1846830204011551E-4</v>
      </c>
      <c r="AT52" s="31"/>
      <c r="AU52" s="31">
        <f t="shared" ca="1" si="20"/>
        <v>8.0784567749265558E-4</v>
      </c>
      <c r="AV52" s="31"/>
      <c r="AW52" s="31">
        <f t="shared" ca="1" si="21"/>
        <v>1.1539935631854853E-4</v>
      </c>
      <c r="AX52" s="31"/>
      <c r="AY52" s="31">
        <f t="shared" ca="1" si="22"/>
        <v>1.9625814558916674E-4</v>
      </c>
      <c r="AZ52" s="31"/>
      <c r="BA52" s="134">
        <f t="shared" ca="1" si="23"/>
        <v>2.0078946490805761E-2</v>
      </c>
    </row>
    <row r="53" spans="1:53">
      <c r="A53" s="78"/>
      <c r="B53">
        <v>55</v>
      </c>
      <c r="D53" s="78">
        <v>40</v>
      </c>
      <c r="E53" s="108"/>
      <c r="F53">
        <f>VLOOKUP(B53,Parameters!E44:F134,2)</f>
        <v>0.1148</v>
      </c>
      <c r="H53">
        <f>VLOOKUP(B53,Parameters!H44:I134,2)</f>
        <v>0.01</v>
      </c>
      <c r="J53">
        <f ca="1">(VLOOKUP(B53,Parameters!K44:L134,2))*(1-mda_efficacy)</f>
        <v>1.5000000000000013E-3</v>
      </c>
      <c r="L53">
        <f>VLOOKUP(B53,Parameters!N44:O134,2)</f>
        <v>0.15</v>
      </c>
      <c r="N53">
        <f>VLOOKUP(B53,Parameters!T44:U134,2)</f>
        <v>0.375</v>
      </c>
      <c r="P53">
        <f>VLOOKUP(B53,Parameters!T44:U134,2)</f>
        <v>0.375</v>
      </c>
      <c r="R53" s="78">
        <f>VLOOKUP(B53,Parameters!W44:X134,2)</f>
        <v>0.1</v>
      </c>
      <c r="S53" s="108"/>
      <c r="T53" s="102">
        <f t="shared" ca="1" si="10"/>
        <v>5.4601955984190674E-2</v>
      </c>
      <c r="V53" s="94">
        <f t="shared" ca="1" si="11"/>
        <v>1.2933679612770813E-4</v>
      </c>
      <c r="X53" s="34">
        <f t="shared" ca="1" si="12"/>
        <v>2.8206680360320664E-3</v>
      </c>
      <c r="Z53" s="94">
        <f t="shared" ca="1" si="13"/>
        <v>1.5819621417083286E-3</v>
      </c>
      <c r="AB53" s="94">
        <f t="shared" ca="1" si="14"/>
        <v>1.5819621417083286E-3</v>
      </c>
      <c r="AD53" s="110">
        <f t="shared" ca="1" si="15"/>
        <v>0.94210478293626532</v>
      </c>
      <c r="AE53" s="111"/>
      <c r="AF53" s="112">
        <f t="shared" ca="1" si="8"/>
        <v>1.0000000000000004</v>
      </c>
      <c r="AG53" s="108"/>
      <c r="AH53" s="131">
        <f>('Country details'!$C$52/('Country details'!$C$8*'Country details'!$C$6))*(1-(F53+H53))</f>
        <v>4.2047947298469029E-2</v>
      </c>
      <c r="AJ53" s="54">
        <f t="shared" ca="1" si="16"/>
        <v>3.6679997749313906</v>
      </c>
      <c r="AL53" s="138">
        <f t="shared" ca="1" si="17"/>
        <v>0.28893472772235151</v>
      </c>
      <c r="AO53" s="135">
        <f t="shared" ca="1" si="18"/>
        <v>43.197655792397775</v>
      </c>
      <c r="AP53" s="108"/>
      <c r="AQ53" s="31">
        <f t="shared" ca="1" si="19"/>
        <v>5.4446284937232227E-2</v>
      </c>
      <c r="AR53" s="31"/>
      <c r="AS53" s="31">
        <f t="shared" ca="1" si="9"/>
        <v>1.0346943690216651E-4</v>
      </c>
      <c r="AT53" s="31"/>
      <c r="AU53" s="31">
        <f t="shared" ca="1" si="20"/>
        <v>7.5494615302495408E-4</v>
      </c>
      <c r="AV53" s="31"/>
      <c r="AW53" s="31">
        <f t="shared" ca="1" si="21"/>
        <v>1.0763785965796212E-4</v>
      </c>
      <c r="AX53" s="31"/>
      <c r="AY53" s="31">
        <f t="shared" ca="1" si="22"/>
        <v>1.8305827177532677E-4</v>
      </c>
      <c r="AZ53" s="31"/>
      <c r="BA53" s="134">
        <f t="shared" ca="1" si="23"/>
        <v>1.7043149161224815E-2</v>
      </c>
    </row>
    <row r="54" spans="1:53">
      <c r="A54" s="78"/>
      <c r="B54">
        <v>56</v>
      </c>
      <c r="D54" s="78">
        <v>41</v>
      </c>
      <c r="E54" s="108"/>
      <c r="F54">
        <f>VLOOKUP(B54,Parameters!E45:F135,2)</f>
        <v>0.1148</v>
      </c>
      <c r="H54">
        <f>VLOOKUP(B54,Parameters!H45:I135,2)</f>
        <v>0.01</v>
      </c>
      <c r="J54">
        <f ca="1">(VLOOKUP(B54,Parameters!K45:L135,2))*(1-mda_efficacy)</f>
        <v>1.5000000000000013E-3</v>
      </c>
      <c r="L54">
        <f>VLOOKUP(B54,Parameters!N45:O135,2)</f>
        <v>0.15</v>
      </c>
      <c r="N54">
        <f>VLOOKUP(B54,Parameters!T45:U135,2)</f>
        <v>0.375</v>
      </c>
      <c r="P54">
        <f>VLOOKUP(B54,Parameters!T45:U135,2)</f>
        <v>0.375</v>
      </c>
      <c r="R54" s="78">
        <f>VLOOKUP(B54,Parameters!W45:X135,2)</f>
        <v>0.1</v>
      </c>
      <c r="S54" s="108"/>
      <c r="T54" s="102">
        <f t="shared" ca="1" si="10"/>
        <v>4.8251748503229296E-2</v>
      </c>
      <c r="V54" s="94">
        <f t="shared" ca="1" si="11"/>
        <v>1.1294376504693605E-4</v>
      </c>
      <c r="X54" s="34">
        <f t="shared" ca="1" si="12"/>
        <v>2.6296380532378981E-3</v>
      </c>
      <c r="Z54" s="94">
        <f t="shared" ca="1" si="13"/>
        <v>1.4722672260853863E-3</v>
      </c>
      <c r="AB54" s="94">
        <f t="shared" ca="1" si="14"/>
        <v>1.4722672260853863E-3</v>
      </c>
      <c r="AD54" s="110">
        <f t="shared" ca="1" si="15"/>
        <v>0.94869077327955331</v>
      </c>
      <c r="AE54" s="111"/>
      <c r="AF54" s="112">
        <f t="shared" ca="1" si="8"/>
        <v>1.0000000000000002</v>
      </c>
      <c r="AG54" s="108"/>
      <c r="AH54" s="131">
        <f>('Country details'!$C$52/('Country details'!$C$8*'Country details'!$C$6))*(1-(F54+H54))</f>
        <v>4.2047947298469029E-2</v>
      </c>
      <c r="AJ54" s="54">
        <f t="shared" ca="1" si="16"/>
        <v>3.6679997749313906</v>
      </c>
      <c r="AL54" s="138">
        <f t="shared" ca="1" si="17"/>
        <v>0.26914990575316833</v>
      </c>
      <c r="AO54" s="135">
        <f t="shared" ca="1" si="18"/>
        <v>41.933583126096728</v>
      </c>
      <c r="AP54" s="108"/>
      <c r="AQ54" s="31">
        <f t="shared" ca="1" si="19"/>
        <v>4.811418199903212E-2</v>
      </c>
      <c r="AR54" s="31"/>
      <c r="AS54" s="31">
        <f t="shared" ca="1" si="9"/>
        <v>9.0355012037548839E-5</v>
      </c>
      <c r="AT54" s="31"/>
      <c r="AU54" s="31">
        <f t="shared" ca="1" si="20"/>
        <v>7.0381736056139425E-4</v>
      </c>
      <c r="AV54" s="31"/>
      <c r="AW54" s="31">
        <f t="shared" ca="1" si="21"/>
        <v>1.00174137472889E-4</v>
      </c>
      <c r="AX54" s="31"/>
      <c r="AY54" s="31">
        <f t="shared" ca="1" si="22"/>
        <v>1.7036481903897271E-4</v>
      </c>
      <c r="AZ54" s="31"/>
      <c r="BA54" s="134">
        <f t="shared" ca="1" si="23"/>
        <v>1.463701570041509E-2</v>
      </c>
    </row>
    <row r="55" spans="1:53">
      <c r="A55" s="78"/>
      <c r="B55">
        <v>57</v>
      </c>
      <c r="D55" s="78">
        <v>42</v>
      </c>
      <c r="E55" s="108"/>
      <c r="F55">
        <f>VLOOKUP(B55,Parameters!E46:F136,2)</f>
        <v>0.1148</v>
      </c>
      <c r="H55">
        <f>VLOOKUP(B55,Parameters!H46:I136,2)</f>
        <v>0.01</v>
      </c>
      <c r="J55">
        <f ca="1">(VLOOKUP(B55,Parameters!K46:L136,2))*(1-mda_efficacy)</f>
        <v>1.5000000000000013E-3</v>
      </c>
      <c r="L55">
        <f>VLOOKUP(B55,Parameters!N46:O136,2)</f>
        <v>0.15</v>
      </c>
      <c r="N55">
        <f>VLOOKUP(B55,Parameters!T46:U136,2)</f>
        <v>0.375</v>
      </c>
      <c r="P55">
        <f>VLOOKUP(B55,Parameters!T46:U136,2)</f>
        <v>0.375</v>
      </c>
      <c r="R55" s="78">
        <f>VLOOKUP(B55,Parameters!W46:X136,2)</f>
        <v>0.1</v>
      </c>
      <c r="S55" s="108"/>
      <c r="T55" s="102">
        <f t="shared" ca="1" si="10"/>
        <v>4.2640070152303727E-2</v>
      </c>
      <c r="V55" s="94">
        <f t="shared" ca="1" si="11"/>
        <v>9.9484126366108697E-5</v>
      </c>
      <c r="X55" s="34">
        <f t="shared" ca="1" si="12"/>
        <v>2.4461824877979278E-3</v>
      </c>
      <c r="Z55" s="94">
        <f t="shared" ca="1" si="13"/>
        <v>1.3673944153694488E-3</v>
      </c>
      <c r="AB55" s="94">
        <f t="shared" ca="1" si="14"/>
        <v>1.3673944153694488E-3</v>
      </c>
      <c r="AD55" s="110">
        <f t="shared" ca="1" si="15"/>
        <v>0.95452565689059177</v>
      </c>
      <c r="AE55" s="111"/>
      <c r="AF55" s="112">
        <f t="shared" ca="1" si="8"/>
        <v>1.0000000000000004</v>
      </c>
      <c r="AG55" s="108"/>
      <c r="AH55" s="131">
        <f>('Country details'!$C$52/('Country details'!$C$8*'Country details'!$C$6))*(1-(F55+H55))</f>
        <v>4.2047947298469029E-2</v>
      </c>
      <c r="AJ55" s="54">
        <f t="shared" ca="1" si="16"/>
        <v>3.6679997749313906</v>
      </c>
      <c r="AL55" s="138">
        <f t="shared" ca="1" si="17"/>
        <v>0.25018962485264329</v>
      </c>
      <c r="AO55" s="135">
        <f t="shared" ca="1" si="18"/>
        <v>40.706737879221954</v>
      </c>
      <c r="AP55" s="108"/>
      <c r="AQ55" s="31">
        <f t="shared" ca="1" si="19"/>
        <v>4.2518502632544683E-2</v>
      </c>
      <c r="AR55" s="31"/>
      <c r="AS55" s="31">
        <f t="shared" ca="1" si="9"/>
        <v>7.958730109288696E-5</v>
      </c>
      <c r="AT55" s="31"/>
      <c r="AU55" s="31">
        <f t="shared" ca="1" si="20"/>
        <v>6.5471584573912722E-4</v>
      </c>
      <c r="AV55" s="31"/>
      <c r="AW55" s="31">
        <f t="shared" ca="1" si="21"/>
        <v>9.3038514827970239E-5</v>
      </c>
      <c r="AX55" s="31"/>
      <c r="AY55" s="31">
        <f t="shared" ca="1" si="22"/>
        <v>1.5822936081293126E-4</v>
      </c>
      <c r="AZ55" s="31"/>
      <c r="BA55" s="134">
        <f t="shared" ca="1" si="23"/>
        <v>1.2570903365513425E-2</v>
      </c>
    </row>
    <row r="56" spans="1:53">
      <c r="A56" s="78"/>
      <c r="B56">
        <v>58</v>
      </c>
      <c r="D56" s="78">
        <v>43</v>
      </c>
      <c r="E56" s="108"/>
      <c r="F56">
        <f>VLOOKUP(B56,Parameters!E47:F137,2)</f>
        <v>0.1148</v>
      </c>
      <c r="H56">
        <f>VLOOKUP(B56,Parameters!H47:I137,2)</f>
        <v>0.01</v>
      </c>
      <c r="J56">
        <f ca="1">(VLOOKUP(B56,Parameters!K47:L137,2))*(1-mda_efficacy)</f>
        <v>1.5000000000000013E-3</v>
      </c>
      <c r="L56">
        <f>VLOOKUP(B56,Parameters!N47:O137,2)</f>
        <v>0.15</v>
      </c>
      <c r="N56">
        <f>VLOOKUP(B56,Parameters!T47:U137,2)</f>
        <v>0.375</v>
      </c>
      <c r="P56">
        <f>VLOOKUP(B56,Parameters!T47:U137,2)</f>
        <v>0.375</v>
      </c>
      <c r="R56" s="78">
        <f>VLOOKUP(B56,Parameters!W47:X137,2)</f>
        <v>0.1</v>
      </c>
      <c r="S56" s="108"/>
      <c r="T56" s="102">
        <f t="shared" ca="1" si="10"/>
        <v>3.7681029993590805E-2</v>
      </c>
      <c r="V56" s="94">
        <f t="shared" ca="1" si="11"/>
        <v>8.7836295556321703E-5</v>
      </c>
      <c r="X56" s="34">
        <f t="shared" ca="1" si="12"/>
        <v>2.2711234043145067E-3</v>
      </c>
      <c r="Z56" s="94">
        <f t="shared" ca="1" si="13"/>
        <v>1.2679615212197947E-3</v>
      </c>
      <c r="AB56" s="94">
        <f t="shared" ca="1" si="14"/>
        <v>1.2679615212197947E-3</v>
      </c>
      <c r="AD56" s="110">
        <f t="shared" ca="1" si="15"/>
        <v>0.95969521066841379</v>
      </c>
      <c r="AE56" s="111"/>
      <c r="AF56" s="112">
        <f t="shared" ca="1" si="8"/>
        <v>1.0000000000000004</v>
      </c>
      <c r="AG56" s="108"/>
      <c r="AH56" s="131">
        <f>('Country details'!$C$52/('Country details'!$C$8*'Country details'!$C$6))*(1-(F56+H56))</f>
        <v>4.2047947298469029E-2</v>
      </c>
      <c r="AJ56" s="54">
        <f t="shared" ca="1" si="16"/>
        <v>3.6679997749313906</v>
      </c>
      <c r="AL56" s="138">
        <f t="shared" ca="1" si="17"/>
        <v>0.23215138081809464</v>
      </c>
      <c r="AO56" s="135">
        <f t="shared" ca="1" si="18"/>
        <v>39.516044235167833</v>
      </c>
      <c r="AP56" s="108"/>
      <c r="AQ56" s="31">
        <f t="shared" ca="1" si="19"/>
        <v>3.7573600776379737E-2</v>
      </c>
      <c r="AR56" s="31"/>
      <c r="AS56" s="31">
        <f t="shared" ca="1" si="9"/>
        <v>7.0269036445057368E-5</v>
      </c>
      <c r="AT56" s="31"/>
      <c r="AU56" s="31">
        <f t="shared" ca="1" si="20"/>
        <v>6.0786163250324521E-4</v>
      </c>
      <c r="AV56" s="31"/>
      <c r="AW56" s="31">
        <f t="shared" ca="1" si="21"/>
        <v>8.6273028079780558E-5</v>
      </c>
      <c r="AX56" s="31"/>
      <c r="AY56" s="31">
        <f t="shared" ca="1" si="22"/>
        <v>1.4672338776796403E-4</v>
      </c>
      <c r="AZ56" s="31"/>
      <c r="BA56" s="134">
        <f t="shared" ca="1" si="23"/>
        <v>1.0796618543480442E-2</v>
      </c>
    </row>
    <row r="57" spans="1:53">
      <c r="A57" s="78"/>
      <c r="B57">
        <v>59</v>
      </c>
      <c r="D57" s="78">
        <v>44</v>
      </c>
      <c r="E57" s="108"/>
      <c r="F57">
        <f>VLOOKUP(B57,Parameters!E48:F138,2)</f>
        <v>0.1148</v>
      </c>
      <c r="H57">
        <f>VLOOKUP(B57,Parameters!H48:I138,2)</f>
        <v>0.01</v>
      </c>
      <c r="J57">
        <f ca="1">(VLOOKUP(B57,Parameters!K48:L138,2))*(1-mda_efficacy)</f>
        <v>1.5000000000000013E-3</v>
      </c>
      <c r="L57">
        <f>VLOOKUP(B57,Parameters!N48:O138,2)</f>
        <v>0.15</v>
      </c>
      <c r="N57">
        <f>VLOOKUP(B57,Parameters!T48:U138,2)</f>
        <v>0.375</v>
      </c>
      <c r="P57">
        <f>VLOOKUP(B57,Parameters!T48:U138,2)</f>
        <v>0.375</v>
      </c>
      <c r="R57" s="78">
        <f>VLOOKUP(B57,Parameters!W48:X138,2)</f>
        <v>0.1</v>
      </c>
      <c r="S57" s="108"/>
      <c r="T57" s="102">
        <f t="shared" ca="1" si="10"/>
        <v>3.32987262053362E-2</v>
      </c>
      <c r="V57" s="94">
        <f t="shared" ca="1" si="11"/>
        <v>7.7602255923903468E-5</v>
      </c>
      <c r="X57" s="34">
        <f t="shared" ca="1" si="12"/>
        <v>2.1053119543461094E-3</v>
      </c>
      <c r="Z57" s="94">
        <f t="shared" ca="1" si="13"/>
        <v>1.1741039799314358E-3</v>
      </c>
      <c r="AB57" s="94">
        <f t="shared" ca="1" si="14"/>
        <v>1.1741039799314358E-3</v>
      </c>
      <c r="AD57" s="110">
        <f t="shared" ca="1" si="15"/>
        <v>0.9642754635788775</v>
      </c>
      <c r="AE57" s="111"/>
      <c r="AF57" s="112">
        <f t="shared" ca="1" si="8"/>
        <v>1.0000000000000004</v>
      </c>
      <c r="AG57" s="108"/>
      <c r="AH57" s="131">
        <f>('Country details'!$C$52/('Country details'!$C$8*'Country details'!$C$6))*(1-(F57+H57))</f>
        <v>4.2047947298469029E-2</v>
      </c>
      <c r="AJ57" s="54">
        <f t="shared" ca="1" si="16"/>
        <v>3.6679997749313906</v>
      </c>
      <c r="AL57" s="138">
        <f t="shared" ca="1" si="17"/>
        <v>0.21509337759384714</v>
      </c>
      <c r="AO57" s="135">
        <f t="shared" ca="1" si="18"/>
        <v>38.360445371710519</v>
      </c>
      <c r="AP57" s="108"/>
      <c r="AQ57" s="31">
        <f t="shared" ca="1" si="19"/>
        <v>3.320379100608678E-2</v>
      </c>
      <c r="AR57" s="31"/>
      <c r="AS57" s="31">
        <f t="shared" ca="1" si="9"/>
        <v>6.2081804739122783E-5</v>
      </c>
      <c r="AT57" s="31"/>
      <c r="AU57" s="31">
        <f t="shared" ca="1" si="20"/>
        <v>5.6348252986441626E-4</v>
      </c>
      <c r="AV57" s="31"/>
      <c r="AW57" s="31">
        <f t="shared" ca="1" si="21"/>
        <v>7.9886892412761284E-5</v>
      </c>
      <c r="AX57" s="31"/>
      <c r="AY57" s="31">
        <f t="shared" ca="1" si="22"/>
        <v>1.3586257204529793E-4</v>
      </c>
      <c r="AZ57" s="31"/>
      <c r="BA57" s="134">
        <f t="shared" ca="1" si="23"/>
        <v>9.2729258804108688E-3</v>
      </c>
    </row>
    <row r="58" spans="1:53">
      <c r="A58" s="78"/>
      <c r="B58">
        <v>60</v>
      </c>
      <c r="D58" s="78">
        <v>45</v>
      </c>
      <c r="E58" s="108"/>
      <c r="F58">
        <f>VLOOKUP(B58,Parameters!E49:F139,2)</f>
        <v>0.19070000000000001</v>
      </c>
      <c r="H58">
        <f>VLOOKUP(B58,Parameters!H49:I139,2)</f>
        <v>0.01</v>
      </c>
      <c r="J58">
        <f ca="1">(VLOOKUP(B58,Parameters!K49:L139,2))*(1-mda_efficacy)</f>
        <v>1.5000000000000013E-3</v>
      </c>
      <c r="L58">
        <f>VLOOKUP(B58,Parameters!N49:O139,2)</f>
        <v>0.26</v>
      </c>
      <c r="N58">
        <f>VLOOKUP(B58,Parameters!T49:U139,2)</f>
        <v>0.375</v>
      </c>
      <c r="P58">
        <f>VLOOKUP(B58,Parameters!T49:U139,2)</f>
        <v>0.375</v>
      </c>
      <c r="R58" s="78">
        <f>VLOOKUP(B58,Parameters!W49:X139,2)</f>
        <v>0.1</v>
      </c>
      <c r="S58" s="108"/>
      <c r="T58" s="102">
        <f t="shared" ca="1" si="10"/>
        <v>2.94260843476556E-2</v>
      </c>
      <c r="V58" s="94">
        <f t="shared" ca="1" si="11"/>
        <v>6.8572630729741175E-5</v>
      </c>
      <c r="X58" s="34">
        <f t="shared" ca="1" si="12"/>
        <v>1.9489119052754546E-3</v>
      </c>
      <c r="Z58" s="94">
        <f t="shared" ca="1" si="13"/>
        <v>1.0857944279097562E-3</v>
      </c>
      <c r="AB58" s="94">
        <f t="shared" ca="1" si="14"/>
        <v>1.0857944279097562E-3</v>
      </c>
      <c r="AD58" s="110">
        <f t="shared" ca="1" si="15"/>
        <v>0.9683337541657957</v>
      </c>
      <c r="AE58" s="111"/>
      <c r="AF58" s="112">
        <f t="shared" ca="1" si="8"/>
        <v>1.0000000000000004</v>
      </c>
      <c r="AG58" s="108"/>
      <c r="AH58" s="131">
        <f>('Country details'!$C$52/('Country details'!$C$8*'Country details'!$C$6))*(1-(F58+H58))</f>
        <v>3.8401421704371913E-2</v>
      </c>
      <c r="AJ58" s="54">
        <f t="shared" ca="1" si="16"/>
        <v>3.9765073939213069</v>
      </c>
      <c r="AL58" s="138">
        <f t="shared" ca="1" si="17"/>
        <v>0.19902228565912944</v>
      </c>
      <c r="AO58" s="135">
        <f t="shared" ca="1" si="18"/>
        <v>37.319518076864227</v>
      </c>
      <c r="AP58" s="108"/>
      <c r="AQ58" s="31">
        <f t="shared" ca="1" si="19"/>
        <v>2.9342190112078885E-2</v>
      </c>
      <c r="AR58" s="31"/>
      <c r="AS58" s="31">
        <f t="shared" ca="1" si="9"/>
        <v>5.4858104583792942E-5</v>
      </c>
      <c r="AT58" s="31"/>
      <c r="AU58" s="31">
        <f t="shared" ca="1" si="20"/>
        <v>5.2162236983477187E-4</v>
      </c>
      <c r="AV58" s="31"/>
      <c r="AW58" s="31">
        <f t="shared" ca="1" si="21"/>
        <v>7.3878245987947147E-5</v>
      </c>
      <c r="AX58" s="31"/>
      <c r="AY58" s="31">
        <f t="shared" ca="1" si="22"/>
        <v>1.256437472402461E-4</v>
      </c>
      <c r="AZ58" s="31"/>
      <c r="BA58" s="134">
        <f t="shared" ca="1" si="23"/>
        <v>7.964413396058129E-3</v>
      </c>
    </row>
    <row r="59" spans="1:53">
      <c r="A59" s="78"/>
      <c r="B59">
        <v>61</v>
      </c>
      <c r="D59" s="78">
        <v>46</v>
      </c>
      <c r="E59" s="108"/>
      <c r="F59">
        <f>VLOOKUP(B59,Parameters!E50:F140,2)</f>
        <v>0.19070000000000001</v>
      </c>
      <c r="H59">
        <f>VLOOKUP(B59,Parameters!H50:I140,2)</f>
        <v>0.01</v>
      </c>
      <c r="J59">
        <f ca="1">(VLOOKUP(B59,Parameters!K50:L140,2))*(1-mda_efficacy)</f>
        <v>1.5000000000000013E-3</v>
      </c>
      <c r="L59">
        <f>VLOOKUP(B59,Parameters!N50:O140,2)</f>
        <v>0.26</v>
      </c>
      <c r="N59">
        <f>VLOOKUP(B59,Parameters!T50:U140,2)</f>
        <v>0.375</v>
      </c>
      <c r="P59">
        <f>VLOOKUP(B59,Parameters!T50:U140,2)</f>
        <v>0.375</v>
      </c>
      <c r="R59" s="78">
        <f>VLOOKUP(B59,Parameters!W50:X140,2)</f>
        <v>0.1</v>
      </c>
      <c r="S59" s="108"/>
      <c r="T59" s="102">
        <f t="shared" ca="1" si="10"/>
        <v>2.3770390936036195E-2</v>
      </c>
      <c r="V59" s="94">
        <f t="shared" ca="1" si="11"/>
        <v>6.0596557896621316E-5</v>
      </c>
      <c r="X59" s="34">
        <f t="shared" ca="1" si="12"/>
        <v>1.8093896900408303E-3</v>
      </c>
      <c r="Z59" s="94">
        <f t="shared" ca="1" si="13"/>
        <v>1.0029297216424334E-3</v>
      </c>
      <c r="AB59" s="94">
        <f t="shared" ca="1" si="14"/>
        <v>1.0029297216424334E-3</v>
      </c>
      <c r="AD59" s="110">
        <f t="shared" ca="1" si="15"/>
        <v>0.97416315306278289</v>
      </c>
      <c r="AE59" s="111"/>
      <c r="AF59" s="112">
        <f t="shared" ca="1" si="8"/>
        <v>1.0000000000000007</v>
      </c>
      <c r="AG59" s="108"/>
      <c r="AH59" s="131">
        <f>('Country details'!$C$52/('Country details'!$C$8*'Country details'!$C$6))*(1-(F59+H59))</f>
        <v>3.8401421704371913E-2</v>
      </c>
      <c r="AJ59" s="54">
        <f t="shared" ca="1" si="16"/>
        <v>3.9765073939213069</v>
      </c>
      <c r="AL59" s="138">
        <f t="shared" ca="1" si="17"/>
        <v>0.18433922938724062</v>
      </c>
      <c r="AO59" s="135">
        <f t="shared" ca="1" si="18"/>
        <v>36.22877214531168</v>
      </c>
      <c r="AP59" s="108"/>
      <c r="AQ59" s="31">
        <f t="shared" ca="1" si="19"/>
        <v>2.3702621172537325E-2</v>
      </c>
      <c r="AR59" s="31"/>
      <c r="AS59" s="31">
        <f t="shared" ca="1" si="9"/>
        <v>4.8477246317297054E-5</v>
      </c>
      <c r="AT59" s="31"/>
      <c r="AU59" s="31">
        <f t="shared" ca="1" si="20"/>
        <v>4.8427952824286541E-4</v>
      </c>
      <c r="AV59" s="31"/>
      <c r="AW59" s="31">
        <f t="shared" ca="1" si="21"/>
        <v>6.8240070845419087E-5</v>
      </c>
      <c r="AX59" s="31"/>
      <c r="AY59" s="31">
        <f t="shared" ca="1" si="22"/>
        <v>1.1605497800201044E-4</v>
      </c>
      <c r="AZ59" s="31"/>
      <c r="BA59" s="134">
        <f t="shared" ca="1" si="23"/>
        <v>6.2694220580852963E-3</v>
      </c>
    </row>
    <row r="60" spans="1:53">
      <c r="A60" s="78"/>
      <c r="B60">
        <v>62</v>
      </c>
      <c r="D60" s="78">
        <v>47</v>
      </c>
      <c r="E60" s="108"/>
      <c r="F60">
        <f>VLOOKUP(B60,Parameters!E51:F141,2)</f>
        <v>0.19070000000000001</v>
      </c>
      <c r="H60">
        <f>VLOOKUP(B60,Parameters!H51:I141,2)</f>
        <v>0.01</v>
      </c>
      <c r="J60">
        <f ca="1">(VLOOKUP(B60,Parameters!K51:L141,2))*(1-mda_efficacy)</f>
        <v>1.5000000000000013E-3</v>
      </c>
      <c r="L60">
        <f>VLOOKUP(B60,Parameters!N51:O141,2)</f>
        <v>0.26</v>
      </c>
      <c r="N60">
        <f>VLOOKUP(B60,Parameters!T51:U141,2)</f>
        <v>0.375</v>
      </c>
      <c r="P60">
        <f>VLOOKUP(B60,Parameters!T51:U141,2)</f>
        <v>0.375</v>
      </c>
      <c r="R60" s="78">
        <f>VLOOKUP(B60,Parameters!W51:X141,2)</f>
        <v>0.1</v>
      </c>
      <c r="S60" s="108"/>
      <c r="T60" s="102">
        <f t="shared" ca="1" si="10"/>
        <v>1.9201721798130039E-2</v>
      </c>
      <c r="V60" s="94">
        <f t="shared" ca="1" si="11"/>
        <v>5.0198760299243434E-5</v>
      </c>
      <c r="X60" s="34">
        <f t="shared" ca="1" si="12"/>
        <v>1.6705891457631365E-3</v>
      </c>
      <c r="Z60" s="94">
        <f t="shared" ca="1" si="13"/>
        <v>9.253604586894231E-4</v>
      </c>
      <c r="AB60" s="94">
        <f t="shared" ca="1" si="14"/>
        <v>9.253604586894231E-4</v>
      </c>
      <c r="AD60" s="110">
        <f t="shared" ca="1" si="15"/>
        <v>0.97889735852419257</v>
      </c>
      <c r="AE60" s="111"/>
      <c r="AF60" s="112">
        <f t="shared" ca="1" si="8"/>
        <v>1.0000000000000007</v>
      </c>
      <c r="AG60" s="108"/>
      <c r="AH60" s="131">
        <f>('Country details'!$C$52/('Country details'!$C$8*'Country details'!$C$6))*(1-(F60+H60))</f>
        <v>3.8401421704371913E-2</v>
      </c>
      <c r="AJ60" s="54">
        <f t="shared" ca="1" si="16"/>
        <v>3.9765073939213069</v>
      </c>
      <c r="AL60" s="138">
        <f t="shared" ca="1" si="17"/>
        <v>0.1701446575167373</v>
      </c>
      <c r="AO60" s="135">
        <f t="shared" ca="1" si="18"/>
        <v>35.170027068169155</v>
      </c>
      <c r="AP60" s="108"/>
      <c r="AQ60" s="31">
        <f t="shared" ca="1" si="19"/>
        <v>1.9146977383175653E-2</v>
      </c>
      <c r="AR60" s="31"/>
      <c r="AS60" s="31">
        <f t="shared" ca="1" si="9"/>
        <v>4.0159008239394748E-5</v>
      </c>
      <c r="AT60" s="31"/>
      <c r="AU60" s="31">
        <f t="shared" ca="1" si="20"/>
        <v>4.4712984043783672E-4</v>
      </c>
      <c r="AV60" s="31"/>
      <c r="AW60" s="31">
        <f t="shared" ca="1" si="21"/>
        <v>6.2962201534026255E-5</v>
      </c>
      <c r="AX60" s="31"/>
      <c r="AY60" s="31">
        <f t="shared" ca="1" si="22"/>
        <v>1.0707897608344999E-4</v>
      </c>
      <c r="AZ60" s="31"/>
      <c r="BA60" s="134">
        <f t="shared" ca="1" si="23"/>
        <v>4.9363972061177196E-3</v>
      </c>
    </row>
    <row r="61" spans="1:53">
      <c r="A61" s="78"/>
      <c r="B61">
        <v>63</v>
      </c>
      <c r="D61" s="78">
        <v>48</v>
      </c>
      <c r="E61" s="108"/>
      <c r="F61">
        <f>VLOOKUP(B61,Parameters!E52:F142,2)</f>
        <v>0.19070000000000001</v>
      </c>
      <c r="H61">
        <f>VLOOKUP(B61,Parameters!H52:I142,2)</f>
        <v>0.01</v>
      </c>
      <c r="J61">
        <f ca="1">(VLOOKUP(B61,Parameters!K52:L142,2))*(1-mda_efficacy)</f>
        <v>1.5000000000000013E-3</v>
      </c>
      <c r="L61">
        <f>VLOOKUP(B61,Parameters!N52:O142,2)</f>
        <v>0.26</v>
      </c>
      <c r="N61">
        <f>VLOOKUP(B61,Parameters!T52:U142,2)</f>
        <v>0.375</v>
      </c>
      <c r="P61">
        <f>VLOOKUP(B61,Parameters!T52:U142,2)</f>
        <v>0.375</v>
      </c>
      <c r="R61" s="78">
        <f>VLOOKUP(B61,Parameters!W52:X142,2)</f>
        <v>0.1</v>
      </c>
      <c r="S61" s="108"/>
      <c r="T61" s="102">
        <f t="shared" ca="1" si="10"/>
        <v>1.5511150868529446E-2</v>
      </c>
      <c r="V61" s="94">
        <f t="shared" ca="1" si="11"/>
        <v>4.0850285169013495E-5</v>
      </c>
      <c r="X61" s="34">
        <f t="shared" ca="1" si="12"/>
        <v>1.5398964345153515E-3</v>
      </c>
      <c r="Z61" s="94">
        <f t="shared" ca="1" si="13"/>
        <v>8.5164894793269717E-4</v>
      </c>
      <c r="AB61" s="94">
        <f t="shared" ca="1" si="14"/>
        <v>8.5164894793269717E-4</v>
      </c>
      <c r="AD61" s="110">
        <f t="shared" ca="1" si="15"/>
        <v>0.98274470095043676</v>
      </c>
      <c r="AE61" s="111"/>
      <c r="AF61" s="112">
        <f t="shared" ca="1" si="8"/>
        <v>1.0000000000000007</v>
      </c>
      <c r="AG61" s="108"/>
      <c r="AH61" s="131">
        <f>('Country details'!$C$52/('Country details'!$C$8*'Country details'!$C$6))*(1-(F61+H61))</f>
        <v>3.8401421704371913E-2</v>
      </c>
      <c r="AJ61" s="54">
        <f t="shared" ca="1" si="16"/>
        <v>3.9765073939213069</v>
      </c>
      <c r="AL61" s="138">
        <f t="shared" ca="1" si="17"/>
        <v>0.15672216498451774</v>
      </c>
      <c r="AO61" s="135">
        <f t="shared" ca="1" si="18"/>
        <v>34.142409120638511</v>
      </c>
      <c r="AP61" s="108"/>
      <c r="AQ61" s="31">
        <f t="shared" ca="1" si="19"/>
        <v>1.5466928330129292E-2</v>
      </c>
      <c r="AR61" s="31"/>
      <c r="AS61" s="31">
        <f t="shared" ca="1" si="9"/>
        <v>3.2680228135210795E-5</v>
      </c>
      <c r="AT61" s="31"/>
      <c r="AU61" s="31">
        <f t="shared" ca="1" si="20"/>
        <v>4.1215019791183662E-4</v>
      </c>
      <c r="AV61" s="31"/>
      <c r="AW61" s="31">
        <f t="shared" ca="1" si="21"/>
        <v>5.7946816499943893E-5</v>
      </c>
      <c r="AX61" s="31"/>
      <c r="AY61" s="31">
        <f t="shared" ca="1" si="22"/>
        <v>9.8549377673147145E-5</v>
      </c>
      <c r="AZ61" s="31"/>
      <c r="BA61" s="134">
        <f t="shared" ca="1" si="23"/>
        <v>3.8884984313265914E-3</v>
      </c>
    </row>
    <row r="62" spans="1:53">
      <c r="A62" s="78"/>
      <c r="B62">
        <v>64</v>
      </c>
      <c r="D62" s="78">
        <v>49</v>
      </c>
      <c r="E62" s="108"/>
      <c r="F62">
        <f>VLOOKUP(B62,Parameters!E53:F143,2)</f>
        <v>0.19070000000000001</v>
      </c>
      <c r="H62">
        <f>VLOOKUP(B62,Parameters!H53:I143,2)</f>
        <v>0.01</v>
      </c>
      <c r="J62">
        <f ca="1">(VLOOKUP(B62,Parameters!K53:L143,2))*(1-mda_efficacy)</f>
        <v>1.5000000000000013E-3</v>
      </c>
      <c r="L62">
        <f>VLOOKUP(B62,Parameters!N53:O143,2)</f>
        <v>0.26</v>
      </c>
      <c r="N62">
        <f>VLOOKUP(B62,Parameters!T53:U143,2)</f>
        <v>0.375</v>
      </c>
      <c r="P62">
        <f>VLOOKUP(B62,Parameters!T53:U143,2)</f>
        <v>0.375</v>
      </c>
      <c r="R62" s="78">
        <f>VLOOKUP(B62,Parameters!W53:X143,2)</f>
        <v>0.1</v>
      </c>
      <c r="S62" s="108"/>
      <c r="T62" s="102">
        <f t="shared" ca="1" si="10"/>
        <v>1.2529907671598086E-2</v>
      </c>
      <c r="V62" s="94">
        <f t="shared" ca="1" si="11"/>
        <v>3.3070794743357435E-5</v>
      </c>
      <c r="X62" s="34">
        <f t="shared" ca="1" si="12"/>
        <v>1.4158418382328938E-3</v>
      </c>
      <c r="Z62" s="94">
        <f t="shared" ca="1" si="13"/>
        <v>7.8180291007780745E-4</v>
      </c>
      <c r="AB62" s="94">
        <f t="shared" ca="1" si="14"/>
        <v>7.8180291007780745E-4</v>
      </c>
      <c r="AD62" s="110">
        <f t="shared" ca="1" si="15"/>
        <v>0.98587341571350351</v>
      </c>
      <c r="AE62" s="111"/>
      <c r="AF62" s="112">
        <f t="shared" ca="1" si="8"/>
        <v>1.0000000000000007</v>
      </c>
      <c r="AG62" s="108"/>
      <c r="AH62" s="131">
        <f>('Country details'!$C$52/('Country details'!$C$8*'Country details'!$C$6))*(1-(F62+H62))</f>
        <v>3.8401421704371913E-2</v>
      </c>
      <c r="AJ62" s="54">
        <f t="shared" ca="1" si="16"/>
        <v>3.9765073939213069</v>
      </c>
      <c r="AL62" s="138">
        <f t="shared" ca="1" si="17"/>
        <v>0.14399172655511197</v>
      </c>
      <c r="AO62" s="135">
        <f t="shared" ca="1" si="18"/>
        <v>33.144978999808778</v>
      </c>
      <c r="AP62" s="108"/>
      <c r="AQ62" s="31">
        <f t="shared" ca="1" si="19"/>
        <v>1.2494184705078442E-2</v>
      </c>
      <c r="AR62" s="31"/>
      <c r="AS62" s="31">
        <f t="shared" ca="1" si="9"/>
        <v>2.6456635794685948E-5</v>
      </c>
      <c r="AT62" s="31"/>
      <c r="AU62" s="31">
        <f t="shared" ca="1" si="20"/>
        <v>3.7894723356717296E-4</v>
      </c>
      <c r="AV62" s="31"/>
      <c r="AW62" s="31">
        <f t="shared" ca="1" si="21"/>
        <v>5.319444106561731E-5</v>
      </c>
      <c r="AX62" s="31"/>
      <c r="AY62" s="31">
        <f t="shared" ca="1" si="22"/>
        <v>9.0467076179975549E-5</v>
      </c>
      <c r="AZ62" s="31"/>
      <c r="BA62" s="134">
        <f t="shared" ca="1" si="23"/>
        <v>3.0645154200633676E-3</v>
      </c>
    </row>
    <row r="63" spans="1:53">
      <c r="A63" s="78"/>
      <c r="B63">
        <v>65</v>
      </c>
      <c r="D63" s="78">
        <v>50</v>
      </c>
      <c r="E63" s="108"/>
      <c r="F63">
        <f>VLOOKUP(B63,Parameters!E54:F144,2)</f>
        <v>0.17519999999999999</v>
      </c>
      <c r="H63">
        <f>VLOOKUP(B63,Parameters!H54:I144,2)</f>
        <v>0.01</v>
      </c>
      <c r="J63">
        <f ca="1">(VLOOKUP(B63,Parameters!K54:L144,2))*(1-mda_efficacy)</f>
        <v>1.5000000000000013E-3</v>
      </c>
      <c r="L63">
        <f>VLOOKUP(B63,Parameters!N54:O144,2)</f>
        <v>0.26</v>
      </c>
      <c r="N63">
        <f>VLOOKUP(B63,Parameters!T54:U144,2)</f>
        <v>0.375</v>
      </c>
      <c r="P63">
        <f>VLOOKUP(B63,Parameters!T54:U144,2)</f>
        <v>0.375</v>
      </c>
      <c r="R63" s="78">
        <f>VLOOKUP(B63,Parameters!W54:X144,2)</f>
        <v>0.1</v>
      </c>
      <c r="S63" s="108"/>
      <c r="T63" s="102">
        <f t="shared" ca="1" si="10"/>
        <v>1.0121659417116933E-2</v>
      </c>
      <c r="V63" s="94">
        <f t="shared" ca="1" si="11"/>
        <v>2.673185224580293E-5</v>
      </c>
      <c r="X63" s="34">
        <f t="shared" ca="1" si="12"/>
        <v>1.2985732082616552E-3</v>
      </c>
      <c r="Z63" s="94">
        <f t="shared" ca="1" si="13"/>
        <v>7.1602416709878576E-4</v>
      </c>
      <c r="AB63" s="94">
        <f t="shared" ca="1" si="14"/>
        <v>7.1602416709878576E-4</v>
      </c>
      <c r="AD63" s="110">
        <f t="shared" ca="1" si="15"/>
        <v>0.98841956039644041</v>
      </c>
      <c r="AE63" s="111"/>
      <c r="AF63" s="112">
        <f t="shared" ca="1" si="8"/>
        <v>1.0000000000000007</v>
      </c>
      <c r="AG63" s="108"/>
      <c r="AH63" s="131">
        <f>('Country details'!$C$52/('Country details'!$C$8*'Country details'!$C$6))*(1-(F63+H63))</f>
        <v>3.9146100844141413E-2</v>
      </c>
      <c r="AJ63" s="54">
        <f t="shared" ca="1" si="16"/>
        <v>3.9765073939213069</v>
      </c>
      <c r="AL63" s="138">
        <f t="shared" ca="1" si="17"/>
        <v>0.13197856592834514</v>
      </c>
      <c r="AO63" s="135">
        <f t="shared" ca="1" si="18"/>
        <v>32.177020841544604</v>
      </c>
      <c r="AP63" s="108"/>
      <c r="AQ63" s="31">
        <f t="shared" ca="1" si="19"/>
        <v>1.0092802404762364E-2</v>
      </c>
      <c r="AR63" s="31"/>
      <c r="AS63" s="31">
        <f t="shared" ca="1" si="9"/>
        <v>2.1385481796642346E-5</v>
      </c>
      <c r="AT63" s="31"/>
      <c r="AU63" s="31">
        <f t="shared" ca="1" si="20"/>
        <v>3.4756051952058358E-4</v>
      </c>
      <c r="AV63" s="31"/>
      <c r="AW63" s="31">
        <f t="shared" ca="1" si="21"/>
        <v>4.8718807345579452E-5</v>
      </c>
      <c r="AX63" s="31"/>
      <c r="AY63" s="31">
        <f t="shared" ca="1" si="22"/>
        <v>8.285542562790234E-5</v>
      </c>
      <c r="AZ63" s="31"/>
      <c r="BA63" s="134">
        <f t="shared" ca="1" si="23"/>
        <v>2.416411892465086E-3</v>
      </c>
    </row>
    <row r="64" spans="1:53">
      <c r="A64" s="78"/>
      <c r="B64">
        <v>66</v>
      </c>
      <c r="D64" s="78">
        <v>51</v>
      </c>
      <c r="E64" s="108"/>
      <c r="F64">
        <f>VLOOKUP(B64,Parameters!E55:F145,2)</f>
        <v>0.17519999999999999</v>
      </c>
      <c r="H64">
        <f>VLOOKUP(B64,Parameters!H55:I145,2)</f>
        <v>0.01</v>
      </c>
      <c r="J64">
        <f ca="1">(VLOOKUP(B64,Parameters!K55:L145,2))*(1-mda_efficacy)</f>
        <v>1.5000000000000013E-3</v>
      </c>
      <c r="L64">
        <f>VLOOKUP(B64,Parameters!N55:O145,2)</f>
        <v>0.26</v>
      </c>
      <c r="N64">
        <f>VLOOKUP(B64,Parameters!T55:U145,2)</f>
        <v>0.375</v>
      </c>
      <c r="P64">
        <f>VLOOKUP(B64,Parameters!T55:U145,2)</f>
        <v>0.375</v>
      </c>
      <c r="R64" s="78">
        <f>VLOOKUP(B64,Parameters!W55:X145,2)</f>
        <v>0.1</v>
      </c>
      <c r="S64" s="108"/>
      <c r="T64" s="102">
        <f t="shared" ca="1" si="10"/>
        <v>8.3331621981123719E-3</v>
      </c>
      <c r="V64" s="94">
        <f t="shared" ca="1" si="11"/>
        <v>2.1598133664668115E-5</v>
      </c>
      <c r="X64" s="34">
        <f t="shared" ca="1" si="12"/>
        <v>1.1883901572969052E-3</v>
      </c>
      <c r="Z64" s="94">
        <f t="shared" ca="1" si="13"/>
        <v>6.544461949810833E-4</v>
      </c>
      <c r="AB64" s="94">
        <f t="shared" ca="1" si="14"/>
        <v>6.544461949810833E-4</v>
      </c>
      <c r="AD64" s="110">
        <f t="shared" ca="1" si="15"/>
        <v>0.99033634727826148</v>
      </c>
      <c r="AE64" s="111"/>
      <c r="AF64" s="112">
        <f t="shared" ca="1" si="8"/>
        <v>1.0000000000000007</v>
      </c>
      <c r="AG64" s="108"/>
      <c r="AH64" s="131">
        <f>('Country details'!$C$52/('Country details'!$C$8*'Country details'!$C$6))*(1-(F64+H64))</f>
        <v>3.9146100844141413E-2</v>
      </c>
      <c r="AJ64" s="54">
        <f t="shared" ca="1" si="16"/>
        <v>3.9765073939213069</v>
      </c>
      <c r="AL64" s="138">
        <f t="shared" ca="1" si="17"/>
        <v>0.1207104443414269</v>
      </c>
      <c r="AO64" s="135">
        <f t="shared" ca="1" si="18"/>
        <v>31.237330585664754</v>
      </c>
      <c r="AP64" s="108"/>
      <c r="AQ64" s="31">
        <f t="shared" ca="1" si="19"/>
        <v>8.309404219840855E-3</v>
      </c>
      <c r="AR64" s="31"/>
      <c r="AS64" s="31">
        <f t="shared" ca="1" si="9"/>
        <v>1.7278506931734494E-5</v>
      </c>
      <c r="AT64" s="31"/>
      <c r="AU64" s="31">
        <f t="shared" ca="1" si="20"/>
        <v>3.1807024651014953E-4</v>
      </c>
      <c r="AV64" s="31"/>
      <c r="AW64" s="31">
        <f t="shared" ca="1" si="21"/>
        <v>4.4528997143377272E-5</v>
      </c>
      <c r="AX64" s="31"/>
      <c r="AY64" s="31">
        <f t="shared" ca="1" si="22"/>
        <v>7.5729871319046949E-5</v>
      </c>
      <c r="AZ64" s="31"/>
      <c r="BA64" s="134">
        <f t="shared" ca="1" si="23"/>
        <v>1.9411274325661187E-3</v>
      </c>
    </row>
    <row r="65" spans="1:53">
      <c r="A65" s="78"/>
      <c r="B65">
        <v>67</v>
      </c>
      <c r="D65" s="78">
        <v>52</v>
      </c>
      <c r="E65" s="108"/>
      <c r="F65">
        <f>VLOOKUP(B65,Parameters!E56:F146,2)</f>
        <v>0.17519999999999999</v>
      </c>
      <c r="H65">
        <f>VLOOKUP(B65,Parameters!H56:I146,2)</f>
        <v>0.01</v>
      </c>
      <c r="J65">
        <f ca="1">(VLOOKUP(B65,Parameters!K56:L146,2))*(1-mda_efficacy)</f>
        <v>1.5000000000000013E-3</v>
      </c>
      <c r="L65">
        <f>VLOOKUP(B65,Parameters!N56:O146,2)</f>
        <v>0.26</v>
      </c>
      <c r="N65">
        <f>VLOOKUP(B65,Parameters!T56:U146,2)</f>
        <v>0.375</v>
      </c>
      <c r="P65">
        <f>VLOOKUP(B65,Parameters!T56:U146,2)</f>
        <v>0.375</v>
      </c>
      <c r="R65" s="78">
        <f>VLOOKUP(B65,Parameters!W56:X146,2)</f>
        <v>0.1</v>
      </c>
      <c r="S65" s="108"/>
      <c r="T65" s="102">
        <f t="shared" ca="1" si="10"/>
        <v>6.8606924377059156E-3</v>
      </c>
      <c r="V65" s="94">
        <f t="shared" ca="1" si="11"/>
        <v>1.7683295376688911E-5</v>
      </c>
      <c r="X65" s="34">
        <f t="shared" ca="1" si="12"/>
        <v>1.085451736471601E-3</v>
      </c>
      <c r="Z65" s="94">
        <f t="shared" ca="1" si="13"/>
        <v>5.9710087560722555E-4</v>
      </c>
      <c r="AB65" s="94">
        <f t="shared" ca="1" si="14"/>
        <v>5.9710087560722555E-4</v>
      </c>
      <c r="AD65" s="110">
        <f t="shared" ca="1" si="15"/>
        <v>0.99192742251570354</v>
      </c>
      <c r="AE65" s="111"/>
      <c r="AF65" s="112">
        <f t="shared" ca="1" si="8"/>
        <v>1.0000000000000007</v>
      </c>
      <c r="AG65" s="108"/>
      <c r="AH65" s="131">
        <f>('Country details'!$C$52/('Country details'!$C$8*'Country details'!$C$6))*(1-(F65+H65))</f>
        <v>3.9146100844141413E-2</v>
      </c>
      <c r="AJ65" s="54">
        <f t="shared" ca="1" si="16"/>
        <v>3.9765073939213069</v>
      </c>
      <c r="AL65" s="138">
        <f t="shared" ca="1" si="17"/>
        <v>0.11019879532244653</v>
      </c>
      <c r="AO65" s="135">
        <f t="shared" ca="1" si="18"/>
        <v>30.325245283884627</v>
      </c>
      <c r="AP65" s="108"/>
      <c r="AQ65" s="31">
        <f t="shared" ca="1" si="19"/>
        <v>6.8411324941949764E-3</v>
      </c>
      <c r="AR65" s="31"/>
      <c r="AS65" s="31">
        <f t="shared" ca="1" si="9"/>
        <v>1.414663630135113E-5</v>
      </c>
      <c r="AT65" s="31"/>
      <c r="AU65" s="31">
        <f t="shared" ca="1" si="20"/>
        <v>2.9051898425319536E-4</v>
      </c>
      <c r="AV65" s="31"/>
      <c r="AW65" s="31">
        <f t="shared" ca="1" si="21"/>
        <v>4.0627179725585769E-5</v>
      </c>
      <c r="AX65" s="31"/>
      <c r="AY65" s="31">
        <f t="shared" ca="1" si="22"/>
        <v>6.9094102496130316E-5</v>
      </c>
      <c r="AZ65" s="31"/>
      <c r="BA65" s="134">
        <f t="shared" ca="1" si="23"/>
        <v>1.5600295428419512E-3</v>
      </c>
    </row>
    <row r="66" spans="1:53">
      <c r="A66" s="78"/>
      <c r="B66">
        <v>68</v>
      </c>
      <c r="D66" s="78">
        <v>53</v>
      </c>
      <c r="E66" s="108"/>
      <c r="F66">
        <f>VLOOKUP(B66,Parameters!E57:F147,2)</f>
        <v>0.17519999999999999</v>
      </c>
      <c r="H66">
        <f>VLOOKUP(B66,Parameters!H57:I147,2)</f>
        <v>0.01</v>
      </c>
      <c r="J66">
        <f ca="1">(VLOOKUP(B66,Parameters!K57:L147,2))*(1-mda_efficacy)</f>
        <v>1.5000000000000013E-3</v>
      </c>
      <c r="L66">
        <f>VLOOKUP(B66,Parameters!N57:O147,2)</f>
        <v>0.26</v>
      </c>
      <c r="N66">
        <f>VLOOKUP(B66,Parameters!T57:U147,2)</f>
        <v>0.375</v>
      </c>
      <c r="P66">
        <f>VLOOKUP(B66,Parameters!T57:U147,2)</f>
        <v>0.375</v>
      </c>
      <c r="R66" s="78">
        <f>VLOOKUP(B66,Parameters!W57:X147,2)</f>
        <v>0.1</v>
      </c>
      <c r="S66" s="108"/>
      <c r="T66" s="102">
        <f t="shared" ca="1" si="10"/>
        <v>5.6484080839632805E-3</v>
      </c>
      <c r="V66" s="94">
        <f t="shared" ca="1" si="11"/>
        <v>1.4535029546964221E-5</v>
      </c>
      <c r="X66" s="34">
        <f t="shared" ca="1" si="12"/>
        <v>9.8981410154986129E-4</v>
      </c>
      <c r="Z66" s="94">
        <f t="shared" ca="1" si="13"/>
        <v>5.4402202381276124E-4</v>
      </c>
      <c r="AB66" s="94">
        <f t="shared" ca="1" si="14"/>
        <v>5.4402202381276124E-4</v>
      </c>
      <c r="AD66" s="110">
        <f t="shared" ca="1" si="15"/>
        <v>0.99324901283886469</v>
      </c>
      <c r="AE66" s="111"/>
      <c r="AF66" s="112">
        <f t="shared" ca="1" si="8"/>
        <v>1.0000000000000004</v>
      </c>
      <c r="AG66" s="108"/>
      <c r="AH66" s="131">
        <f>('Country details'!$C$52/('Country details'!$C$8*'Country details'!$C$6))*(1-(F66+H66))</f>
        <v>3.9146100844141413E-2</v>
      </c>
      <c r="AJ66" s="54">
        <f t="shared" ca="1" si="16"/>
        <v>3.9765073939213069</v>
      </c>
      <c r="AL66" s="138">
        <f t="shared" ca="1" si="17"/>
        <v>0.10044956783950378</v>
      </c>
      <c r="AO66" s="135">
        <f t="shared" ca="1" si="18"/>
        <v>29.439950558430297</v>
      </c>
      <c r="AP66" s="108"/>
      <c r="AQ66" s="31">
        <f t="shared" ca="1" si="19"/>
        <v>5.6323043824707238E-3</v>
      </c>
      <c r="AR66" s="31"/>
      <c r="AS66" s="31">
        <f t="shared" ca="1" si="9"/>
        <v>1.1628023637571377E-5</v>
      </c>
      <c r="AT66" s="31"/>
      <c r="AU66" s="31">
        <f t="shared" ca="1" si="20"/>
        <v>2.6492176272756681E-4</v>
      </c>
      <c r="AV66" s="31"/>
      <c r="AW66" s="31">
        <f t="shared" ca="1" si="21"/>
        <v>3.7015655878315536E-5</v>
      </c>
      <c r="AX66" s="31"/>
      <c r="AY66" s="31">
        <f t="shared" ca="1" si="22"/>
        <v>6.2952032075392774E-5</v>
      </c>
      <c r="AZ66" s="31"/>
      <c r="BA66" s="134">
        <f t="shared" ca="1" si="23"/>
        <v>1.2543433142304678E-3</v>
      </c>
    </row>
    <row r="67" spans="1:53">
      <c r="A67" s="78"/>
      <c r="B67">
        <v>69</v>
      </c>
      <c r="D67" s="78">
        <v>54</v>
      </c>
      <c r="E67" s="108"/>
      <c r="F67">
        <f>VLOOKUP(B67,Parameters!E58:F148,2)</f>
        <v>0.17519999999999999</v>
      </c>
      <c r="H67">
        <f>VLOOKUP(B67,Parameters!H58:I148,2)</f>
        <v>0.01</v>
      </c>
      <c r="J67">
        <f ca="1">(VLOOKUP(B67,Parameters!K58:L148,2))*(1-mda_efficacy)</f>
        <v>1.5000000000000013E-3</v>
      </c>
      <c r="L67">
        <f>VLOOKUP(B67,Parameters!N58:O148,2)</f>
        <v>0.26</v>
      </c>
      <c r="N67">
        <f>VLOOKUP(B67,Parameters!T58:U148,2)</f>
        <v>0.375</v>
      </c>
      <c r="P67">
        <f>VLOOKUP(B67,Parameters!T58:U148,2)</f>
        <v>0.375</v>
      </c>
      <c r="R67" s="78">
        <f>VLOOKUP(B67,Parameters!W58:X148,2)</f>
        <v>0.1</v>
      </c>
      <c r="S67" s="108"/>
      <c r="T67" s="102">
        <f t="shared" ca="1" si="10"/>
        <v>4.6503343755269688E-3</v>
      </c>
      <c r="V67" s="94">
        <f t="shared" ca="1" si="11"/>
        <v>1.1961019217216339E-5</v>
      </c>
      <c r="X67" s="34">
        <f t="shared" ca="1" si="12"/>
        <v>9.014154469732668E-4</v>
      </c>
      <c r="Z67" s="94">
        <f t="shared" ca="1" si="13"/>
        <v>4.9507045751159677E-4</v>
      </c>
      <c r="AB67" s="94">
        <f t="shared" ca="1" si="14"/>
        <v>4.9507045751159677E-4</v>
      </c>
      <c r="AD67" s="110">
        <f t="shared" ca="1" si="15"/>
        <v>0.99434756369023314</v>
      </c>
      <c r="AE67" s="111"/>
      <c r="AF67" s="112">
        <f t="shared" ca="1" si="8"/>
        <v>1.0000000000000004</v>
      </c>
      <c r="AG67" s="108"/>
      <c r="AH67" s="131">
        <f>('Country details'!$C$52/('Country details'!$C$8*'Country details'!$C$6))*(1-(F67+H67))</f>
        <v>3.9146100844141413E-2</v>
      </c>
      <c r="AJ67" s="54">
        <f t="shared" ca="1" si="16"/>
        <v>3.9765073939213069</v>
      </c>
      <c r="AL67" s="138">
        <f t="shared" ca="1" si="17"/>
        <v>9.1447571320703358E-2</v>
      </c>
      <c r="AO67" s="135">
        <f t="shared" ca="1" si="18"/>
        <v>28.580651834012457</v>
      </c>
      <c r="AP67" s="108"/>
      <c r="AQ67" s="31">
        <f t="shared" ca="1" si="19"/>
        <v>4.637076198088147E-3</v>
      </c>
      <c r="AR67" s="31"/>
      <c r="AS67" s="31">
        <f t="shared" ca="1" si="9"/>
        <v>9.5688153737730712E-6</v>
      </c>
      <c r="AT67" s="31"/>
      <c r="AU67" s="31">
        <f t="shared" ca="1" si="20"/>
        <v>2.4126203979928421E-4</v>
      </c>
      <c r="AV67" s="31"/>
      <c r="AW67" s="31">
        <f t="shared" ca="1" si="21"/>
        <v>3.3684955550763926E-5</v>
      </c>
      <c r="AX67" s="31"/>
      <c r="AY67" s="31">
        <f t="shared" ca="1" si="22"/>
        <v>5.7287554467787251E-5</v>
      </c>
      <c r="AZ67" s="31"/>
      <c r="BA67" s="134">
        <f t="shared" ca="1" si="23"/>
        <v>1.009070446818298E-3</v>
      </c>
    </row>
    <row r="68" spans="1:53">
      <c r="A68" s="78"/>
      <c r="B68">
        <v>70</v>
      </c>
      <c r="D68" s="78">
        <v>55</v>
      </c>
      <c r="E68" s="108"/>
      <c r="F68">
        <f>VLOOKUP(B68,Parameters!E59:F149,2)</f>
        <v>0.28660000000000002</v>
      </c>
      <c r="H68">
        <f>VLOOKUP(B68,Parameters!H59:I149,2)</f>
        <v>0.01</v>
      </c>
      <c r="J68">
        <f ca="1">(VLOOKUP(B68,Parameters!K59:L149,2))*(1-mda_efficacy)</f>
        <v>1.5000000000000013E-3</v>
      </c>
      <c r="L68">
        <f>VLOOKUP(B68,Parameters!N59:O149,2)</f>
        <v>0.26</v>
      </c>
      <c r="N68">
        <f>VLOOKUP(B68,Parameters!T59:U149,2)</f>
        <v>0.375</v>
      </c>
      <c r="P68">
        <f>VLOOKUP(B68,Parameters!T59:U149,2)</f>
        <v>0.375</v>
      </c>
      <c r="R68" s="78">
        <f>VLOOKUP(B68,Parameters!W59:X149,2)</f>
        <v>0.1</v>
      </c>
      <c r="S68" s="108"/>
      <c r="T68" s="102">
        <f t="shared" ca="1" si="10"/>
        <v>3.8286202913713537E-3</v>
      </c>
      <c r="V68" s="94">
        <f t="shared" ca="1" si="11"/>
        <v>9.8461461754223797E-6</v>
      </c>
      <c r="X68" s="34">
        <f t="shared" ca="1" si="12"/>
        <v>8.1997611989061082E-4</v>
      </c>
      <c r="Z68" s="94">
        <f t="shared" ca="1" si="13"/>
        <v>4.5004879396689319E-4</v>
      </c>
      <c r="AB68" s="94">
        <f t="shared" ca="1" si="14"/>
        <v>4.5004879396689319E-4</v>
      </c>
      <c r="AD68" s="110">
        <f t="shared" ca="1" si="15"/>
        <v>0.99526143597451988</v>
      </c>
      <c r="AE68" s="111"/>
      <c r="AF68" s="112">
        <f t="shared" ca="1" si="8"/>
        <v>1.0000000000000004</v>
      </c>
      <c r="AG68" s="108"/>
      <c r="AH68" s="131">
        <f>('Country details'!$C$52/('Country details'!$C$8*'Country details'!$C$6))*(1-(F68+H68))</f>
        <v>3.379401980089479E-2</v>
      </c>
      <c r="AJ68" s="54">
        <f t="shared" ca="1" si="16"/>
        <v>3.9765073939213069</v>
      </c>
      <c r="AL68" s="138">
        <f t="shared" ca="1" si="17"/>
        <v>8.3160723158841293E-2</v>
      </c>
      <c r="AO68" s="135">
        <f t="shared" ca="1" si="18"/>
        <v>27.745521970577244</v>
      </c>
      <c r="AP68" s="108"/>
      <c r="AQ68" s="31">
        <f t="shared" ca="1" si="19"/>
        <v>3.8177048338859719E-3</v>
      </c>
      <c r="AR68" s="31"/>
      <c r="AS68" s="31">
        <f t="shared" ca="1" si="9"/>
        <v>7.8769169403379034E-6</v>
      </c>
      <c r="AT68" s="31"/>
      <c r="AU68" s="31">
        <f t="shared" ca="1" si="20"/>
        <v>2.1946496694257137E-4</v>
      </c>
      <c r="AV68" s="31"/>
      <c r="AW68" s="31">
        <f t="shared" ca="1" si="21"/>
        <v>3.0621648677339223E-5</v>
      </c>
      <c r="AX68" s="31"/>
      <c r="AY68" s="31">
        <f t="shared" ca="1" si="22"/>
        <v>5.2077829339950911E-5</v>
      </c>
      <c r="AZ68" s="31"/>
      <c r="BA68" s="134">
        <f t="shared" ca="1" si="23"/>
        <v>8.1220494075362893E-4</v>
      </c>
    </row>
    <row r="69" spans="1:53">
      <c r="A69" s="78"/>
      <c r="B69">
        <v>71</v>
      </c>
      <c r="D69" s="78">
        <v>56</v>
      </c>
      <c r="E69" s="108"/>
      <c r="F69">
        <f>VLOOKUP(B69,Parameters!E60:F150,2)</f>
        <v>0.28660000000000002</v>
      </c>
      <c r="H69">
        <f>VLOOKUP(B69,Parameters!H60:I150,2)</f>
        <v>0.01</v>
      </c>
      <c r="J69">
        <f ca="1">(VLOOKUP(B69,Parameters!K60:L150,2))*(1-mda_efficacy)</f>
        <v>1.5000000000000013E-3</v>
      </c>
      <c r="L69">
        <f>VLOOKUP(B69,Parameters!N60:O150,2)</f>
        <v>0.26</v>
      </c>
      <c r="N69">
        <f>VLOOKUP(B69,Parameters!T60:U150,2)</f>
        <v>0.375</v>
      </c>
      <c r="P69">
        <f>VLOOKUP(B69,Parameters!T60:U150,2)</f>
        <v>0.375</v>
      </c>
      <c r="R69" s="78">
        <f>VLOOKUP(B69,Parameters!W60:X150,2)</f>
        <v>0.1</v>
      </c>
      <c r="S69" s="108"/>
      <c r="T69" s="102">
        <f t="shared" ca="1" si="10"/>
        <v>2.7255947854272666E-3</v>
      </c>
      <c r="V69" s="94">
        <f t="shared" ca="1" si="11"/>
        <v>8.1060055191584064E-6</v>
      </c>
      <c r="X69" s="34">
        <f t="shared" ca="1" si="12"/>
        <v>7.4514050805098348E-4</v>
      </c>
      <c r="Z69" s="94">
        <f t="shared" ca="1" si="13"/>
        <v>4.0873621938598728E-4</v>
      </c>
      <c r="AB69" s="94">
        <f t="shared" ca="1" si="14"/>
        <v>4.0873621938598728E-4</v>
      </c>
      <c r="AD69" s="110">
        <f t="shared" ca="1" si="15"/>
        <v>0.99644882677028213</v>
      </c>
      <c r="AE69" s="111"/>
      <c r="AF69" s="112">
        <f t="shared" ca="1" si="8"/>
        <v>1.0000000000000004</v>
      </c>
      <c r="AG69" s="108"/>
      <c r="AH69" s="131">
        <f>('Country details'!$C$52/('Country details'!$C$8*'Country details'!$C$6))*(1-(F69+H69))</f>
        <v>3.379401980089479E-2</v>
      </c>
      <c r="AJ69" s="54">
        <f t="shared" ca="1" si="16"/>
        <v>3.9765073939213069</v>
      </c>
      <c r="AL69" s="138">
        <f t="shared" ca="1" si="17"/>
        <v>7.5550784846268121E-2</v>
      </c>
      <c r="AO69" s="135">
        <f t="shared" ca="1" si="18"/>
        <v>26.935946198587832</v>
      </c>
      <c r="AP69" s="108"/>
      <c r="AQ69" s="31">
        <f t="shared" ca="1" si="19"/>
        <v>2.7178240712434232E-3</v>
      </c>
      <c r="AR69" s="31"/>
      <c r="AS69" s="31">
        <f t="shared" ca="1" si="9"/>
        <v>6.4848044153267258E-6</v>
      </c>
      <c r="AT69" s="31"/>
      <c r="AU69" s="31">
        <f t="shared" ca="1" si="20"/>
        <v>1.9943536525038802E-4</v>
      </c>
      <c r="AV69" s="31"/>
      <c r="AW69" s="31">
        <f t="shared" ca="1" si="21"/>
        <v>2.7810710926296304E-5</v>
      </c>
      <c r="AX69" s="31"/>
      <c r="AY69" s="31">
        <f t="shared" ca="1" si="22"/>
        <v>4.7297305011345158E-5</v>
      </c>
      <c r="AZ69" s="31"/>
      <c r="BA69" s="134">
        <f t="shared" ca="1" si="23"/>
        <v>5.7288900412379759E-4</v>
      </c>
    </row>
    <row r="70" spans="1:53">
      <c r="A70" s="78"/>
      <c r="B70">
        <v>72</v>
      </c>
      <c r="D70" s="78">
        <v>57</v>
      </c>
      <c r="E70" s="108"/>
      <c r="F70">
        <f>VLOOKUP(B70,Parameters!E61:F151,2)</f>
        <v>0.28660000000000002</v>
      </c>
      <c r="H70">
        <f>VLOOKUP(B70,Parameters!H61:I151,2)</f>
        <v>0.01</v>
      </c>
      <c r="J70">
        <f ca="1">(VLOOKUP(B70,Parameters!K61:L151,2))*(1-mda_efficacy)</f>
        <v>1.5000000000000013E-3</v>
      </c>
      <c r="L70">
        <f>VLOOKUP(B70,Parameters!N61:O151,2)</f>
        <v>0.26</v>
      </c>
      <c r="N70">
        <f>VLOOKUP(B70,Parameters!T61:U151,2)</f>
        <v>0.375</v>
      </c>
      <c r="P70">
        <f>VLOOKUP(B70,Parameters!T61:U151,2)</f>
        <v>0.375</v>
      </c>
      <c r="R70" s="78">
        <f>VLOOKUP(B70,Parameters!W61:X151,2)</f>
        <v>0.1</v>
      </c>
      <c r="S70" s="108"/>
      <c r="T70" s="102">
        <f t="shared" ca="1" si="10"/>
        <v>1.9403509277456711E-3</v>
      </c>
      <c r="V70" s="94">
        <f t="shared" ca="1" si="11"/>
        <v>6.0338335027389205E-6</v>
      </c>
      <c r="X70" s="34">
        <f t="shared" ca="1" si="12"/>
        <v>6.7652232342186019E-4</v>
      </c>
      <c r="Z70" s="94">
        <f t="shared" ca="1" si="13"/>
        <v>3.7090234951707294E-4</v>
      </c>
      <c r="AB70" s="94">
        <f t="shared" ca="1" si="14"/>
        <v>3.7090234951707294E-4</v>
      </c>
      <c r="AD70" s="110">
        <f t="shared" ca="1" si="15"/>
        <v>0.99731181053971807</v>
      </c>
      <c r="AE70" s="111"/>
      <c r="AF70" s="112">
        <f t="shared" ca="1" si="8"/>
        <v>1.0000000000000007</v>
      </c>
      <c r="AG70" s="108"/>
      <c r="AH70" s="131">
        <f>('Country details'!$C$52/('Country details'!$C$8*'Country details'!$C$6))*(1-(F70+H70))</f>
        <v>3.379401980089479E-2</v>
      </c>
      <c r="AJ70" s="54">
        <f t="shared" ca="1" si="16"/>
        <v>3.9765073939213069</v>
      </c>
      <c r="AL70" s="138">
        <f t="shared" ca="1" si="17"/>
        <v>6.8577022698120452E-2</v>
      </c>
      <c r="AO70" s="135">
        <f t="shared" ca="1" si="18"/>
        <v>26.150110639172112</v>
      </c>
      <c r="AP70" s="108"/>
      <c r="AQ70" s="31">
        <f t="shared" ca="1" si="19"/>
        <v>1.9348189563181931E-3</v>
      </c>
      <c r="AR70" s="31"/>
      <c r="AS70" s="31">
        <f t="shared" ca="1" si="9"/>
        <v>4.8270668021911368E-6</v>
      </c>
      <c r="AT70" s="31"/>
      <c r="AU70" s="31">
        <f t="shared" ca="1" si="20"/>
        <v>1.810698455041559E-4</v>
      </c>
      <c r="AV70" s="31"/>
      <c r="AW70" s="31">
        <f t="shared" ca="1" si="21"/>
        <v>2.5236466784859297E-5</v>
      </c>
      <c r="AX70" s="31"/>
      <c r="AY70" s="31">
        <f t="shared" ca="1" si="22"/>
        <v>4.2919322346540655E-5</v>
      </c>
      <c r="AZ70" s="31"/>
      <c r="BA70" s="134">
        <f t="shared" ca="1" si="23"/>
        <v>4.0597425144307705E-4</v>
      </c>
    </row>
    <row r="71" spans="1:53">
      <c r="A71" s="78"/>
      <c r="B71">
        <v>73</v>
      </c>
      <c r="D71" s="78">
        <v>58</v>
      </c>
      <c r="E71" s="108"/>
      <c r="F71">
        <f>VLOOKUP(B71,Parameters!E62:F152,2)</f>
        <v>0.28660000000000002</v>
      </c>
      <c r="H71">
        <f>VLOOKUP(B71,Parameters!H62:I152,2)</f>
        <v>0.01</v>
      </c>
      <c r="J71">
        <f ca="1">(VLOOKUP(B71,Parameters!K62:L152,2))*(1-mda_efficacy)</f>
        <v>1.5000000000000013E-3</v>
      </c>
      <c r="L71">
        <f>VLOOKUP(B71,Parameters!N62:O152,2)</f>
        <v>0.26</v>
      </c>
      <c r="N71">
        <f>VLOOKUP(B71,Parameters!T62:U152,2)</f>
        <v>0.375</v>
      </c>
      <c r="P71">
        <f>VLOOKUP(B71,Parameters!T62:U152,2)</f>
        <v>0.375</v>
      </c>
      <c r="R71" s="78">
        <f>VLOOKUP(B71,Parameters!W62:X152,2)</f>
        <v>0.1</v>
      </c>
      <c r="S71" s="108"/>
      <c r="T71" s="102">
        <f t="shared" ca="1" si="10"/>
        <v>1.3813358254621433E-3</v>
      </c>
      <c r="V71" s="94">
        <f t="shared" ca="1" si="11"/>
        <v>4.3586464322758498E-6</v>
      </c>
      <c r="X71" s="34">
        <f t="shared" ca="1" si="12"/>
        <v>6.1355767341388242E-4</v>
      </c>
      <c r="Z71" s="94">
        <f t="shared" ca="1" si="13"/>
        <v>3.3607480212889272E-4</v>
      </c>
      <c r="AB71" s="94">
        <f t="shared" ca="1" si="14"/>
        <v>3.3607480212889272E-4</v>
      </c>
      <c r="AD71" s="110">
        <f t="shared" ca="1" si="15"/>
        <v>0.99794215592384838</v>
      </c>
      <c r="AE71" s="111"/>
      <c r="AF71" s="112">
        <f t="shared" ca="1" si="8"/>
        <v>1.0000000000000007</v>
      </c>
      <c r="AG71" s="108"/>
      <c r="AH71" s="131">
        <f>('Country details'!$C$52/('Country details'!$C$8*'Country details'!$C$6))*(1-(F71+H71))</f>
        <v>3.379401980089479E-2</v>
      </c>
      <c r="AJ71" s="54">
        <f t="shared" ca="1" si="16"/>
        <v>3.9765073939213069</v>
      </c>
      <c r="AL71" s="138">
        <f t="shared" ca="1" si="17"/>
        <v>6.2168440516053497E-2</v>
      </c>
      <c r="AO71" s="135">
        <f t="shared" ca="1" si="18"/>
        <v>25.387302938897683</v>
      </c>
      <c r="AP71" s="108"/>
      <c r="AQ71" s="31">
        <f t="shared" ca="1" si="19"/>
        <v>1.3773976150029217E-3</v>
      </c>
      <c r="AR71" s="31"/>
      <c r="AS71" s="31">
        <f t="shared" ca="1" si="9"/>
        <v>3.4869171458206799E-6</v>
      </c>
      <c r="AT71" s="31"/>
      <c r="AU71" s="31">
        <f t="shared" ca="1" si="20"/>
        <v>1.6421748298121454E-4</v>
      </c>
      <c r="AV71" s="31"/>
      <c r="AW71" s="31">
        <f t="shared" ca="1" si="21"/>
        <v>2.286677502096427E-5</v>
      </c>
      <c r="AX71" s="31"/>
      <c r="AY71" s="31">
        <f t="shared" ca="1" si="22"/>
        <v>3.8889219181006725E-5</v>
      </c>
      <c r="AZ71" s="31"/>
      <c r="BA71" s="134">
        <f t="shared" ca="1" si="23"/>
        <v>2.8934665692765757E-4</v>
      </c>
    </row>
    <row r="72" spans="1:53">
      <c r="A72" s="78"/>
      <c r="B72">
        <v>74</v>
      </c>
      <c r="D72" s="78">
        <v>59</v>
      </c>
      <c r="E72" s="108"/>
      <c r="F72">
        <f>VLOOKUP(B72,Parameters!E63:F153,2)</f>
        <v>0.28660000000000002</v>
      </c>
      <c r="H72">
        <f>VLOOKUP(B72,Parameters!H63:I153,2)</f>
        <v>0.01</v>
      </c>
      <c r="J72">
        <f ca="1">(VLOOKUP(B72,Parameters!K63:L153,2))*(1-mda_efficacy)</f>
        <v>1.5000000000000013E-3</v>
      </c>
      <c r="L72">
        <f>VLOOKUP(B72,Parameters!N63:O153,2)</f>
        <v>0.26</v>
      </c>
      <c r="N72">
        <f>VLOOKUP(B72,Parameters!T63:U153,2)</f>
        <v>0.375</v>
      </c>
      <c r="P72">
        <f>VLOOKUP(B72,Parameters!T63:U153,2)</f>
        <v>0.375</v>
      </c>
      <c r="R72" s="78">
        <f>VLOOKUP(B72,Parameters!W63:X153,2)</f>
        <v>0.1</v>
      </c>
      <c r="S72" s="108"/>
      <c r="T72" s="102">
        <f t="shared" ca="1" si="10"/>
        <v>9.8337297414649973E-4</v>
      </c>
      <c r="V72" s="94">
        <f t="shared" ca="1" si="11"/>
        <v>3.1180788819394199E-6</v>
      </c>
      <c r="X72" s="34">
        <f t="shared" ca="1" si="12"/>
        <v>5.5565667158506476E-4</v>
      </c>
      <c r="Z72" s="94">
        <f t="shared" ca="1" si="13"/>
        <v>3.0410181432810688E-4</v>
      </c>
      <c r="AB72" s="94">
        <f t="shared" ca="1" si="14"/>
        <v>3.0410181432810688E-4</v>
      </c>
      <c r="AD72" s="110">
        <f t="shared" ca="1" si="15"/>
        <v>0.99840530531831584</v>
      </c>
      <c r="AE72" s="111"/>
      <c r="AF72" s="112">
        <f t="shared" ca="1" si="8"/>
        <v>1.0000000000000004</v>
      </c>
      <c r="AG72" s="108"/>
      <c r="AH72" s="131">
        <f>('Country details'!$C$52/('Country details'!$C$8*'Country details'!$C$6))*(1-(F72+H72))</f>
        <v>3.379401980089479E-2</v>
      </c>
      <c r="AJ72" s="54">
        <f t="shared" ca="1" si="16"/>
        <v>3.9765073939213069</v>
      </c>
      <c r="AL72" s="138">
        <f t="shared" ca="1" si="17"/>
        <v>5.6279792491987217E-2</v>
      </c>
      <c r="AO72" s="135">
        <f t="shared" ca="1" si="18"/>
        <v>24.646837447590723</v>
      </c>
      <c r="AP72" s="108"/>
      <c r="AQ72" s="31">
        <f t="shared" ca="1" si="19"/>
        <v>9.8056936212057976E-4</v>
      </c>
      <c r="AR72" s="31"/>
      <c r="AS72" s="31">
        <f t="shared" ca="1" si="9"/>
        <v>2.4944631055515361E-6</v>
      </c>
      <c r="AT72" s="31"/>
      <c r="AU72" s="31">
        <f t="shared" ca="1" si="20"/>
        <v>1.4872039575628603E-4</v>
      </c>
      <c r="AV72" s="31"/>
      <c r="AW72" s="31">
        <f t="shared" ca="1" si="21"/>
        <v>2.0691309576493952E-5</v>
      </c>
      <c r="AX72" s="31"/>
      <c r="AY72" s="31">
        <f t="shared" ca="1" si="22"/>
        <v>3.5189434125477515E-5</v>
      </c>
      <c r="AZ72" s="31"/>
      <c r="BA72" s="134">
        <f t="shared" ca="1" si="23"/>
        <v>2.0763362569092451E-4</v>
      </c>
    </row>
    <row r="73" spans="1:53">
      <c r="A73" s="78"/>
      <c r="B73">
        <v>75</v>
      </c>
      <c r="D73" s="78">
        <v>60</v>
      </c>
      <c r="E73" s="108"/>
      <c r="F73">
        <f>VLOOKUP(B73,Parameters!E64:F154,2)</f>
        <v>0.2903</v>
      </c>
      <c r="H73">
        <f>VLOOKUP(B73,Parameters!H64:I154,2)</f>
        <v>0.01</v>
      </c>
      <c r="J73">
        <f ca="1">(VLOOKUP(B73,Parameters!K64:L154,2))*(1-mda_efficacy)</f>
        <v>1.5000000000000013E-3</v>
      </c>
      <c r="L73">
        <f>VLOOKUP(B73,Parameters!N64:O154,2)</f>
        <v>0.26</v>
      </c>
      <c r="N73">
        <f>VLOOKUP(B73,Parameters!T64:U154,2)</f>
        <v>0.375</v>
      </c>
      <c r="P73">
        <f>VLOOKUP(B73,Parameters!T64:U154,2)</f>
        <v>0.375</v>
      </c>
      <c r="R73" s="78">
        <f>VLOOKUP(B73,Parameters!W64:X154,2)</f>
        <v>0.1</v>
      </c>
      <c r="S73" s="108"/>
      <c r="T73" s="102">
        <f t="shared" ca="1" si="10"/>
        <v>7.0006322029489312E-4</v>
      </c>
      <c r="V73" s="94">
        <f t="shared" ca="1" si="11"/>
        <v>2.223398392885212E-6</v>
      </c>
      <c r="X73" s="34">
        <f t="shared" ca="1" si="12"/>
        <v>5.0257869415068056E-4</v>
      </c>
      <c r="Z73" s="94">
        <f t="shared" ca="1" si="13"/>
        <v>2.7486091247602349E-4</v>
      </c>
      <c r="AB73" s="94">
        <f t="shared" ca="1" si="14"/>
        <v>2.7486091247602349E-4</v>
      </c>
      <c r="AD73" s="110">
        <f t="shared" ca="1" si="15"/>
        <v>0.99874799155636063</v>
      </c>
      <c r="AE73" s="111"/>
      <c r="AF73" s="112">
        <f t="shared" ca="1" si="8"/>
        <v>1.0000000000000004</v>
      </c>
      <c r="AG73" s="108"/>
      <c r="AH73" s="131">
        <f>('Country details'!$C$52/('Country details'!$C$8*'Country details'!$C$6))*(1-(F73+H73))</f>
        <v>3.3616257683659487E-2</v>
      </c>
      <c r="AJ73" s="54">
        <f t="shared" ca="1" si="16"/>
        <v>3.9765073939213069</v>
      </c>
      <c r="AL73" s="138">
        <f t="shared" ca="1" si="17"/>
        <v>5.0887488179691159E-2</v>
      </c>
      <c r="AO73" s="135">
        <f t="shared" ca="1" si="18"/>
        <v>23.928022971132467</v>
      </c>
      <c r="AP73" s="108"/>
      <c r="AQ73" s="31">
        <f t="shared" ca="1" si="19"/>
        <v>6.9806732889364075E-4</v>
      </c>
      <c r="AR73" s="31"/>
      <c r="AS73" s="31">
        <f t="shared" ca="1" si="9"/>
        <v>1.7787187143081696E-6</v>
      </c>
      <c r="AT73" s="31"/>
      <c r="AU73" s="31">
        <f t="shared" ca="1" si="20"/>
        <v>1.3451418135510362E-4</v>
      </c>
      <c r="AV73" s="31"/>
      <c r="AW73" s="31">
        <f t="shared" ca="1" si="21"/>
        <v>1.8701737255611513E-5</v>
      </c>
      <c r="AX73" s="31"/>
      <c r="AY73" s="31">
        <f t="shared" ca="1" si="22"/>
        <v>3.1805795024977944E-5</v>
      </c>
      <c r="AZ73" s="31"/>
      <c r="BA73" s="134">
        <f t="shared" ca="1" si="23"/>
        <v>1.5019133937179308E-4</v>
      </c>
    </row>
    <row r="74" spans="1:53">
      <c r="A74" s="78"/>
      <c r="B74">
        <v>76</v>
      </c>
      <c r="D74" s="78">
        <v>61</v>
      </c>
      <c r="E74" s="108"/>
      <c r="F74">
        <f>VLOOKUP(B74,Parameters!E65:F155,2)</f>
        <v>0.2903</v>
      </c>
      <c r="H74">
        <f>VLOOKUP(B74,Parameters!H65:I155,2)</f>
        <v>0.01</v>
      </c>
      <c r="J74">
        <f ca="1">(VLOOKUP(B74,Parameters!K65:L155,2))*(1-mda_efficacy)</f>
        <v>1.5000000000000013E-3</v>
      </c>
      <c r="L74">
        <f>VLOOKUP(B74,Parameters!N65:O155,2)</f>
        <v>0.26</v>
      </c>
      <c r="N74">
        <f>VLOOKUP(B74,Parameters!T65:U155,2)</f>
        <v>0.375</v>
      </c>
      <c r="P74">
        <f>VLOOKUP(B74,Parameters!T65:U155,2)</f>
        <v>0.375</v>
      </c>
      <c r="R74" s="78">
        <f>VLOOKUP(B74,Parameters!W65:X155,2)</f>
        <v>0.1</v>
      </c>
      <c r="S74" s="108"/>
      <c r="T74" s="102">
        <f t="shared" ca="1" si="10"/>
        <v>4.9578477261284326E-4</v>
      </c>
      <c r="V74" s="94">
        <f t="shared" ca="1" si="11"/>
        <v>1.5837104447347913E-6</v>
      </c>
      <c r="X74" s="34">
        <f t="shared" ca="1" si="12"/>
        <v>4.5409858916758885E-4</v>
      </c>
      <c r="Z74" s="94">
        <f t="shared" ca="1" si="13"/>
        <v>2.4820859562575307E-4</v>
      </c>
      <c r="AB74" s="94">
        <f t="shared" ca="1" si="14"/>
        <v>2.4820859562575307E-4</v>
      </c>
      <c r="AD74" s="110">
        <f t="shared" ca="1" si="15"/>
        <v>0.99900621432569126</v>
      </c>
      <c r="AE74" s="111"/>
      <c r="AF74" s="112">
        <f t="shared" ca="1" si="8"/>
        <v>1.0000000000000004</v>
      </c>
      <c r="AG74" s="108"/>
      <c r="AH74" s="131">
        <f>('Country details'!$C$52/('Country details'!$C$8*'Country details'!$C$6))*(1-(F74+H74))</f>
        <v>3.3616257683659487E-2</v>
      </c>
      <c r="AJ74" s="54">
        <f t="shared" ca="1" si="16"/>
        <v>3.9765073939213069</v>
      </c>
      <c r="AL74" s="138">
        <f t="shared" si="17"/>
        <v>0</v>
      </c>
      <c r="AO74" s="135">
        <f t="shared" ca="1" si="18"/>
        <v>23.22270454419472</v>
      </c>
      <c r="AP74" s="108"/>
      <c r="AQ74" s="31">
        <f t="shared" ca="1" si="19"/>
        <v>4.9437128232247634E-4</v>
      </c>
      <c r="AR74" s="31"/>
      <c r="AS74" s="31">
        <f t="shared" ca="1" si="9"/>
        <v>1.2669683557878332E-6</v>
      </c>
      <c r="AT74" s="31"/>
      <c r="AU74" s="31">
        <f t="shared" ca="1" si="20"/>
        <v>1.2153857831082714E-4</v>
      </c>
      <c r="AV74" s="31"/>
      <c r="AW74" s="31">
        <f t="shared" ca="1" si="21"/>
        <v>1.6888294149071055E-5</v>
      </c>
      <c r="AX74" s="31"/>
      <c r="AY74" s="31">
        <f t="shared" ca="1" si="22"/>
        <v>2.8721696529327303E-5</v>
      </c>
      <c r="AZ74" s="31"/>
      <c r="BA74" s="134">
        <f t="shared" ca="1" si="23"/>
        <v>1.0922024749933711E-4</v>
      </c>
    </row>
    <row r="75" spans="1:53">
      <c r="A75" s="78"/>
      <c r="B75">
        <v>77</v>
      </c>
      <c r="D75" s="78">
        <v>62</v>
      </c>
      <c r="E75" s="108"/>
      <c r="F75">
        <f>VLOOKUP(B75,Parameters!E66:F156,2)</f>
        <v>0.2903</v>
      </c>
      <c r="H75">
        <f>VLOOKUP(B75,Parameters!H66:I156,2)</f>
        <v>0.01</v>
      </c>
      <c r="J75">
        <f ca="1">(VLOOKUP(B75,Parameters!K66:L156,2))*(1-mda_efficacy)</f>
        <v>1.5000000000000013E-3</v>
      </c>
      <c r="L75">
        <f>VLOOKUP(B75,Parameters!N66:O156,2)</f>
        <v>0.26</v>
      </c>
      <c r="N75">
        <f>VLOOKUP(B75,Parameters!T66:U156,2)</f>
        <v>0.375</v>
      </c>
      <c r="P75">
        <f>VLOOKUP(B75,Parameters!T66:U156,2)</f>
        <v>0.375</v>
      </c>
      <c r="R75" s="78">
        <f>VLOOKUP(B75,Parameters!W66:X156,2)</f>
        <v>0.1</v>
      </c>
      <c r="S75" s="108"/>
      <c r="T75" s="102">
        <f t="shared" ca="1" si="10"/>
        <v>3.5111477596441563E-4</v>
      </c>
      <c r="V75" s="94">
        <f t="shared" ca="1" si="11"/>
        <v>1.1237676656556154E-6</v>
      </c>
      <c r="X75" s="34">
        <f t="shared" ca="1" si="12"/>
        <v>4.0995594749812357E-4</v>
      </c>
      <c r="Z75" s="94">
        <f t="shared" ca="1" si="13"/>
        <v>2.239816274799533E-4</v>
      </c>
      <c r="AB75" s="94">
        <f t="shared" ca="1" si="14"/>
        <v>2.239816274799533E-4</v>
      </c>
      <c r="AD75" s="110">
        <f t="shared" ca="1" si="15"/>
        <v>0.99919979820141036</v>
      </c>
      <c r="AE75" s="111"/>
      <c r="AF75" s="112">
        <f t="shared" ca="1" si="8"/>
        <v>1.0000000000000004</v>
      </c>
      <c r="AG75" s="108"/>
      <c r="AH75" s="131">
        <f>('Country details'!$C$52/('Country details'!$C$8*'Country details'!$C$6))*(1-(F75+H75))</f>
        <v>3.3616257683659487E-2</v>
      </c>
      <c r="AJ75" s="54">
        <f t="shared" ca="1" si="16"/>
        <v>3.9765073939213069</v>
      </c>
      <c r="AL75" s="138">
        <f t="shared" si="17"/>
        <v>0</v>
      </c>
      <c r="AO75" s="135">
        <f t="shared" ca="1" si="18"/>
        <v>22.546315091451184</v>
      </c>
      <c r="AP75" s="108"/>
      <c r="AQ75" s="31">
        <f t="shared" ca="1" si="19"/>
        <v>3.501137421407778E-4</v>
      </c>
      <c r="AR75" s="31"/>
      <c r="AS75" s="31">
        <f t="shared" ca="1" si="9"/>
        <v>8.9901413252449234E-7</v>
      </c>
      <c r="AT75" s="31"/>
      <c r="AU75" s="31">
        <f t="shared" ca="1" si="20"/>
        <v>1.0972388863908478E-4</v>
      </c>
      <c r="AV75" s="31"/>
      <c r="AW75" s="31">
        <f t="shared" ca="1" si="21"/>
        <v>1.5239873539966295E-5</v>
      </c>
      <c r="AX75" s="31"/>
      <c r="AY75" s="31">
        <f t="shared" ca="1" si="22"/>
        <v>2.5918249593273077E-5</v>
      </c>
      <c r="AZ75" s="31"/>
      <c r="BA75" s="134">
        <f t="shared" ca="1" si="23"/>
        <v>8.0298001549116232E-5</v>
      </c>
    </row>
    <row r="76" spans="1:53">
      <c r="A76" s="78"/>
      <c r="B76">
        <v>78</v>
      </c>
      <c r="D76" s="78">
        <v>63</v>
      </c>
      <c r="E76" s="108"/>
      <c r="F76">
        <f>VLOOKUP(B76,Parameters!E67:F157,2)</f>
        <v>0.2903</v>
      </c>
      <c r="H76">
        <f>VLOOKUP(B76,Parameters!H67:I157,2)</f>
        <v>0.01</v>
      </c>
      <c r="J76">
        <f ca="1">(VLOOKUP(B76,Parameters!K67:L157,2))*(1-mda_efficacy)</f>
        <v>1.5000000000000013E-3</v>
      </c>
      <c r="L76">
        <f>VLOOKUP(B76,Parameters!N67:O157,2)</f>
        <v>0.26</v>
      </c>
      <c r="N76">
        <f>VLOOKUP(B76,Parameters!T67:U157,2)</f>
        <v>0.375</v>
      </c>
      <c r="P76">
        <f>VLOOKUP(B76,Parameters!T67:U157,2)</f>
        <v>0.375</v>
      </c>
      <c r="R76" s="78">
        <f>VLOOKUP(B76,Parameters!W67:X157,2)</f>
        <v>0.1</v>
      </c>
      <c r="S76" s="108"/>
      <c r="T76" s="102">
        <f t="shared" ca="1" si="10"/>
        <v>2.4865948433799916E-4</v>
      </c>
      <c r="V76" s="94">
        <f t="shared" ca="1" si="11"/>
        <v>7.9637640370397159E-7</v>
      </c>
      <c r="X76" s="34">
        <f t="shared" ca="1" si="12"/>
        <v>3.6986186493499339E-4</v>
      </c>
      <c r="Z76" s="94">
        <f t="shared" ca="1" si="13"/>
        <v>2.0200487760657881E-4</v>
      </c>
      <c r="AB76" s="94">
        <f t="shared" ca="1" si="14"/>
        <v>2.0200487760657881E-4</v>
      </c>
      <c r="AD76" s="110">
        <f t="shared" ca="1" si="15"/>
        <v>0.99934653438404542</v>
      </c>
      <c r="AE76" s="111"/>
      <c r="AF76" s="112">
        <f t="shared" ca="1" si="8"/>
        <v>1.0000000000000002</v>
      </c>
      <c r="AG76" s="108"/>
      <c r="AH76" s="131">
        <f>('Country details'!$C$52/('Country details'!$C$8*'Country details'!$C$6))*(1-(F76+H76))</f>
        <v>3.3616257683659487E-2</v>
      </c>
      <c r="AJ76" s="54">
        <f t="shared" ca="1" si="16"/>
        <v>3.9765073939213069</v>
      </c>
      <c r="AL76" s="138">
        <f t="shared" si="17"/>
        <v>0</v>
      </c>
      <c r="AO76" s="135">
        <f t="shared" ca="1" si="18"/>
        <v>21.889626302379785</v>
      </c>
      <c r="AP76" s="108"/>
      <c r="AQ76" s="31">
        <f t="shared" ca="1" si="19"/>
        <v>2.4795055218409883E-4</v>
      </c>
      <c r="AR76" s="31"/>
      <c r="AS76" s="31">
        <f t="shared" ca="1" si="9"/>
        <v>6.3710112296317731E-7</v>
      </c>
      <c r="AT76" s="31"/>
      <c r="AU76" s="31">
        <f t="shared" ca="1" si="20"/>
        <v>9.8992787707165015E-5</v>
      </c>
      <c r="AV76" s="31"/>
      <c r="AW76" s="31">
        <f t="shared" ca="1" si="21"/>
        <v>1.3744559425777738E-5</v>
      </c>
      <c r="AX76" s="31"/>
      <c r="AY76" s="31">
        <f t="shared" ca="1" si="22"/>
        <v>2.3375188830318165E-5</v>
      </c>
      <c r="AZ76" s="31"/>
      <c r="BA76" s="134">
        <f t="shared" ca="1" si="23"/>
        <v>5.9755411786066095E-5</v>
      </c>
    </row>
    <row r="77" spans="1:53">
      <c r="A77" s="78"/>
      <c r="B77">
        <v>79</v>
      </c>
      <c r="D77" s="78">
        <v>64</v>
      </c>
      <c r="E77" s="108"/>
      <c r="F77">
        <f>VLOOKUP(B77,Parameters!E68:F158,2)</f>
        <v>0.2903</v>
      </c>
      <c r="H77">
        <f>VLOOKUP(B77,Parameters!H68:I158,2)</f>
        <v>0.01</v>
      </c>
      <c r="J77">
        <f ca="1">(VLOOKUP(B77,Parameters!K68:L158,2))*(1-mda_efficacy)</f>
        <v>1.5000000000000013E-3</v>
      </c>
      <c r="L77">
        <f>VLOOKUP(B77,Parameters!N68:O158,2)</f>
        <v>0.26</v>
      </c>
      <c r="N77">
        <f>VLOOKUP(B77,Parameters!T68:U158,2)</f>
        <v>0.375</v>
      </c>
      <c r="P77">
        <f>VLOOKUP(B77,Parameters!T68:U158,2)</f>
        <v>0.375</v>
      </c>
      <c r="R77" s="78">
        <f>VLOOKUP(B77,Parameters!W68:X158,2)</f>
        <v>0.1</v>
      </c>
      <c r="S77" s="108"/>
      <c r="T77" s="102">
        <f t="shared" ca="1" si="10"/>
        <v>1.7610064680817101E-4</v>
      </c>
      <c r="V77" s="94">
        <f t="shared" ca="1" si="11"/>
        <v>5.6411956339595228E-7</v>
      </c>
      <c r="X77" s="34">
        <f t="shared" ca="1" si="12"/>
        <v>3.3351510591581805E-4</v>
      </c>
      <c r="Z77" s="94">
        <f t="shared" ca="1" si="13"/>
        <v>1.8210303099730992E-4</v>
      </c>
      <c r="AB77" s="94">
        <f t="shared" ca="1" si="14"/>
        <v>1.8210303099730992E-4</v>
      </c>
      <c r="AD77" s="110">
        <f t="shared" ca="1" si="15"/>
        <v>0.99945912917163404</v>
      </c>
      <c r="AE77" s="111"/>
      <c r="AF77" s="112">
        <f t="shared" ca="1" si="8"/>
        <v>1.0000000000000002</v>
      </c>
      <c r="AG77" s="108"/>
      <c r="AH77" s="131">
        <f>('Country details'!$C$52/('Country details'!$C$8*'Country details'!$C$6))*(1-(F77+H77))</f>
        <v>3.3616257683659487E-2</v>
      </c>
      <c r="AJ77" s="54">
        <f t="shared" ref="AJ77:AJ103" ca="1" si="24">(ccc_adl*L77)+(ccc_hydrocele*P77)+(ccc_le*N77)</f>
        <v>3.9765073939213069</v>
      </c>
      <c r="AL77" s="138">
        <f t="shared" ref="AL77:AL103" si="25">IF(study_perspective=1,0,IF(age&lt;15,0,IF(age&gt;75,0,min_daily_wage*adl_episode_duration*annual_adl_episodes*X77 + prod_loss_hydrocele*min_annual_wage*Z77+prod_loss_lymphedema*min_annual_wage*AB77)))</f>
        <v>0</v>
      </c>
      <c r="AO77" s="135">
        <f t="shared" ref="AO77:AO103" ca="1" si="26">IF(study_perspective=1,((AH77+AJ77)/(1+discount_cost)^cycle),((AH77+AJ77+AL77+hh_costs_adl+hh_costs_hydrocele+hh_costs_lymphedema)/(1+discount_cost)^cycle))</f>
        <v>21.252064371242515</v>
      </c>
      <c r="AP77" s="108"/>
      <c r="AQ77" s="31">
        <f t="shared" ref="AQ77:AQ103" ca="1" si="27">util_healthy*T77*1</f>
        <v>1.7559858105677879E-4</v>
      </c>
      <c r="AR77" s="31"/>
      <c r="AS77" s="31">
        <f t="shared" ca="1" si="9"/>
        <v>4.5129565071676184E-7</v>
      </c>
      <c r="AT77" s="31"/>
      <c r="AU77" s="31">
        <f t="shared" ref="AU77:AU103" ca="1" si="28">util_adl*X77</f>
        <v>8.9264650419853425E-5</v>
      </c>
      <c r="AV77" s="31"/>
      <c r="AW77" s="31">
        <f t="shared" ref="AW77:AW103" ca="1" si="29">util_lymphedema*AB77</f>
        <v>1.2390423245281367E-5</v>
      </c>
      <c r="AX77" s="31"/>
      <c r="AY77" s="31">
        <f t="shared" ref="AY77:AY103" ca="1" si="30">util_hydrocele*Z77</f>
        <v>2.1072227495544251E-5</v>
      </c>
      <c r="AZ77" s="31"/>
      <c r="BA77" s="134">
        <f t="shared" ref="BA77:BA103" ca="1" si="31">(AQ77+AS77+AU77+AW77+AY77)/((1+discount_effects)^cycle)</f>
        <v>4.5057287135717871E-5</v>
      </c>
    </row>
    <row r="78" spans="1:53">
      <c r="A78" s="78"/>
      <c r="B78">
        <v>80</v>
      </c>
      <c r="D78" s="78">
        <v>65</v>
      </c>
      <c r="E78" s="108"/>
      <c r="F78">
        <f>VLOOKUP(B78,Parameters!E69:F159,2)</f>
        <v>0.44719999999999999</v>
      </c>
      <c r="H78">
        <f>VLOOKUP(B78,Parameters!H69:I159,2)</f>
        <v>0.01</v>
      </c>
      <c r="J78">
        <f ca="1">(VLOOKUP(B78,Parameters!K69:L159,2))*(1-mda_efficacy)</f>
        <v>1.5000000000000013E-3</v>
      </c>
      <c r="L78">
        <f>VLOOKUP(B78,Parameters!N69:O159,2)</f>
        <v>0.26</v>
      </c>
      <c r="N78">
        <f>VLOOKUP(B78,Parameters!T69:U159,2)</f>
        <v>0.375</v>
      </c>
      <c r="P78">
        <f>VLOOKUP(B78,Parameters!T69:U159,2)</f>
        <v>0.375</v>
      </c>
      <c r="R78" s="78">
        <f>VLOOKUP(B78,Parameters!W69:X159,2)</f>
        <v>0.1</v>
      </c>
      <c r="S78" s="108"/>
      <c r="T78" s="102">
        <f t="shared" ca="1" si="10"/>
        <v>1.247144780695467E-4</v>
      </c>
      <c r="V78" s="94">
        <f t="shared" ca="1" si="11"/>
        <v>3.9953966542728529E-7</v>
      </c>
      <c r="X78" s="34">
        <f t="shared" ca="1" si="12"/>
        <v>3.006166722320443E-4</v>
      </c>
      <c r="Z78" s="94">
        <f t="shared" ca="1" si="13"/>
        <v>1.6410427273385239E-4</v>
      </c>
      <c r="AB78" s="94">
        <f t="shared" ca="1" si="14"/>
        <v>1.6410427273385239E-4</v>
      </c>
      <c r="AD78" s="110">
        <f t="shared" ca="1" si="15"/>
        <v>0.99954667743679759</v>
      </c>
      <c r="AE78" s="111"/>
      <c r="AF78" s="112">
        <f t="shared" ref="AF78:AF103" ca="1" si="32">T78+V78+Z78+AB78+AD78</f>
        <v>1.0000000000000002</v>
      </c>
      <c r="AG78" s="108"/>
      <c r="AH78" s="131">
        <f>('Country details'!$C$52/('Country details'!$C$8*'Country details'!$C$6))*(1-(F78+H78))</f>
        <v>2.6078183036573343E-2</v>
      </c>
      <c r="AJ78" s="54">
        <f t="shared" ca="1" si="24"/>
        <v>3.9765073939213069</v>
      </c>
      <c r="AL78" s="138">
        <f t="shared" si="25"/>
        <v>0</v>
      </c>
      <c r="AO78" s="135">
        <f t="shared" ca="1" si="26"/>
        <v>20.631968531048464</v>
      </c>
      <c r="AP78" s="108"/>
      <c r="AQ78" s="31">
        <f t="shared" ca="1" si="27"/>
        <v>1.2435891510441074E-4</v>
      </c>
      <c r="AR78" s="31"/>
      <c r="AS78" s="31">
        <f t="shared" ref="AS78:AS103" ca="1" si="33">0.8*V78*1</f>
        <v>3.1963173234182824E-7</v>
      </c>
      <c r="AT78" s="31"/>
      <c r="AU78" s="31">
        <f t="shared" ca="1" si="28"/>
        <v>8.0459450505208384E-5</v>
      </c>
      <c r="AV78" s="31"/>
      <c r="AW78" s="31">
        <f t="shared" ca="1" si="29"/>
        <v>1.1165774585935117E-5</v>
      </c>
      <c r="AX78" s="31"/>
      <c r="AY78" s="31">
        <f t="shared" ca="1" si="30"/>
        <v>1.8989483860318946E-5</v>
      </c>
      <c r="AZ78" s="31"/>
      <c r="BA78" s="134">
        <f t="shared" ca="1" si="31"/>
        <v>3.4450051329813566E-5</v>
      </c>
    </row>
    <row r="79" spans="1:53">
      <c r="A79" s="78"/>
      <c r="B79">
        <v>81</v>
      </c>
      <c r="D79" s="78">
        <v>66</v>
      </c>
      <c r="E79" s="108"/>
      <c r="F79">
        <f>VLOOKUP(B79,Parameters!E70:F160,2)</f>
        <v>0.44719999999999999</v>
      </c>
      <c r="H79">
        <f>VLOOKUP(B79,Parameters!H70:I160,2)</f>
        <v>0.01</v>
      </c>
      <c r="J79">
        <f ca="1">(VLOOKUP(B79,Parameters!K70:L160,2))*(1-mda_efficacy)</f>
        <v>1.5000000000000013E-3</v>
      </c>
      <c r="L79">
        <f>VLOOKUP(B79,Parameters!N70:O160,2)</f>
        <v>0.26</v>
      </c>
      <c r="N79">
        <f>VLOOKUP(B79,Parameters!T70:U160,2)</f>
        <v>0.375</v>
      </c>
      <c r="P79">
        <f>VLOOKUP(B79,Parameters!T70:U160,2)</f>
        <v>0.375</v>
      </c>
      <c r="R79" s="78">
        <f>VLOOKUP(B79,Parameters!W70:X160,2)</f>
        <v>0.1</v>
      </c>
      <c r="S79" s="108"/>
      <c r="T79" s="102">
        <f t="shared" ref="T79:T103" ca="1" si="34">T78 -T78*F78 - T78*J78</f>
        <v>6.875509175974111E-5</v>
      </c>
      <c r="V79" s="94">
        <f t="shared" ref="V79:V103" ca="1" si="35">V78+T78*J78-V78*N78-V78*P78-V78*H78</f>
        <v>2.8296123680686868E-7</v>
      </c>
      <c r="X79" s="34">
        <f t="shared" ref="X79:X103" ca="1" si="36">V78*L78+ (0.7*Z78) +(0.95*AB78)</f>
        <v>2.7087593032386749E-4</v>
      </c>
      <c r="Z79" s="94">
        <f t="shared" ref="Z79:Z103" ca="1" si="37">Z78+V78*P78-Z78*R78</f>
        <v>1.4784367283500238E-4</v>
      </c>
      <c r="AB79" s="94">
        <f t="shared" ref="AB79:AB103" ca="1" si="38">AB78+V78*N78-AB78*R78</f>
        <v>1.4784367283500238E-4</v>
      </c>
      <c r="AD79" s="110">
        <f t="shared" ref="AD79:AD103" ca="1" si="39">AD78+T78*F78+V78*H78+Z78*R78 +AB78*R78</f>
        <v>0.99963527460133383</v>
      </c>
      <c r="AE79" s="111"/>
      <c r="AF79" s="112">
        <f t="shared" ca="1" si="32"/>
        <v>1.0000000000000004</v>
      </c>
      <c r="AG79" s="108"/>
      <c r="AH79" s="131">
        <f>('Country details'!$C$52/('Country details'!$C$8*'Country details'!$C$6))*(1-(F79+H79))</f>
        <v>2.6078183036573343E-2</v>
      </c>
      <c r="AJ79" s="54">
        <f t="shared" ca="1" si="24"/>
        <v>3.9765073939213069</v>
      </c>
      <c r="AL79" s="138">
        <f t="shared" si="25"/>
        <v>0</v>
      </c>
      <c r="AO79" s="135">
        <f t="shared" ca="1" si="26"/>
        <v>20.031037408784918</v>
      </c>
      <c r="AP79" s="108"/>
      <c r="AQ79" s="31">
        <f t="shared" ca="1" si="27"/>
        <v>6.8559069897061655E-5</v>
      </c>
      <c r="AR79" s="31"/>
      <c r="AS79" s="31">
        <f t="shared" ca="1" si="33"/>
        <v>2.2636898944549496E-7</v>
      </c>
      <c r="AT79" s="31"/>
      <c r="AU79" s="31">
        <f t="shared" ca="1" si="28"/>
        <v>7.2499400472780221E-5</v>
      </c>
      <c r="AV79" s="31"/>
      <c r="AW79" s="31">
        <f t="shared" ca="1" si="29"/>
        <v>1.0059391491345619E-5</v>
      </c>
      <c r="AX79" s="31"/>
      <c r="AY79" s="31">
        <f t="shared" ca="1" si="30"/>
        <v>1.7107872893131624E-5</v>
      </c>
      <c r="AZ79" s="31"/>
      <c r="BA79" s="134">
        <f t="shared" ca="1" si="31"/>
        <v>2.3945262842598556E-5</v>
      </c>
    </row>
    <row r="80" spans="1:53">
      <c r="A80" s="78"/>
      <c r="B80">
        <v>82</v>
      </c>
      <c r="D80" s="78">
        <v>67</v>
      </c>
      <c r="E80" s="108"/>
      <c r="F80">
        <f>VLOOKUP(B80,Parameters!E71:F161,2)</f>
        <v>0.44719999999999999</v>
      </c>
      <c r="H80">
        <f>VLOOKUP(B80,Parameters!H71:I161,2)</f>
        <v>0.01</v>
      </c>
      <c r="J80">
        <f ca="1">(VLOOKUP(B80,Parameters!K71:L161,2))*(1-mda_efficacy)</f>
        <v>1.5000000000000013E-3</v>
      </c>
      <c r="L80">
        <f>VLOOKUP(B80,Parameters!N71:O161,2)</f>
        <v>0.26</v>
      </c>
      <c r="N80">
        <f>VLOOKUP(B80,Parameters!T71:U161,2)</f>
        <v>0.375</v>
      </c>
      <c r="P80">
        <f>VLOOKUP(B80,Parameters!T71:U161,2)</f>
        <v>0.375</v>
      </c>
      <c r="R80" s="78">
        <f>VLOOKUP(B80,Parameters!W71:X161,2)</f>
        <v>0.1</v>
      </c>
      <c r="S80" s="108"/>
      <c r="T80" s="102">
        <f t="shared" ca="1" si="34"/>
        <v>3.7904682087145278E-5</v>
      </c>
      <c r="V80" s="94">
        <f t="shared" ca="1" si="35"/>
        <v>1.7104333447326023E-7</v>
      </c>
      <c r="X80" s="34">
        <f t="shared" ca="1" si="36"/>
        <v>2.440156300993237E-4</v>
      </c>
      <c r="Z80" s="94">
        <f t="shared" ca="1" si="37"/>
        <v>1.331654160153047E-4</v>
      </c>
      <c r="AB80" s="94">
        <f t="shared" ca="1" si="38"/>
        <v>1.331654160153047E-4</v>
      </c>
      <c r="AD80" s="110">
        <f t="shared" ca="1" si="39"/>
        <v>0.99969559344254821</v>
      </c>
      <c r="AE80" s="111"/>
      <c r="AF80" s="112">
        <f t="shared" ca="1" si="32"/>
        <v>1.0000000000000004</v>
      </c>
      <c r="AG80" s="108"/>
      <c r="AH80" s="131">
        <f>('Country details'!$C$52/('Country details'!$C$8*'Country details'!$C$6))*(1-(F80+H80))</f>
        <v>2.6078183036573343E-2</v>
      </c>
      <c r="AJ80" s="54">
        <f t="shared" ca="1" si="24"/>
        <v>3.9765073939213069</v>
      </c>
      <c r="AL80" s="138">
        <f t="shared" si="25"/>
        <v>0</v>
      </c>
      <c r="AO80" s="135">
        <f t="shared" ca="1" si="26"/>
        <v>19.447609134742638</v>
      </c>
      <c r="AP80" s="108"/>
      <c r="AQ80" s="31">
        <f t="shared" ca="1" si="27"/>
        <v>3.779661523425009E-5</v>
      </c>
      <c r="AR80" s="31"/>
      <c r="AS80" s="31">
        <f t="shared" ca="1" si="33"/>
        <v>1.3683466757860818E-7</v>
      </c>
      <c r="AT80" s="31"/>
      <c r="AU80" s="31">
        <f t="shared" ca="1" si="28"/>
        <v>6.5310294890493937E-5</v>
      </c>
      <c r="AV80" s="31"/>
      <c r="AW80" s="31">
        <f t="shared" ca="1" si="29"/>
        <v>9.060672175676027E-6</v>
      </c>
      <c r="AX80" s="31"/>
      <c r="AY80" s="31">
        <f t="shared" ca="1" si="30"/>
        <v>1.5409364278262592E-5</v>
      </c>
      <c r="AZ80" s="31"/>
      <c r="BA80" s="134">
        <f t="shared" ca="1" si="31"/>
        <v>1.7625591809059347E-5</v>
      </c>
    </row>
    <row r="81" spans="1:53">
      <c r="A81" s="78"/>
      <c r="B81">
        <v>83</v>
      </c>
      <c r="D81" s="78">
        <v>68</v>
      </c>
      <c r="E81" s="108"/>
      <c r="F81">
        <f>VLOOKUP(B81,Parameters!E72:F162,2)</f>
        <v>0.44719999999999999</v>
      </c>
      <c r="H81">
        <f>VLOOKUP(B81,Parameters!H72:I162,2)</f>
        <v>0.01</v>
      </c>
      <c r="J81">
        <f ca="1">(VLOOKUP(B81,Parameters!K72:L162,2))*(1-mda_efficacy)</f>
        <v>1.5000000000000013E-3</v>
      </c>
      <c r="L81">
        <f>VLOOKUP(B81,Parameters!N72:O162,2)</f>
        <v>0.26</v>
      </c>
      <c r="N81">
        <f>VLOOKUP(B81,Parameters!T72:U162,2)</f>
        <v>0.375</v>
      </c>
      <c r="P81">
        <f>VLOOKUP(B81,Parameters!T72:U162,2)</f>
        <v>0.375</v>
      </c>
      <c r="R81" s="78">
        <f>VLOOKUP(B81,Parameters!W72:X162,2)</f>
        <v>0.1</v>
      </c>
      <c r="S81" s="108"/>
      <c r="T81" s="102">
        <f t="shared" ca="1" si="34"/>
        <v>2.0896851234643192E-5</v>
      </c>
      <c r="V81" s="94">
        <f t="shared" ca="1" si="35"/>
        <v>9.7907423404300397E-8</v>
      </c>
      <c r="X81" s="34">
        <f t="shared" ca="1" si="36"/>
        <v>2.1976740769221581E-4</v>
      </c>
      <c r="Z81" s="94">
        <f t="shared" ca="1" si="37"/>
        <v>1.1991301566420171E-4</v>
      </c>
      <c r="AB81" s="94">
        <f t="shared" ca="1" si="38"/>
        <v>1.1991301566420171E-4</v>
      </c>
      <c r="AD81" s="110">
        <f t="shared" ca="1" si="39"/>
        <v>0.99973917921001398</v>
      </c>
      <c r="AE81" s="111"/>
      <c r="AF81" s="112">
        <f t="shared" ca="1" si="32"/>
        <v>1.0000000000000004</v>
      </c>
      <c r="AG81" s="108"/>
      <c r="AH81" s="131">
        <f>('Country details'!$C$52/('Country details'!$C$8*'Country details'!$C$6))*(1-(F81+H81))</f>
        <v>2.6078183036573343E-2</v>
      </c>
      <c r="AJ81" s="54">
        <f t="shared" ca="1" si="24"/>
        <v>3.9765073939213069</v>
      </c>
      <c r="AL81" s="138">
        <f t="shared" si="25"/>
        <v>0</v>
      </c>
      <c r="AO81" s="135">
        <f t="shared" ca="1" si="26"/>
        <v>18.881173917225862</v>
      </c>
      <c r="AP81" s="108"/>
      <c r="AQ81" s="31">
        <f t="shared" ca="1" si="27"/>
        <v>2.0837273978642078E-5</v>
      </c>
      <c r="AR81" s="31"/>
      <c r="AS81" s="31">
        <f t="shared" ca="1" si="33"/>
        <v>7.8325938723440328E-8</v>
      </c>
      <c r="AT81" s="31"/>
      <c r="AU81" s="31">
        <f t="shared" ca="1" si="28"/>
        <v>5.8820306706811237E-5</v>
      </c>
      <c r="AV81" s="31"/>
      <c r="AW81" s="31">
        <f t="shared" ca="1" si="29"/>
        <v>8.1589691756391573E-6</v>
      </c>
      <c r="AX81" s="31"/>
      <c r="AY81" s="31">
        <f t="shared" ca="1" si="30"/>
        <v>1.387585001696181E-5</v>
      </c>
      <c r="AZ81" s="31"/>
      <c r="BA81" s="134">
        <f t="shared" ca="1" si="31"/>
        <v>1.3636144411599593E-5</v>
      </c>
    </row>
    <row r="82" spans="1:53">
      <c r="A82" s="78"/>
      <c r="B82">
        <v>84</v>
      </c>
      <c r="D82" s="78">
        <v>69</v>
      </c>
      <c r="E82" s="108"/>
      <c r="F82">
        <f>VLOOKUP(B82,Parameters!E73:F163,2)</f>
        <v>0.44719999999999999</v>
      </c>
      <c r="H82">
        <f>VLOOKUP(B82,Parameters!H73:I163,2)</f>
        <v>0.01</v>
      </c>
      <c r="J82">
        <f ca="1">(VLOOKUP(B82,Parameters!K73:L163,2))*(1-mda_efficacy)</f>
        <v>1.5000000000000013E-3</v>
      </c>
      <c r="L82">
        <f>VLOOKUP(B82,Parameters!N73:O163,2)</f>
        <v>0.26</v>
      </c>
      <c r="N82">
        <f>VLOOKUP(B82,Parameters!T73:U163,2)</f>
        <v>0.375</v>
      </c>
      <c r="P82">
        <f>VLOOKUP(B82,Parameters!T73:U163,2)</f>
        <v>0.375</v>
      </c>
      <c r="R82" s="78">
        <f>VLOOKUP(B82,Parameters!W73:X163,2)</f>
        <v>0.1</v>
      </c>
      <c r="S82" s="108"/>
      <c r="T82" s="102">
        <f t="shared" ca="1" si="34"/>
        <v>1.1520434085658792E-5</v>
      </c>
      <c r="V82" s="94">
        <f t="shared" ca="1" si="35"/>
        <v>5.4843058468996904E-8</v>
      </c>
      <c r="X82" s="34">
        <f t="shared" ca="1" si="36"/>
        <v>1.9788193177601793E-4</v>
      </c>
      <c r="Z82" s="94">
        <f t="shared" ca="1" si="37"/>
        <v>1.0795842938155815E-4</v>
      </c>
      <c r="AB82" s="94">
        <f t="shared" ca="1" si="38"/>
        <v>1.0795842938155815E-4</v>
      </c>
      <c r="AD82" s="110">
        <f t="shared" ca="1" si="39"/>
        <v>0.99977250786409311</v>
      </c>
      <c r="AE82" s="111"/>
      <c r="AF82" s="112">
        <f t="shared" ca="1" si="32"/>
        <v>1.0000000000000004</v>
      </c>
      <c r="AG82" s="108"/>
      <c r="AH82" s="131">
        <f>('Country details'!$C$52/('Country details'!$C$8*'Country details'!$C$6))*(1-(F82+H82))</f>
        <v>2.6078183036573343E-2</v>
      </c>
      <c r="AJ82" s="54">
        <f t="shared" ca="1" si="24"/>
        <v>3.9765073939213069</v>
      </c>
      <c r="AL82" s="138">
        <f t="shared" si="25"/>
        <v>0</v>
      </c>
      <c r="AO82" s="135">
        <f t="shared" ca="1" si="26"/>
        <v>18.331236812840647</v>
      </c>
      <c r="AP82" s="108"/>
      <c r="AQ82" s="31">
        <f t="shared" ca="1" si="27"/>
        <v>1.1487589144425377E-5</v>
      </c>
      <c r="AR82" s="31"/>
      <c r="AS82" s="31">
        <f t="shared" ca="1" si="33"/>
        <v>4.3874446775197528E-8</v>
      </c>
      <c r="AT82" s="31"/>
      <c r="AU82" s="31">
        <f t="shared" ca="1" si="28"/>
        <v>5.2962702891334796E-5</v>
      </c>
      <c r="AV82" s="31"/>
      <c r="AW82" s="31">
        <f t="shared" ca="1" si="29"/>
        <v>7.3455703928018935E-6</v>
      </c>
      <c r="AX82" s="31"/>
      <c r="AY82" s="31">
        <f t="shared" ca="1" si="30"/>
        <v>1.2492513559664189E-5</v>
      </c>
      <c r="AZ82" s="31"/>
      <c r="BA82" s="134">
        <f t="shared" ca="1" si="31"/>
        <v>1.0970468761752581E-5</v>
      </c>
    </row>
    <row r="83" spans="1:53">
      <c r="A83" s="78"/>
      <c r="B83">
        <v>85</v>
      </c>
      <c r="D83" s="78">
        <v>70</v>
      </c>
      <c r="E83" s="108"/>
      <c r="F83">
        <f>VLOOKUP(B83,Parameters!E74:F164,2)</f>
        <v>0.47620000000000001</v>
      </c>
      <c r="H83">
        <f>VLOOKUP(B83,Parameters!H74:I164,2)</f>
        <v>0.01</v>
      </c>
      <c r="J83">
        <f ca="1">(VLOOKUP(B83,Parameters!K74:L164,2))*(1-mda_efficacy)</f>
        <v>1.5000000000000013E-3</v>
      </c>
      <c r="L83">
        <f>VLOOKUP(B83,Parameters!N74:O164,2)</f>
        <v>0.26</v>
      </c>
      <c r="N83">
        <f>VLOOKUP(B83,Parameters!T74:U164,2)</f>
        <v>0.375</v>
      </c>
      <c r="P83">
        <f>VLOOKUP(B83,Parameters!T74:U164,2)</f>
        <v>0.375</v>
      </c>
      <c r="R83" s="78">
        <f>VLOOKUP(B83,Parameters!W74:X164,2)</f>
        <v>0.1</v>
      </c>
      <c r="S83" s="108"/>
      <c r="T83" s="102">
        <f t="shared" ca="1" si="34"/>
        <v>6.3512153114236923E-6</v>
      </c>
      <c r="V83" s="94">
        <f t="shared" ca="1" si="35"/>
        <v>3.0442985161047475E-8</v>
      </c>
      <c r="X83" s="34">
        <f t="shared" ca="1" si="36"/>
        <v>1.7814566767477289E-4</v>
      </c>
      <c r="Z83" s="94">
        <f t="shared" ca="1" si="37"/>
        <v>9.7183152590328212E-5</v>
      </c>
      <c r="AB83" s="94">
        <f t="shared" ca="1" si="38"/>
        <v>9.7183152590328212E-5</v>
      </c>
      <c r="AD83" s="110">
        <f t="shared" ca="1" si="39"/>
        <v>0.9997992520365232</v>
      </c>
      <c r="AE83" s="111"/>
      <c r="AF83" s="112">
        <f t="shared" ca="1" si="32"/>
        <v>1.0000000000000004</v>
      </c>
      <c r="AG83" s="108"/>
      <c r="AH83" s="131">
        <f>('Country details'!$C$52/('Country details'!$C$8*'Country details'!$C$6))*(1-(F83+H83))</f>
        <v>2.4684912387972338E-2</v>
      </c>
      <c r="AJ83" s="54">
        <f t="shared" ca="1" si="24"/>
        <v>3.9765073939213069</v>
      </c>
      <c r="AL83" s="138">
        <f t="shared" si="25"/>
        <v>0</v>
      </c>
      <c r="AO83" s="135">
        <f t="shared" ca="1" si="26"/>
        <v>17.797141327616139</v>
      </c>
      <c r="AP83" s="108"/>
      <c r="AQ83" s="31">
        <f t="shared" ca="1" si="27"/>
        <v>6.3331078953217107E-6</v>
      </c>
      <c r="AR83" s="31"/>
      <c r="AS83" s="31">
        <f t="shared" ca="1" si="33"/>
        <v>2.4354388128837982E-8</v>
      </c>
      <c r="AT83" s="31"/>
      <c r="AU83" s="31">
        <f t="shared" ca="1" si="28"/>
        <v>4.76803313155291E-5</v>
      </c>
      <c r="AV83" s="31"/>
      <c r="AW83" s="31">
        <f t="shared" ca="1" si="29"/>
        <v>6.6124126891809764E-6</v>
      </c>
      <c r="AX83" s="31"/>
      <c r="AY83" s="31">
        <f t="shared" ca="1" si="30"/>
        <v>1.1245642035183031E-5</v>
      </c>
      <c r="AZ83" s="31"/>
      <c r="BA83" s="134">
        <f t="shared" ca="1" si="31"/>
        <v>9.0802557977813665E-6</v>
      </c>
    </row>
    <row r="84" spans="1:53">
      <c r="A84" s="78"/>
      <c r="B84">
        <v>86</v>
      </c>
      <c r="D84" s="78">
        <v>71</v>
      </c>
      <c r="E84" s="108"/>
      <c r="F84">
        <f>VLOOKUP(B84,Parameters!E75:F165,2)</f>
        <v>0.47620000000000001</v>
      </c>
      <c r="H84">
        <f>VLOOKUP(B84,Parameters!H75:I165,2)</f>
        <v>0.01</v>
      </c>
      <c r="J84">
        <f ca="1">(VLOOKUP(B84,Parameters!K75:L165,2))*(1-mda_efficacy)</f>
        <v>1.5000000000000013E-3</v>
      </c>
      <c r="L84">
        <f>VLOOKUP(B84,Parameters!N75:O165,2)</f>
        <v>0.26</v>
      </c>
      <c r="N84">
        <f>VLOOKUP(B84,Parameters!T75:U165,2)</f>
        <v>0.375</v>
      </c>
      <c r="P84">
        <f>VLOOKUP(B84,Parameters!T75:U165,2)</f>
        <v>0.375</v>
      </c>
      <c r="R84" s="78">
        <f>VLOOKUP(B84,Parameters!W75:X165,2)</f>
        <v>0.1</v>
      </c>
      <c r="S84" s="108"/>
      <c r="T84" s="102">
        <f t="shared" ca="1" si="34"/>
        <v>3.3172397571565943E-6</v>
      </c>
      <c r="V84" s="94">
        <f t="shared" ca="1" si="35"/>
        <v>1.683313940578694E-8</v>
      </c>
      <c r="X84" s="34">
        <f t="shared" ca="1" si="36"/>
        <v>1.6036011695018341E-4</v>
      </c>
      <c r="Z84" s="94">
        <f t="shared" ca="1" si="37"/>
        <v>8.7476253450730781E-5</v>
      </c>
      <c r="AB84" s="94">
        <f t="shared" ca="1" si="38"/>
        <v>8.7476253450730781E-5</v>
      </c>
      <c r="AD84" s="110">
        <f t="shared" ca="1" si="39"/>
        <v>0.99982171342020232</v>
      </c>
      <c r="AE84" s="111"/>
      <c r="AF84" s="112">
        <f t="shared" ca="1" si="32"/>
        <v>1.0000000000000004</v>
      </c>
      <c r="AG84" s="108"/>
      <c r="AH84" s="131">
        <f>('Country details'!$C$52/('Country details'!$C$8*'Country details'!$C$6))*(1-(F84+H84))</f>
        <v>2.4684912387972338E-2</v>
      </c>
      <c r="AJ84" s="54">
        <f t="shared" ca="1" si="24"/>
        <v>3.9765073939213069</v>
      </c>
      <c r="AL84" s="138">
        <f t="shared" si="25"/>
        <v>0</v>
      </c>
      <c r="AO84" s="135">
        <f t="shared" ca="1" si="26"/>
        <v>17.278777987976831</v>
      </c>
      <c r="AP84" s="108"/>
      <c r="AQ84" s="31">
        <f t="shared" ca="1" si="27"/>
        <v>3.3077822537265292E-6</v>
      </c>
      <c r="AR84" s="31"/>
      <c r="AS84" s="31">
        <f t="shared" ca="1" si="33"/>
        <v>1.3466511524629553E-8</v>
      </c>
      <c r="AT84" s="31"/>
      <c r="AU84" s="31">
        <f t="shared" ca="1" si="28"/>
        <v>4.2920064269766628E-5</v>
      </c>
      <c r="AV84" s="31"/>
      <c r="AW84" s="31">
        <f t="shared" ca="1" si="29"/>
        <v>5.9519481813681086E-6</v>
      </c>
      <c r="AX84" s="31"/>
      <c r="AY84" s="31">
        <f t="shared" ca="1" si="30"/>
        <v>1.0122398858912552E-5</v>
      </c>
      <c r="AZ84" s="31"/>
      <c r="BA84" s="134">
        <f t="shared" ca="1" si="31"/>
        <v>7.6410711836270693E-6</v>
      </c>
    </row>
    <row r="85" spans="1:53">
      <c r="A85" s="78"/>
      <c r="B85">
        <v>87</v>
      </c>
      <c r="D85" s="78">
        <v>72</v>
      </c>
      <c r="E85" s="108"/>
      <c r="F85">
        <f>VLOOKUP(B85,Parameters!E76:F166,2)</f>
        <v>0.47620000000000001</v>
      </c>
      <c r="H85">
        <f>VLOOKUP(B85,Parameters!H76:I166,2)</f>
        <v>0.01</v>
      </c>
      <c r="J85">
        <f ca="1">(VLOOKUP(B85,Parameters!K76:L166,2))*(1-mda_efficacy)</f>
        <v>1.5000000000000013E-3</v>
      </c>
      <c r="L85">
        <f>VLOOKUP(B85,Parameters!N76:O166,2)</f>
        <v>0.26</v>
      </c>
      <c r="N85">
        <f>VLOOKUP(B85,Parameters!T76:U166,2)</f>
        <v>0.375</v>
      </c>
      <c r="P85">
        <f>VLOOKUP(B85,Parameters!T76:U166,2)</f>
        <v>0.375</v>
      </c>
      <c r="R85" s="78">
        <f>VLOOKUP(B85,Parameters!W76:X166,2)</f>
        <v>0.1</v>
      </c>
      <c r="S85" s="108"/>
      <c r="T85" s="102">
        <f t="shared" ca="1" si="34"/>
        <v>1.7325943251628893E-6</v>
      </c>
      <c r="V85" s="94">
        <f t="shared" ca="1" si="35"/>
        <v>9.0158130931237628E-9</v>
      </c>
      <c r="X85" s="34">
        <f t="shared" ca="1" si="36"/>
        <v>1.4434019480995128E-4</v>
      </c>
      <c r="Z85" s="94">
        <f t="shared" ca="1" si="37"/>
        <v>7.8734940532934868E-5</v>
      </c>
      <c r="AB85" s="94">
        <f t="shared" ca="1" si="38"/>
        <v>7.8734940532934868E-5</v>
      </c>
      <c r="AD85" s="110">
        <f t="shared" ca="1" si="39"/>
        <v>0.99984078850879621</v>
      </c>
      <c r="AE85" s="111"/>
      <c r="AF85" s="112">
        <f t="shared" ca="1" si="32"/>
        <v>1.0000000000000004</v>
      </c>
      <c r="AG85" s="108"/>
      <c r="AH85" s="131">
        <f>('Country details'!$C$52/('Country details'!$C$8*'Country details'!$C$6))*(1-(F85+H85))</f>
        <v>2.4684912387972338E-2</v>
      </c>
      <c r="AJ85" s="54">
        <f t="shared" ca="1" si="24"/>
        <v>3.9765073939213069</v>
      </c>
      <c r="AL85" s="138">
        <f t="shared" si="25"/>
        <v>0</v>
      </c>
      <c r="AO85" s="135">
        <f t="shared" ca="1" si="26"/>
        <v>16.775512609686245</v>
      </c>
      <c r="AP85" s="108"/>
      <c r="AQ85" s="31">
        <f t="shared" ca="1" si="27"/>
        <v>1.7276546711213663E-6</v>
      </c>
      <c r="AR85" s="31"/>
      <c r="AS85" s="31">
        <f t="shared" ca="1" si="33"/>
        <v>7.2126504744990103E-9</v>
      </c>
      <c r="AT85" s="31"/>
      <c r="AU85" s="31">
        <f t="shared" ca="1" si="28"/>
        <v>3.8632364179918107E-5</v>
      </c>
      <c r="AV85" s="31"/>
      <c r="AW85" s="31">
        <f t="shared" ca="1" si="29"/>
        <v>5.3571828653941161E-6</v>
      </c>
      <c r="AX85" s="31"/>
      <c r="AY85" s="31">
        <f t="shared" ca="1" si="30"/>
        <v>9.1108894216190209E-6</v>
      </c>
      <c r="AZ85" s="31"/>
      <c r="BA85" s="134">
        <f t="shared" ca="1" si="31"/>
        <v>6.5279989371877252E-6</v>
      </c>
    </row>
    <row r="86" spans="1:53">
      <c r="A86" s="78"/>
      <c r="B86">
        <v>88</v>
      </c>
      <c r="D86" s="78">
        <v>73</v>
      </c>
      <c r="E86" s="108"/>
      <c r="F86">
        <f>VLOOKUP(B86,Parameters!E77:F167,2)</f>
        <v>0.47620000000000001</v>
      </c>
      <c r="H86">
        <f>VLOOKUP(B86,Parameters!H77:I167,2)</f>
        <v>0.01</v>
      </c>
      <c r="J86">
        <f ca="1">(VLOOKUP(B86,Parameters!K77:L167,2))*(1-mda_efficacy)</f>
        <v>1.5000000000000013E-3</v>
      </c>
      <c r="L86">
        <f>VLOOKUP(B86,Parameters!N77:O167,2)</f>
        <v>0.26</v>
      </c>
      <c r="N86">
        <f>VLOOKUP(B86,Parameters!T77:U167,2)</f>
        <v>0.375</v>
      </c>
      <c r="P86">
        <f>VLOOKUP(B86,Parameters!T77:U167,2)</f>
        <v>0.375</v>
      </c>
      <c r="R86" s="78">
        <f>VLOOKUP(B86,Parameters!W77:X167,2)</f>
        <v>0.1</v>
      </c>
      <c r="S86" s="108"/>
      <c r="T86" s="102">
        <f t="shared" ca="1" si="34"/>
        <v>9.0493401603257705E-7</v>
      </c>
      <c r="V86" s="94">
        <f t="shared" ca="1" si="35"/>
        <v>4.7626866300940388E-9</v>
      </c>
      <c r="X86" s="34">
        <f t="shared" ca="1" si="36"/>
        <v>1.2991499599074674E-4</v>
      </c>
      <c r="Z86" s="94">
        <f t="shared" ca="1" si="37"/>
        <v>7.0864827409551306E-5</v>
      </c>
      <c r="AB86" s="94">
        <f t="shared" ca="1" si="38"/>
        <v>7.0864827409551306E-5</v>
      </c>
      <c r="AD86" s="110">
        <f t="shared" ca="1" si="39"/>
        <v>0.99985736064847852</v>
      </c>
      <c r="AE86" s="111"/>
      <c r="AF86" s="112">
        <f t="shared" ca="1" si="32"/>
        <v>1.0000000000000002</v>
      </c>
      <c r="AG86" s="108"/>
      <c r="AH86" s="131">
        <f>('Country details'!$C$52/('Country details'!$C$8*'Country details'!$C$6))*(1-(F86+H86))</f>
        <v>2.4684912387972338E-2</v>
      </c>
      <c r="AJ86" s="54">
        <f t="shared" ca="1" si="24"/>
        <v>3.9765073939213069</v>
      </c>
      <c r="AL86" s="138">
        <f t="shared" si="25"/>
        <v>0</v>
      </c>
      <c r="AO86" s="135">
        <f t="shared" ca="1" si="26"/>
        <v>16.286905446297325</v>
      </c>
      <c r="AP86" s="108"/>
      <c r="AQ86" s="31">
        <f t="shared" ca="1" si="27"/>
        <v>9.0235403472668963E-7</v>
      </c>
      <c r="AR86" s="31"/>
      <c r="AS86" s="31">
        <f t="shared" ca="1" si="33"/>
        <v>3.8101493040752313E-9</v>
      </c>
      <c r="AT86" s="31"/>
      <c r="AU86" s="31">
        <f t="shared" ca="1" si="28"/>
        <v>3.4771488594396078E-5</v>
      </c>
      <c r="AV86" s="31"/>
      <c r="AW86" s="31">
        <f t="shared" ca="1" si="29"/>
        <v>4.8216946197953589E-6</v>
      </c>
      <c r="AX86" s="31"/>
      <c r="AY86" s="31">
        <f t="shared" ca="1" si="30"/>
        <v>8.2001917070155976E-6</v>
      </c>
      <c r="AZ86" s="31"/>
      <c r="BA86" s="134">
        <f t="shared" ca="1" si="31"/>
        <v>5.6286915165737625E-6</v>
      </c>
    </row>
    <row r="87" spans="1:53">
      <c r="A87" s="78"/>
      <c r="B87">
        <v>89</v>
      </c>
      <c r="D87" s="78">
        <v>74</v>
      </c>
      <c r="E87" s="108"/>
      <c r="F87">
        <f>VLOOKUP(B87,Parameters!E78:F168,2)</f>
        <v>0.47620000000000001</v>
      </c>
      <c r="H87">
        <f>VLOOKUP(B87,Parameters!H78:I168,2)</f>
        <v>0.01</v>
      </c>
      <c r="J87">
        <f ca="1">(VLOOKUP(B87,Parameters!K78:L168,2))*(1-mda_efficacy)</f>
        <v>1.5000000000000013E-3</v>
      </c>
      <c r="L87">
        <f>VLOOKUP(B87,Parameters!N78:O168,2)</f>
        <v>0.26</v>
      </c>
      <c r="N87">
        <f>VLOOKUP(B87,Parameters!T78:U168,2)</f>
        <v>0.375</v>
      </c>
      <c r="P87">
        <f>VLOOKUP(B87,Parameters!T78:U168,2)</f>
        <v>0.375</v>
      </c>
      <c r="R87" s="78">
        <f>VLOOKUP(B87,Parameters!W78:X168,2)</f>
        <v>0.1</v>
      </c>
      <c r="S87" s="108"/>
      <c r="T87" s="102">
        <f t="shared" ca="1" si="34"/>
        <v>4.7264703657381499E-7</v>
      </c>
      <c r="V87" s="94">
        <f t="shared" ca="1" si="35"/>
        <v>2.5004458152714361E-9</v>
      </c>
      <c r="X87" s="34">
        <f t="shared" ca="1" si="36"/>
        <v>1.1692820352428348E-4</v>
      </c>
      <c r="Z87" s="94">
        <f t="shared" ca="1" si="37"/>
        <v>6.3780130676082466E-5</v>
      </c>
      <c r="AB87" s="94">
        <f t="shared" ca="1" si="38"/>
        <v>6.3780130676082466E-5</v>
      </c>
      <c r="AD87" s="110">
        <f t="shared" ca="1" si="39"/>
        <v>0.99987196459116578</v>
      </c>
      <c r="AE87" s="111"/>
      <c r="AF87" s="112">
        <f t="shared" ca="1" si="32"/>
        <v>1.0000000000000004</v>
      </c>
      <c r="AG87" s="108"/>
      <c r="AH87" s="131">
        <f>('Country details'!$C$52/('Country details'!$C$8*'Country details'!$C$6))*(1-(F87+H87))</f>
        <v>2.4684912387972338E-2</v>
      </c>
      <c r="AJ87" s="54">
        <f t="shared" ca="1" si="24"/>
        <v>3.9765073939213069</v>
      </c>
      <c r="AL87" s="138">
        <f t="shared" si="25"/>
        <v>0</v>
      </c>
      <c r="AO87" s="135">
        <f t="shared" ca="1" si="26"/>
        <v>15.812529559511969</v>
      </c>
      <c r="AP87" s="108"/>
      <c r="AQ87" s="31">
        <f t="shared" ca="1" si="27"/>
        <v>4.7129951233774996E-7</v>
      </c>
      <c r="AR87" s="31"/>
      <c r="AS87" s="31">
        <f t="shared" ca="1" si="33"/>
        <v>2.0003566522171489E-9</v>
      </c>
      <c r="AT87" s="31"/>
      <c r="AU87" s="31">
        <f t="shared" ca="1" si="28"/>
        <v>3.12955995895765E-5</v>
      </c>
      <c r="AV87" s="31"/>
      <c r="AW87" s="31">
        <f t="shared" ca="1" si="29"/>
        <v>4.3396466790697705E-6</v>
      </c>
      <c r="AX87" s="31"/>
      <c r="AY87" s="31">
        <f t="shared" ca="1" si="30"/>
        <v>7.3803792058892427E-6</v>
      </c>
      <c r="AZ87" s="31"/>
      <c r="BA87" s="134">
        <f t="shared" ca="1" si="31"/>
        <v>4.8800474833034752E-6</v>
      </c>
    </row>
    <row r="88" spans="1:53">
      <c r="A88" s="78"/>
      <c r="B88">
        <v>90</v>
      </c>
      <c r="D88" s="78">
        <v>75</v>
      </c>
      <c r="E88" s="108"/>
      <c r="F88">
        <f>VLOOKUP(B88,Parameters!E79:F169,2)</f>
        <v>0.47620000000000001</v>
      </c>
      <c r="H88">
        <f>VLOOKUP(B88,Parameters!H79:I169,2)</f>
        <v>0.01</v>
      </c>
      <c r="J88">
        <f ca="1">(VLOOKUP(B88,Parameters!K79:L169,2))*(1-mda_efficacy)</f>
        <v>1.5000000000000013E-3</v>
      </c>
      <c r="L88">
        <f>VLOOKUP(B88,Parameters!N79:O169,2)</f>
        <v>0.26</v>
      </c>
      <c r="N88">
        <f>VLOOKUP(B88,Parameters!T79:U169,2)</f>
        <v>0.375</v>
      </c>
      <c r="P88">
        <f>VLOOKUP(B88,Parameters!T79:U169,2)</f>
        <v>0.375</v>
      </c>
      <c r="R88" s="78">
        <f>VLOOKUP(B88,Parameters!W79:X169,2)</f>
        <v>0.1</v>
      </c>
      <c r="S88" s="108"/>
      <c r="T88" s="102">
        <f t="shared" ca="1" si="34"/>
        <v>2.4686354720250353E-7</v>
      </c>
      <c r="V88" s="94">
        <f t="shared" ca="1" si="35"/>
        <v>1.3090775505258675E-9</v>
      </c>
      <c r="X88" s="34">
        <f t="shared" ca="1" si="36"/>
        <v>1.0523786573144803E-4</v>
      </c>
      <c r="Z88" s="94">
        <f t="shared" ca="1" si="37"/>
        <v>5.7403055275654949E-5</v>
      </c>
      <c r="AB88" s="94">
        <f t="shared" ca="1" si="38"/>
        <v>5.7403055275654949E-5</v>
      </c>
      <c r="AD88" s="110">
        <f t="shared" ca="1" si="39"/>
        <v>0.99988494571682418</v>
      </c>
      <c r="AE88" s="111"/>
      <c r="AF88" s="112">
        <f t="shared" ca="1" si="32"/>
        <v>1.0000000000000002</v>
      </c>
      <c r="AG88" s="108"/>
      <c r="AH88" s="131">
        <f>('Country details'!$C$52/('Country details'!$C$8*'Country details'!$C$6))*(1-(F88+H88))</f>
        <v>2.4684912387972338E-2</v>
      </c>
      <c r="AJ88" s="54">
        <f t="shared" ca="1" si="24"/>
        <v>3.9765073939213069</v>
      </c>
      <c r="AL88" s="138">
        <f t="shared" si="25"/>
        <v>0</v>
      </c>
      <c r="AO88" s="135">
        <f t="shared" ca="1" si="26"/>
        <v>15.351970446128123</v>
      </c>
      <c r="AP88" s="108"/>
      <c r="AQ88" s="31">
        <f t="shared" ca="1" si="27"/>
        <v>2.461597352940068E-7</v>
      </c>
      <c r="AR88" s="31"/>
      <c r="AS88" s="31">
        <f t="shared" ca="1" si="33"/>
        <v>1.0472620404206941E-9</v>
      </c>
      <c r="AT88" s="31"/>
      <c r="AU88" s="31">
        <f t="shared" ca="1" si="28"/>
        <v>2.8166704082723945E-5</v>
      </c>
      <c r="AV88" s="31"/>
      <c r="AW88" s="31">
        <f t="shared" ca="1" si="29"/>
        <v>3.9057458107226839E-6</v>
      </c>
      <c r="AX88" s="31"/>
      <c r="AY88" s="31">
        <f t="shared" ca="1" si="30"/>
        <v>6.6424497883605878E-6</v>
      </c>
      <c r="AZ88" s="31"/>
      <c r="BA88" s="134">
        <f t="shared" ca="1" si="31"/>
        <v>4.2447349602656473E-6</v>
      </c>
    </row>
    <row r="89" spans="1:53">
      <c r="A89" s="78"/>
      <c r="B89">
        <v>91</v>
      </c>
      <c r="D89" s="78">
        <v>76</v>
      </c>
      <c r="E89" s="108"/>
      <c r="F89">
        <f>VLOOKUP(B89,Parameters!E80:F170,2)</f>
        <v>0.47620000000000001</v>
      </c>
      <c r="H89">
        <f>VLOOKUP(B89,Parameters!H80:I170,2)</f>
        <v>0.01</v>
      </c>
      <c r="J89">
        <f ca="1">(VLOOKUP(B89,Parameters!K80:L170,2))*(1-mda_efficacy)</f>
        <v>1.5000000000000013E-3</v>
      </c>
      <c r="L89">
        <f>VLOOKUP(B89,Parameters!N80:O170,2)</f>
        <v>0.26</v>
      </c>
      <c r="N89">
        <f>VLOOKUP(B89,Parameters!T80:U170,2)</f>
        <v>0.375</v>
      </c>
      <c r="P89">
        <f>VLOOKUP(B89,Parameters!T80:U170,2)</f>
        <v>0.375</v>
      </c>
      <c r="R89" s="78">
        <f>VLOOKUP(B89,Parameters!W80:X170,2)</f>
        <v>0.1</v>
      </c>
      <c r="S89" s="108"/>
      <c r="T89" s="102">
        <f t="shared" ca="1" si="34"/>
        <v>1.289368307038676E-7</v>
      </c>
      <c r="V89" s="94">
        <f t="shared" ca="1" si="35"/>
        <v>6.8447393292996384E-10</v>
      </c>
      <c r="X89" s="34">
        <f t="shared" ca="1" si="36"/>
        <v>9.4715381564993797E-5</v>
      </c>
      <c r="Z89" s="94">
        <f t="shared" ca="1" si="37"/>
        <v>5.1663240652170903E-5</v>
      </c>
      <c r="AB89" s="94">
        <f t="shared" ca="1" si="38"/>
        <v>5.1663240652170903E-5</v>
      </c>
      <c r="AD89" s="110">
        <f t="shared" ca="1" si="39"/>
        <v>0.99989654389739124</v>
      </c>
      <c r="AE89" s="111"/>
      <c r="AF89" s="112">
        <f t="shared" ca="1" si="32"/>
        <v>1.0000000000000002</v>
      </c>
      <c r="AG89" s="108"/>
      <c r="AH89" s="131">
        <f>('Country details'!$C$52/('Country details'!$C$8*'Country details'!$C$6))*(1-(F89+H89))</f>
        <v>2.4684912387972338E-2</v>
      </c>
      <c r="AJ89" s="54">
        <f t="shared" ca="1" si="24"/>
        <v>3.9765073939213069</v>
      </c>
      <c r="AL89" s="138">
        <f t="shared" si="25"/>
        <v>0</v>
      </c>
      <c r="AO89" s="135">
        <f t="shared" ca="1" si="26"/>
        <v>14.90482567585255</v>
      </c>
      <c r="AP89" s="108"/>
      <c r="AQ89" s="31">
        <f t="shared" ca="1" si="27"/>
        <v>1.2856922974405974E-7</v>
      </c>
      <c r="AR89" s="31"/>
      <c r="AS89" s="31">
        <f t="shared" ca="1" si="33"/>
        <v>5.4757914634397111E-10</v>
      </c>
      <c r="AT89" s="31"/>
      <c r="AU89" s="31">
        <f t="shared" ca="1" si="28"/>
        <v>2.5350382260994935E-5</v>
      </c>
      <c r="AV89" s="31"/>
      <c r="AW89" s="31">
        <f t="shared" ca="1" si="29"/>
        <v>3.5152046311226959E-6</v>
      </c>
      <c r="AX89" s="31"/>
      <c r="AY89" s="31">
        <f t="shared" ca="1" si="30"/>
        <v>5.9782616149627807E-6</v>
      </c>
      <c r="AZ89" s="31"/>
      <c r="BA89" s="134">
        <f t="shared" ca="1" si="31"/>
        <v>3.6991622426906077E-6</v>
      </c>
    </row>
    <row r="90" spans="1:53">
      <c r="A90" s="78"/>
      <c r="B90">
        <v>92</v>
      </c>
      <c r="D90" s="78">
        <v>77</v>
      </c>
      <c r="E90" s="108"/>
      <c r="F90">
        <f>VLOOKUP(B90,Parameters!E81:F171,2)</f>
        <v>0.47620000000000001</v>
      </c>
      <c r="H90">
        <f>VLOOKUP(B90,Parameters!H81:I171,2)</f>
        <v>0.01</v>
      </c>
      <c r="J90">
        <f ca="1">(VLOOKUP(B90,Parameters!K81:L171,2))*(1-mda_efficacy)</f>
        <v>1.5000000000000013E-3</v>
      </c>
      <c r="L90">
        <f>VLOOKUP(B90,Parameters!N81:O171,2)</f>
        <v>0.26</v>
      </c>
      <c r="N90">
        <f>VLOOKUP(B90,Parameters!T81:U171,2)</f>
        <v>0.375</v>
      </c>
      <c r="P90">
        <f>VLOOKUP(B90,Parameters!T81:U171,2)</f>
        <v>0.375</v>
      </c>
      <c r="R90" s="78">
        <f>VLOOKUP(B90,Parameters!W81:X171,2)</f>
        <v>0.1</v>
      </c>
      <c r="S90" s="108"/>
      <c r="T90" s="102">
        <f t="shared" ca="1" si="34"/>
        <v>6.7343706676630051E-8</v>
      </c>
      <c r="V90" s="94">
        <f t="shared" ca="1" si="35"/>
        <v>3.5767898995899288E-10</v>
      </c>
      <c r="X90" s="34">
        <f t="shared" ca="1" si="36"/>
        <v>8.524452503930454E-5</v>
      </c>
      <c r="Z90" s="94">
        <f t="shared" ca="1" si="37"/>
        <v>4.6497173264678665E-5</v>
      </c>
      <c r="AB90" s="94">
        <f t="shared" ca="1" si="38"/>
        <v>4.6497173264678665E-5</v>
      </c>
      <c r="AD90" s="110">
        <f t="shared" ca="1" si="39"/>
        <v>0.99990693795208518</v>
      </c>
      <c r="AE90" s="111"/>
      <c r="AF90" s="112">
        <f t="shared" ca="1" si="32"/>
        <v>1.0000000000000002</v>
      </c>
      <c r="AG90" s="108"/>
      <c r="AH90" s="131">
        <f>('Country details'!$C$52/('Country details'!$C$8*'Country details'!$C$6))*(1-(F90+H90))</f>
        <v>2.4684912387972338E-2</v>
      </c>
      <c r="AJ90" s="54">
        <f t="shared" ca="1" si="24"/>
        <v>3.9765073939213069</v>
      </c>
      <c r="AL90" s="138">
        <f t="shared" si="25"/>
        <v>0</v>
      </c>
      <c r="AO90" s="135">
        <f t="shared" ca="1" si="26"/>
        <v>14.47070453966267</v>
      </c>
      <c r="AP90" s="108"/>
      <c r="AQ90" s="31">
        <f t="shared" ca="1" si="27"/>
        <v>6.7151708695322402E-8</v>
      </c>
      <c r="AR90" s="31"/>
      <c r="AS90" s="31">
        <f t="shared" ca="1" si="33"/>
        <v>2.8614319196719432E-10</v>
      </c>
      <c r="AT90" s="31"/>
      <c r="AU90" s="31">
        <f t="shared" ca="1" si="28"/>
        <v>2.2815526472017187E-5</v>
      </c>
      <c r="AV90" s="31"/>
      <c r="AW90" s="31">
        <f t="shared" ca="1" si="29"/>
        <v>3.1637016325503142E-6</v>
      </c>
      <c r="AX90" s="31"/>
      <c r="AY90" s="31">
        <f t="shared" ca="1" si="30"/>
        <v>5.3804651551764712E-6</v>
      </c>
      <c r="AZ90" s="31"/>
      <c r="BA90" s="134">
        <f t="shared" ca="1" si="31"/>
        <v>3.2272932905476987E-6</v>
      </c>
    </row>
    <row r="91" spans="1:53">
      <c r="A91" s="78"/>
      <c r="B91">
        <v>93</v>
      </c>
      <c r="D91" s="78">
        <v>78</v>
      </c>
      <c r="E91" s="108"/>
      <c r="F91">
        <f>VLOOKUP(B91,Parameters!E82:F172,2)</f>
        <v>0.47620000000000001</v>
      </c>
      <c r="H91">
        <f>VLOOKUP(B91,Parameters!H82:I172,2)</f>
        <v>0.01</v>
      </c>
      <c r="J91">
        <f ca="1">(VLOOKUP(B91,Parameters!K82:L172,2))*(1-mda_efficacy)</f>
        <v>1.5000000000000013E-3</v>
      </c>
      <c r="L91">
        <f>VLOOKUP(B91,Parameters!N82:O172,2)</f>
        <v>0.26</v>
      </c>
      <c r="N91">
        <f>VLOOKUP(B91,Parameters!T82:U172,2)</f>
        <v>0.375</v>
      </c>
      <c r="P91">
        <f>VLOOKUP(B91,Parameters!T82:U172,2)</f>
        <v>0.375</v>
      </c>
      <c r="R91" s="78">
        <f>VLOOKUP(B91,Parameters!W82:X172,2)</f>
        <v>0.1</v>
      </c>
      <c r="S91" s="108"/>
      <c r="T91" s="102">
        <f t="shared" ca="1" si="34"/>
        <v>3.5173617997203877E-8</v>
      </c>
      <c r="V91" s="94">
        <f t="shared" ca="1" si="35"/>
        <v>1.8685851760510343E-10</v>
      </c>
      <c r="X91" s="34">
        <f t="shared" ca="1" si="36"/>
        <v>7.672042888325718E-5</v>
      </c>
      <c r="Z91" s="94">
        <f t="shared" ca="1" si="37"/>
        <v>4.1847590067832033E-5</v>
      </c>
      <c r="AB91" s="94">
        <f t="shared" ca="1" si="38"/>
        <v>4.1847590067832033E-5</v>
      </c>
      <c r="AD91" s="110">
        <f t="shared" ca="1" si="39"/>
        <v>0.99991626945938816</v>
      </c>
      <c r="AE91" s="111"/>
      <c r="AF91" s="112">
        <f t="shared" ca="1" si="32"/>
        <v>1.0000000000000004</v>
      </c>
      <c r="AG91" s="108"/>
      <c r="AH91" s="131">
        <f>('Country details'!$C$52/('Country details'!$C$8*'Country details'!$C$6))*(1-(F91+H91))</f>
        <v>2.4684912387972338E-2</v>
      </c>
      <c r="AJ91" s="54">
        <f t="shared" ca="1" si="24"/>
        <v>3.9765073939213069</v>
      </c>
      <c r="AL91" s="138">
        <f t="shared" si="25"/>
        <v>0</v>
      </c>
      <c r="AO91" s="135">
        <f t="shared" ca="1" si="26"/>
        <v>14.049227708410356</v>
      </c>
      <c r="AP91" s="108"/>
      <c r="AQ91" s="31">
        <f t="shared" ca="1" si="27"/>
        <v>3.5073337451566893E-8</v>
      </c>
      <c r="AR91" s="31"/>
      <c r="AS91" s="31">
        <f t="shared" ca="1" si="33"/>
        <v>1.4948681408408276E-10</v>
      </c>
      <c r="AT91" s="31"/>
      <c r="AU91" s="31">
        <f t="shared" ca="1" si="28"/>
        <v>2.053406920061299E-5</v>
      </c>
      <c r="AV91" s="31"/>
      <c r="AW91" s="31">
        <f t="shared" ca="1" si="29"/>
        <v>2.847340595572686E-6</v>
      </c>
      <c r="AX91" s="31"/>
      <c r="AY91" s="31">
        <f t="shared" ca="1" si="30"/>
        <v>4.8424341605970369E-6</v>
      </c>
      <c r="AZ91" s="31"/>
      <c r="BA91" s="134">
        <f t="shared" ca="1" si="31"/>
        <v>2.8174374869307877E-6</v>
      </c>
    </row>
    <row r="92" spans="1:53">
      <c r="A92" s="78"/>
      <c r="B92">
        <v>94</v>
      </c>
      <c r="D92" s="78">
        <v>79</v>
      </c>
      <c r="E92" s="108"/>
      <c r="F92">
        <f>VLOOKUP(B92,Parameters!E83:F173,2)</f>
        <v>0.47620000000000001</v>
      </c>
      <c r="H92">
        <f>VLOOKUP(B92,Parameters!H83:I173,2)</f>
        <v>0.01</v>
      </c>
      <c r="J92">
        <f ca="1">(VLOOKUP(B92,Parameters!K83:L173,2))*(1-mda_efficacy)</f>
        <v>1.5000000000000013E-3</v>
      </c>
      <c r="L92">
        <f>VLOOKUP(B92,Parameters!N83:O173,2)</f>
        <v>0.26</v>
      </c>
      <c r="N92">
        <f>VLOOKUP(B92,Parameters!T83:U173,2)</f>
        <v>0.375</v>
      </c>
      <c r="P92">
        <f>VLOOKUP(B92,Parameters!T83:U173,2)</f>
        <v>0.375</v>
      </c>
      <c r="R92" s="78">
        <f>VLOOKUP(B92,Parameters!W83:X173,2)</f>
        <v>0.1</v>
      </c>
      <c r="S92" s="108"/>
      <c r="T92" s="102">
        <f t="shared" ca="1" si="34"/>
        <v>1.8371180679939582E-8</v>
      </c>
      <c r="V92" s="94">
        <f t="shared" ca="1" si="35"/>
        <v>9.7606471221030658E-11</v>
      </c>
      <c r="X92" s="34">
        <f t="shared" ca="1" si="36"/>
        <v>6.9048572195137429E-5</v>
      </c>
      <c r="Z92" s="94">
        <f t="shared" ca="1" si="37"/>
        <v>3.7662901132992932E-5</v>
      </c>
      <c r="AB92" s="94">
        <f t="shared" ca="1" si="38"/>
        <v>3.7662901132992932E-5</v>
      </c>
      <c r="AD92" s="110">
        <f t="shared" ca="1" si="39"/>
        <v>0.99992465572894718</v>
      </c>
      <c r="AE92" s="111"/>
      <c r="AF92" s="112">
        <f t="shared" ca="1" si="32"/>
        <v>1.0000000000000002</v>
      </c>
      <c r="AG92" s="108"/>
      <c r="AH92" s="131">
        <f>('Country details'!$C$52/('Country details'!$C$8*'Country details'!$C$6))*(1-(F92+H92))</f>
        <v>2.4684912387972338E-2</v>
      </c>
      <c r="AJ92" s="54">
        <f t="shared" ca="1" si="24"/>
        <v>3.9765073939213069</v>
      </c>
      <c r="AL92" s="138">
        <f t="shared" si="25"/>
        <v>0</v>
      </c>
      <c r="AO92" s="135">
        <f t="shared" ca="1" si="26"/>
        <v>13.640026901369279</v>
      </c>
      <c r="AP92" s="108"/>
      <c r="AQ92" s="31">
        <f t="shared" ca="1" si="27"/>
        <v>1.8318804150953385E-8</v>
      </c>
      <c r="AR92" s="31"/>
      <c r="AS92" s="31">
        <f t="shared" ca="1" si="33"/>
        <v>7.8085176976824532E-11</v>
      </c>
      <c r="AT92" s="31"/>
      <c r="AU92" s="31">
        <f t="shared" ca="1" si="28"/>
        <v>1.8480712116664054E-5</v>
      </c>
      <c r="AV92" s="31"/>
      <c r="AW92" s="31">
        <f t="shared" ca="1" si="29"/>
        <v>2.5626113037616777E-6</v>
      </c>
      <c r="AX92" s="31"/>
      <c r="AY92" s="31">
        <f t="shared" ca="1" si="30"/>
        <v>4.3581988529797856E-6</v>
      </c>
      <c r="AZ92" s="31"/>
      <c r="BA92" s="134">
        <f t="shared" ca="1" si="31"/>
        <v>2.4605569053422522E-6</v>
      </c>
    </row>
    <row r="93" spans="1:53">
      <c r="A93" s="78"/>
      <c r="B93">
        <v>95</v>
      </c>
      <c r="D93" s="78">
        <v>80</v>
      </c>
      <c r="E93" s="108"/>
      <c r="F93">
        <f>VLOOKUP(B93,Parameters!E84:F174,2)</f>
        <v>0.47620000000000001</v>
      </c>
      <c r="H93">
        <f>VLOOKUP(B93,Parameters!H84:I174,2)</f>
        <v>0.01</v>
      </c>
      <c r="J93">
        <f ca="1">(VLOOKUP(B93,Parameters!K84:L174,2))*(1-mda_efficacy)</f>
        <v>1.5000000000000013E-3</v>
      </c>
      <c r="L93">
        <f>VLOOKUP(B93,Parameters!N84:O174,2)</f>
        <v>0.26</v>
      </c>
      <c r="N93">
        <f>VLOOKUP(B93,Parameters!T84:U174,2)</f>
        <v>0.375</v>
      </c>
      <c r="P93">
        <f>VLOOKUP(B93,Parameters!T84:U174,2)</f>
        <v>0.375</v>
      </c>
      <c r="R93" s="78">
        <f>VLOOKUP(B93,Parameters!W84:X174,2)</f>
        <v>0.1</v>
      </c>
      <c r="S93" s="108"/>
      <c r="T93" s="102">
        <f t="shared" ca="1" si="34"/>
        <v>9.5952676691324437E-9</v>
      </c>
      <c r="V93" s="94">
        <f t="shared" ca="1" si="35"/>
        <v>5.0982324112956759E-11</v>
      </c>
      <c r="X93" s="34">
        <f t="shared" ca="1" si="36"/>
        <v>6.2143812247120845E-5</v>
      </c>
      <c r="Z93" s="94">
        <f t="shared" ca="1" si="37"/>
        <v>3.3896647622120348E-5</v>
      </c>
      <c r="AB93" s="94">
        <f t="shared" ca="1" si="38"/>
        <v>3.3896647622120348E-5</v>
      </c>
      <c r="AD93" s="110">
        <f t="shared" ca="1" si="39"/>
        <v>0.99993219705850622</v>
      </c>
      <c r="AE93" s="111"/>
      <c r="AF93" s="112">
        <f t="shared" ca="1" si="32"/>
        <v>1.0000000000000004</v>
      </c>
      <c r="AG93" s="108"/>
      <c r="AH93" s="131">
        <f>('Country details'!$C$52/('Country details'!$C$8*'Country details'!$C$6))*(1-(F93+H93))</f>
        <v>2.4684912387972338E-2</v>
      </c>
      <c r="AJ93" s="54">
        <f t="shared" ca="1" si="24"/>
        <v>3.9765073939213069</v>
      </c>
      <c r="AL93" s="138">
        <f t="shared" si="25"/>
        <v>0</v>
      </c>
      <c r="AO93" s="135">
        <f t="shared" ca="1" si="26"/>
        <v>13.242744564436196</v>
      </c>
      <c r="AP93" s="108"/>
      <c r="AQ93" s="31">
        <f t="shared" ca="1" si="27"/>
        <v>9.5679114080429533E-9</v>
      </c>
      <c r="AR93" s="31"/>
      <c r="AS93" s="31">
        <f t="shared" ca="1" si="33"/>
        <v>4.0785859290365407E-11</v>
      </c>
      <c r="AT93" s="31"/>
      <c r="AU93" s="31">
        <f t="shared" ca="1" si="28"/>
        <v>1.6632666939519131E-5</v>
      </c>
      <c r="AV93" s="31"/>
      <c r="AW93" s="31">
        <f t="shared" ca="1" si="29"/>
        <v>2.3063526638413595E-6</v>
      </c>
      <c r="AX93" s="31"/>
      <c r="AY93" s="31">
        <f t="shared" ca="1" si="30"/>
        <v>3.9223832031668419E-6</v>
      </c>
      <c r="AZ93" s="31"/>
      <c r="BA93" s="134">
        <f t="shared" ca="1" si="31"/>
        <v>2.1493512580085645E-6</v>
      </c>
    </row>
    <row r="94" spans="1:53">
      <c r="A94" s="78"/>
      <c r="B94">
        <v>96</v>
      </c>
      <c r="D94" s="78">
        <v>81</v>
      </c>
      <c r="E94" s="108"/>
      <c r="F94">
        <f>VLOOKUP(B94,Parameters!E85:F175,2)</f>
        <v>0.47620000000000001</v>
      </c>
      <c r="H94">
        <f>VLOOKUP(B94,Parameters!H85:I175,2)</f>
        <v>0.01</v>
      </c>
      <c r="J94">
        <f ca="1">(VLOOKUP(B94,Parameters!K85:L175,2))*(1-mda_efficacy)</f>
        <v>1.5000000000000013E-3</v>
      </c>
      <c r="L94">
        <f>VLOOKUP(B94,Parameters!N85:O175,2)</f>
        <v>0.26</v>
      </c>
      <c r="N94">
        <f>VLOOKUP(B94,Parameters!T85:U175,2)</f>
        <v>0.375</v>
      </c>
      <c r="P94">
        <f>VLOOKUP(B94,Parameters!T85:U175,2)</f>
        <v>0.375</v>
      </c>
      <c r="R94" s="78">
        <f>VLOOKUP(B94,Parameters!W85:X175,2)</f>
        <v>0.1</v>
      </c>
      <c r="S94" s="108"/>
      <c r="T94" s="102">
        <f t="shared" ca="1" si="34"/>
        <v>5.0116083035878749E-9</v>
      </c>
      <c r="V94" s="94">
        <f t="shared" ca="1" si="35"/>
        <v>2.6628659290808299E-11</v>
      </c>
      <c r="X94" s="34">
        <f t="shared" ca="1" si="36"/>
        <v>5.592948183190284E-5</v>
      </c>
      <c r="Z94" s="94">
        <f t="shared" ca="1" si="37"/>
        <v>3.0507001978279859E-5</v>
      </c>
      <c r="AB94" s="94">
        <f t="shared" ca="1" si="38"/>
        <v>3.0507001978279859E-5</v>
      </c>
      <c r="AD94" s="110">
        <f t="shared" ca="1" si="39"/>
        <v>0.99993898095780687</v>
      </c>
      <c r="AE94" s="111"/>
      <c r="AF94" s="112">
        <f t="shared" ca="1" si="32"/>
        <v>1.0000000000000004</v>
      </c>
      <c r="AG94" s="108"/>
      <c r="AH94" s="131">
        <f>('Country details'!$C$52/('Country details'!$C$8*'Country details'!$C$6))*(1-(F94+H94))</f>
        <v>2.4684912387972338E-2</v>
      </c>
      <c r="AJ94" s="54">
        <f t="shared" ca="1" si="24"/>
        <v>3.9765073939213069</v>
      </c>
      <c r="AL94" s="138">
        <f t="shared" si="25"/>
        <v>0</v>
      </c>
      <c r="AO94" s="135">
        <f t="shared" ca="1" si="26"/>
        <v>12.857033557705043</v>
      </c>
      <c r="AP94" s="108"/>
      <c r="AQ94" s="31">
        <f t="shared" ca="1" si="27"/>
        <v>4.9973201284208343E-9</v>
      </c>
      <c r="AR94" s="31"/>
      <c r="AS94" s="31">
        <f t="shared" ca="1" si="33"/>
        <v>2.1302927432646641E-11</v>
      </c>
      <c r="AT94" s="31"/>
      <c r="AU94" s="31">
        <f t="shared" ca="1" si="28"/>
        <v>1.4969413844626591E-5</v>
      </c>
      <c r="AV94" s="31"/>
      <c r="AW94" s="31">
        <f t="shared" ca="1" si="29"/>
        <v>2.0757186982851881E-6</v>
      </c>
      <c r="AX94" s="31"/>
      <c r="AY94" s="31">
        <f t="shared" ca="1" si="30"/>
        <v>3.5301470951509211E-6</v>
      </c>
      <c r="AZ94" s="31"/>
      <c r="BA94" s="134">
        <f t="shared" ca="1" si="31"/>
        <v>1.8777443478261429E-6</v>
      </c>
    </row>
    <row r="95" spans="1:53">
      <c r="A95" s="78"/>
      <c r="B95">
        <v>97</v>
      </c>
      <c r="D95" s="78">
        <v>82</v>
      </c>
      <c r="E95" s="108"/>
      <c r="F95">
        <f>VLOOKUP(B95,Parameters!E86:F176,2)</f>
        <v>0.47620000000000001</v>
      </c>
      <c r="H95">
        <f>VLOOKUP(B95,Parameters!H86:I176,2)</f>
        <v>0.01</v>
      </c>
      <c r="J95">
        <f ca="1">(VLOOKUP(B95,Parameters!K86:L176,2))*(1-mda_efficacy)</f>
        <v>1.5000000000000013E-3</v>
      </c>
      <c r="L95">
        <f>VLOOKUP(B95,Parameters!N86:O176,2)</f>
        <v>0.26</v>
      </c>
      <c r="N95">
        <f>VLOOKUP(B95,Parameters!T86:U176,2)</f>
        <v>0.375</v>
      </c>
      <c r="P95">
        <f>VLOOKUP(B95,Parameters!T86:U176,2)</f>
        <v>0.375</v>
      </c>
      <c r="R95" s="78">
        <f>VLOOKUP(B95,Parameters!W86:X176,2)</f>
        <v>0.1</v>
      </c>
      <c r="S95" s="108"/>
      <c r="T95" s="102">
        <f t="shared" ca="1" si="34"/>
        <v>2.6175630169639473E-9</v>
      </c>
      <c r="V95" s="94">
        <f t="shared" ca="1" si="35"/>
        <v>1.3908290685175809E-11</v>
      </c>
      <c r="X95" s="34">
        <f t="shared" ca="1" si="36"/>
        <v>5.0336560187613182E-5</v>
      </c>
      <c r="Z95" s="94">
        <f t="shared" ca="1" si="37"/>
        <v>2.7456311766199109E-5</v>
      </c>
      <c r="AB95" s="94">
        <f t="shared" ca="1" si="38"/>
        <v>2.7456311766199109E-5</v>
      </c>
      <c r="AD95" s="110">
        <f t="shared" ca="1" si="39"/>
        <v>0.99994508474499655</v>
      </c>
      <c r="AE95" s="111"/>
      <c r="AF95" s="112">
        <f t="shared" ca="1" si="32"/>
        <v>1.0000000000000002</v>
      </c>
      <c r="AG95" s="108"/>
      <c r="AH95" s="131">
        <f>('Country details'!$C$52/('Country details'!$C$8*'Country details'!$C$6))*(1-(F95+H95))</f>
        <v>2.4684912387972338E-2</v>
      </c>
      <c r="AJ95" s="54">
        <f t="shared" ca="1" si="24"/>
        <v>3.9765073939213069</v>
      </c>
      <c r="AL95" s="138">
        <f t="shared" si="25"/>
        <v>0</v>
      </c>
      <c r="AO95" s="135">
        <f t="shared" ca="1" si="26"/>
        <v>12.482556852140817</v>
      </c>
      <c r="AP95" s="108"/>
      <c r="AQ95" s="31">
        <f t="shared" ca="1" si="27"/>
        <v>2.6101003030742019E-9</v>
      </c>
      <c r="AR95" s="31"/>
      <c r="AS95" s="31">
        <f t="shared" ca="1" si="33"/>
        <v>1.1126632548140648E-11</v>
      </c>
      <c r="AT95" s="31"/>
      <c r="AU95" s="31">
        <f t="shared" ca="1" si="28"/>
        <v>1.3472479563247555E-5</v>
      </c>
      <c r="AV95" s="31"/>
      <c r="AW95" s="31">
        <f t="shared" ca="1" si="29"/>
        <v>1.8681475078942055E-6</v>
      </c>
      <c r="AX95" s="31"/>
      <c r="AY95" s="31">
        <f t="shared" ca="1" si="30"/>
        <v>3.177133541146181E-6</v>
      </c>
      <c r="AZ95" s="31"/>
      <c r="BA95" s="134">
        <f t="shared" ca="1" si="31"/>
        <v>1.6405803691588556E-6</v>
      </c>
    </row>
    <row r="96" spans="1:53">
      <c r="A96" s="78"/>
      <c r="B96">
        <v>98</v>
      </c>
      <c r="D96" s="78">
        <v>83</v>
      </c>
      <c r="E96" s="108"/>
      <c r="F96">
        <f>VLOOKUP(B96,Parameters!E87:F177,2)</f>
        <v>0.47620000000000001</v>
      </c>
      <c r="H96">
        <f>VLOOKUP(B96,Parameters!H87:I177,2)</f>
        <v>0.01</v>
      </c>
      <c r="J96">
        <f ca="1">(VLOOKUP(B96,Parameters!K87:L177,2))*(1-mda_efficacy)</f>
        <v>1.5000000000000013E-3</v>
      </c>
      <c r="L96">
        <f>VLOOKUP(B96,Parameters!N87:O177,2)</f>
        <v>0.26</v>
      </c>
      <c r="N96">
        <f>VLOOKUP(B96,Parameters!T87:U177,2)</f>
        <v>0.375</v>
      </c>
      <c r="P96">
        <f>VLOOKUP(B96,Parameters!T87:U177,2)</f>
        <v>0.375</v>
      </c>
      <c r="R96" s="78">
        <f>VLOOKUP(B96,Parameters!W87:X177,2)</f>
        <v>0.1</v>
      </c>
      <c r="S96" s="108"/>
      <c r="T96" s="102">
        <f t="shared" ca="1" si="34"/>
        <v>1.3671531637602696E-9</v>
      </c>
      <c r="V96" s="94">
        <f t="shared" ca="1" si="35"/>
        <v>7.2643342898881198E-12</v>
      </c>
      <c r="X96" s="34">
        <f t="shared" ca="1" si="36"/>
        <v>4.5302918030384101E-5</v>
      </c>
      <c r="Z96" s="94">
        <f t="shared" ca="1" si="37"/>
        <v>2.4710685805188204E-5</v>
      </c>
      <c r="AB96" s="94">
        <f t="shared" ca="1" si="38"/>
        <v>2.4710685805188204E-5</v>
      </c>
      <c r="AD96" s="110">
        <f t="shared" ca="1" si="39"/>
        <v>0.99995057725397241</v>
      </c>
      <c r="AE96" s="111"/>
      <c r="AF96" s="112">
        <f t="shared" ca="1" si="32"/>
        <v>1.0000000000000002</v>
      </c>
      <c r="AG96" s="108"/>
      <c r="AH96" s="131">
        <f>('Country details'!$C$52/('Country details'!$C$8*'Country details'!$C$6))*(1-(F96+H96))</f>
        <v>2.4684912387972338E-2</v>
      </c>
      <c r="AJ96" s="54">
        <f t="shared" ca="1" si="24"/>
        <v>3.9765073939213069</v>
      </c>
      <c r="AL96" s="138">
        <f t="shared" si="25"/>
        <v>0</v>
      </c>
      <c r="AO96" s="135">
        <f t="shared" ca="1" si="26"/>
        <v>12.118987235088174</v>
      </c>
      <c r="AP96" s="108"/>
      <c r="AQ96" s="31">
        <f t="shared" ca="1" si="27"/>
        <v>1.3632553882956556E-9</v>
      </c>
      <c r="AR96" s="31"/>
      <c r="AS96" s="31">
        <f t="shared" ca="1" si="33"/>
        <v>5.8114674319104965E-12</v>
      </c>
      <c r="AT96" s="31"/>
      <c r="AU96" s="31">
        <f t="shared" ca="1" si="28"/>
        <v>1.2125235316934153E-5</v>
      </c>
      <c r="AV96" s="31"/>
      <c r="AW96" s="31">
        <f t="shared" ca="1" si="29"/>
        <v>1.6813331119786314E-6</v>
      </c>
      <c r="AX96" s="31"/>
      <c r="AY96" s="31">
        <f t="shared" ca="1" si="30"/>
        <v>2.8594207905607789E-6</v>
      </c>
      <c r="AZ96" s="31"/>
      <c r="BA96" s="134">
        <f t="shared" ca="1" si="31"/>
        <v>1.4334320833671006E-6</v>
      </c>
    </row>
    <row r="97" spans="1:53">
      <c r="A97" s="78"/>
      <c r="B97">
        <v>99</v>
      </c>
      <c r="D97" s="78">
        <v>84</v>
      </c>
      <c r="E97" s="108"/>
      <c r="F97">
        <f>VLOOKUP(B97,Parameters!E88:F178,2)</f>
        <v>0.47620000000000001</v>
      </c>
      <c r="H97">
        <f>VLOOKUP(B97,Parameters!H88:I178,2)</f>
        <v>0.01</v>
      </c>
      <c r="J97">
        <f ca="1">(VLOOKUP(B97,Parameters!K88:L178,2))*(1-mda_efficacy)</f>
        <v>1.5000000000000013E-3</v>
      </c>
      <c r="L97">
        <f>VLOOKUP(B97,Parameters!N88:O178,2)</f>
        <v>0.26</v>
      </c>
      <c r="N97">
        <f>VLOOKUP(B97,Parameters!T88:U178,2)</f>
        <v>0.375</v>
      </c>
      <c r="P97">
        <f>VLOOKUP(B97,Parameters!T88:U178,2)</f>
        <v>0.375</v>
      </c>
      <c r="R97" s="78">
        <f>VLOOKUP(B97,Parameters!W88:X178,2)</f>
        <v>0.1</v>
      </c>
      <c r="S97" s="108"/>
      <c r="T97" s="102">
        <f t="shared" ca="1" si="34"/>
        <v>7.1406409743198881E-10</v>
      </c>
      <c r="V97" s="94">
        <f t="shared" ca="1" si="35"/>
        <v>3.7941699752135545E-12</v>
      </c>
      <c r="X97" s="34">
        <f t="shared" ca="1" si="36"/>
        <v>4.077263346728745E-5</v>
      </c>
      <c r="Z97" s="94">
        <f t="shared" ca="1" si="37"/>
        <v>2.2239619948794742E-5</v>
      </c>
      <c r="AB97" s="94">
        <f t="shared" ca="1" si="38"/>
        <v>2.2239619948794742E-5</v>
      </c>
      <c r="AD97" s="110">
        <f t="shared" ca="1" si="39"/>
        <v>0.99995552004224442</v>
      </c>
      <c r="AE97" s="111"/>
      <c r="AF97" s="112">
        <f t="shared" ca="1" si="32"/>
        <v>1.0000000000000002</v>
      </c>
      <c r="AG97" s="108"/>
      <c r="AH97" s="131">
        <f>('Country details'!$C$52/('Country details'!$C$8*'Country details'!$C$6))*(1-(F97+H97))</f>
        <v>2.4684912387972338E-2</v>
      </c>
      <c r="AJ97" s="54">
        <f t="shared" ca="1" si="24"/>
        <v>3.9765073939213069</v>
      </c>
      <c r="AL97" s="138">
        <f t="shared" si="25"/>
        <v>0</v>
      </c>
      <c r="AO97" s="135">
        <f t="shared" ca="1" si="26"/>
        <v>11.766007024357449</v>
      </c>
      <c r="AP97" s="108"/>
      <c r="AQ97" s="31">
        <f t="shared" ca="1" si="27"/>
        <v>7.1202828930682089E-10</v>
      </c>
      <c r="AR97" s="31"/>
      <c r="AS97" s="31">
        <f t="shared" ca="1" si="33"/>
        <v>3.0353359801708437E-12</v>
      </c>
      <c r="AT97" s="31"/>
      <c r="AU97" s="31">
        <f t="shared" ca="1" si="28"/>
        <v>1.0912713722996655E-5</v>
      </c>
      <c r="AV97" s="31"/>
      <c r="AW97" s="31">
        <f t="shared" ca="1" si="29"/>
        <v>1.5131999861322474E-6</v>
      </c>
      <c r="AX97" s="31"/>
      <c r="AY97" s="31">
        <f t="shared" ca="1" si="30"/>
        <v>2.5734790267294884E-6</v>
      </c>
      <c r="AZ97" s="31"/>
      <c r="BA97" s="134">
        <f t="shared" ca="1" si="31"/>
        <v>1.2524704982635818E-6</v>
      </c>
    </row>
    <row r="98" spans="1:53">
      <c r="A98" s="78"/>
      <c r="B98">
        <v>100</v>
      </c>
      <c r="D98" s="78">
        <v>85</v>
      </c>
      <c r="E98" s="108"/>
      <c r="F98">
        <f>VLOOKUP(B98,Parameters!E89:F179,2)</f>
        <v>0.47620000000000001</v>
      </c>
      <c r="H98">
        <f>VLOOKUP(B98,Parameters!H89:I179,2)</f>
        <v>0.01</v>
      </c>
      <c r="J98">
        <f ca="1">(VLOOKUP(B98,Parameters!K89:L179,2))*(1-mda_efficacy)</f>
        <v>1.5000000000000013E-3</v>
      </c>
      <c r="L98">
        <f>VLOOKUP(B98,Parameters!N89:O179,2)</f>
        <v>0.26</v>
      </c>
      <c r="N98">
        <f>VLOOKUP(B98,Parameters!T89:U179,2)</f>
        <v>0.375</v>
      </c>
      <c r="P98">
        <f>VLOOKUP(B98,Parameters!T89:U179,2)</f>
        <v>0.375</v>
      </c>
      <c r="R98" s="78">
        <f>VLOOKUP(B98,Parameters!W89:X179,2)</f>
        <v>0.1</v>
      </c>
      <c r="S98" s="108"/>
      <c r="T98" s="102">
        <f t="shared" ca="1" si="34"/>
        <v>3.7295567808872776E-10</v>
      </c>
      <c r="V98" s="94">
        <f t="shared" ca="1" si="35"/>
        <v>1.9816969401992375E-12</v>
      </c>
      <c r="X98" s="34">
        <f t="shared" ca="1" si="36"/>
        <v>3.669537390199552E-5</v>
      </c>
      <c r="Z98" s="94">
        <f t="shared" ca="1" si="37"/>
        <v>2.001565937672901E-5</v>
      </c>
      <c r="AB98" s="94">
        <f t="shared" ca="1" si="38"/>
        <v>2.001565937672901E-5</v>
      </c>
      <c r="AD98" s="110">
        <f t="shared" ca="1" si="39"/>
        <v>0.99995996830630951</v>
      </c>
      <c r="AE98" s="111"/>
      <c r="AF98" s="112">
        <f t="shared" ca="1" si="32"/>
        <v>1.0000000000000004</v>
      </c>
      <c r="AG98" s="108"/>
      <c r="AH98" s="131">
        <f>('Country details'!$C$52/('Country details'!$C$8*'Country details'!$C$6))*(1-(F98+H98))</f>
        <v>2.4684912387972338E-2</v>
      </c>
      <c r="AJ98" s="54">
        <f t="shared" ca="1" si="24"/>
        <v>3.9765073939213069</v>
      </c>
      <c r="AL98" s="138">
        <f t="shared" si="25"/>
        <v>0</v>
      </c>
      <c r="AO98" s="135">
        <f t="shared" ca="1" si="26"/>
        <v>11.423307790638303</v>
      </c>
      <c r="AP98" s="108"/>
      <c r="AQ98" s="31">
        <f t="shared" ca="1" si="27"/>
        <v>3.7189237550495259E-10</v>
      </c>
      <c r="AR98" s="31"/>
      <c r="AS98" s="31">
        <f t="shared" ca="1" si="33"/>
        <v>1.5853575521593901E-12</v>
      </c>
      <c r="AT98" s="31"/>
      <c r="AU98" s="31">
        <f t="shared" ca="1" si="28"/>
        <v>9.8214433627909823E-6</v>
      </c>
      <c r="AV98" s="31"/>
      <c r="AW98" s="31">
        <f t="shared" ca="1" si="29"/>
        <v>1.3618800843283089E-6</v>
      </c>
      <c r="AX98" s="31"/>
      <c r="AY98" s="31">
        <f t="shared" ca="1" si="30"/>
        <v>2.3161312886988011E-6</v>
      </c>
      <c r="AZ98" s="31"/>
      <c r="BA98" s="134">
        <f t="shared" ca="1" si="31"/>
        <v>1.0943699066286706E-6</v>
      </c>
    </row>
    <row r="99" spans="1:53">
      <c r="A99" s="78"/>
      <c r="B99">
        <v>101</v>
      </c>
      <c r="D99" s="78">
        <v>86</v>
      </c>
      <c r="E99" s="108"/>
      <c r="F99">
        <f>VLOOKUP(B99,Parameters!E90:F180,2)</f>
        <v>0.47620000000000001</v>
      </c>
      <c r="H99">
        <f>VLOOKUP(B99,Parameters!H90:I180,2)</f>
        <v>0.01</v>
      </c>
      <c r="J99">
        <f ca="1">(VLOOKUP(B99,Parameters!K90:L180,2))*(1-mda_efficacy)</f>
        <v>1.5000000000000013E-3</v>
      </c>
      <c r="L99">
        <f>VLOOKUP(B99,Parameters!N90:O180,2)</f>
        <v>0.26</v>
      </c>
      <c r="N99">
        <f>VLOOKUP(B99,Parameters!T90:U180,2)</f>
        <v>0.375</v>
      </c>
      <c r="P99">
        <f>VLOOKUP(B99,Parameters!T90:U180,2)</f>
        <v>0.375</v>
      </c>
      <c r="R99" s="78">
        <f>VLOOKUP(B99,Parameters!W90:X180,2)</f>
        <v>0.1</v>
      </c>
      <c r="S99" s="108"/>
      <c r="T99" s="102">
        <f t="shared" ca="1" si="34"/>
        <v>1.9479475066574248E-10</v>
      </c>
      <c r="V99" s="94">
        <f t="shared" ca="1" si="35"/>
        <v>1.0350407827809092E-12</v>
      </c>
      <c r="X99" s="34">
        <f t="shared" ca="1" si="36"/>
        <v>3.3025838486844067E-5</v>
      </c>
      <c r="Z99" s="94">
        <f t="shared" ca="1" si="37"/>
        <v>1.8014094182192461E-5</v>
      </c>
      <c r="AB99" s="94">
        <f t="shared" ca="1" si="38"/>
        <v>1.8014094182192461E-5</v>
      </c>
      <c r="AD99" s="110">
        <f t="shared" ca="1" si="39"/>
        <v>0.99996397161580608</v>
      </c>
      <c r="AE99" s="111"/>
      <c r="AF99" s="112">
        <f t="shared" ca="1" si="32"/>
        <v>1.0000000000000002</v>
      </c>
      <c r="AG99" s="108"/>
      <c r="AH99" s="131">
        <f>('Country details'!$C$52/('Country details'!$C$8*'Country details'!$C$6))*(1-(F99+H99))</f>
        <v>2.4684912387972338E-2</v>
      </c>
      <c r="AJ99" s="54">
        <f t="shared" ca="1" si="24"/>
        <v>3.9765073939213069</v>
      </c>
      <c r="AL99" s="138">
        <f t="shared" si="25"/>
        <v>0</v>
      </c>
      <c r="AO99" s="135">
        <f t="shared" ca="1" si="26"/>
        <v>11.090590087998352</v>
      </c>
      <c r="AP99" s="108"/>
      <c r="AQ99" s="31">
        <f t="shared" ca="1" si="27"/>
        <v>1.9423938772623669E-10</v>
      </c>
      <c r="AR99" s="31"/>
      <c r="AS99" s="31">
        <f t="shared" ca="1" si="33"/>
        <v>8.2803262622472739E-13</v>
      </c>
      <c r="AT99" s="31"/>
      <c r="AU99" s="31">
        <f t="shared" ca="1" si="28"/>
        <v>8.8392995551295549E-6</v>
      </c>
      <c r="AV99" s="31"/>
      <c r="AW99" s="31">
        <f t="shared" ca="1" si="29"/>
        <v>1.2256921264590184E-6</v>
      </c>
      <c r="AX99" s="31"/>
      <c r="AY99" s="31">
        <f t="shared" ca="1" si="30"/>
        <v>2.0845182458216594E-6</v>
      </c>
      <c r="AZ99" s="31"/>
      <c r="BA99" s="134">
        <f t="shared" ca="1" si="31"/>
        <v>9.5623449959952986E-7</v>
      </c>
    </row>
    <row r="100" spans="1:53">
      <c r="A100" s="78"/>
      <c r="B100">
        <v>102</v>
      </c>
      <c r="D100" s="78">
        <v>87</v>
      </c>
      <c r="E100" s="108"/>
      <c r="F100">
        <f>VLOOKUP(B100,Parameters!E91:F181,2)</f>
        <v>0.47620000000000001</v>
      </c>
      <c r="H100">
        <f>VLOOKUP(B100,Parameters!H91:I181,2)</f>
        <v>0.01</v>
      </c>
      <c r="J100">
        <f ca="1">(VLOOKUP(B100,Parameters!K91:L181,2))*(1-mda_efficacy)</f>
        <v>1.5000000000000013E-3</v>
      </c>
      <c r="L100">
        <f>VLOOKUP(B100,Parameters!N91:O181,2)</f>
        <v>0.26</v>
      </c>
      <c r="N100">
        <f>VLOOKUP(B100,Parameters!T91:U181,2)</f>
        <v>0.375</v>
      </c>
      <c r="P100">
        <f>VLOOKUP(B100,Parameters!T91:U181,2)</f>
        <v>0.375</v>
      </c>
      <c r="R100" s="78">
        <f>VLOOKUP(B100,Parameters!W91:X181,2)</f>
        <v>0.1</v>
      </c>
      <c r="S100" s="108"/>
      <c r="T100" s="102">
        <f t="shared" ca="1" si="34"/>
        <v>1.017412982727173E-10</v>
      </c>
      <c r="V100" s="94">
        <f t="shared" ca="1" si="35"/>
        <v>5.4060191386603227E-13</v>
      </c>
      <c r="X100" s="34">
        <f t="shared" ca="1" si="36"/>
        <v>2.9723255669728163E-5</v>
      </c>
      <c r="Z100" s="94">
        <f t="shared" ca="1" si="37"/>
        <v>1.6212685152113511E-5</v>
      </c>
      <c r="AB100" s="94">
        <f t="shared" ca="1" si="38"/>
        <v>1.6212685152113511E-5</v>
      </c>
      <c r="AD100" s="110">
        <f t="shared" ca="1" si="39"/>
        <v>0.99996757452741403</v>
      </c>
      <c r="AE100" s="111"/>
      <c r="AF100" s="112">
        <f t="shared" ca="1" si="32"/>
        <v>1.0000000000000002</v>
      </c>
      <c r="AG100" s="108"/>
      <c r="AH100" s="131">
        <f>('Country details'!$C$52/('Country details'!$C$8*'Country details'!$C$6))*(1-(F100+H100))</f>
        <v>2.4684912387972338E-2</v>
      </c>
      <c r="AJ100" s="54">
        <f t="shared" ca="1" si="24"/>
        <v>3.9765073939213069</v>
      </c>
      <c r="AL100" s="138">
        <f t="shared" si="25"/>
        <v>0</v>
      </c>
      <c r="AO100" s="135">
        <f t="shared" ca="1" si="26"/>
        <v>10.767563192231409</v>
      </c>
      <c r="AP100" s="108"/>
      <c r="AQ100" s="31">
        <f t="shared" ca="1" si="27"/>
        <v>1.0145123220941343E-10</v>
      </c>
      <c r="AR100" s="31"/>
      <c r="AS100" s="31">
        <f t="shared" ca="1" si="33"/>
        <v>4.3248153109282586E-13</v>
      </c>
      <c r="AT100" s="31"/>
      <c r="AU100" s="31">
        <f t="shared" ca="1" si="28"/>
        <v>7.955369875713844E-6</v>
      </c>
      <c r="AV100" s="31"/>
      <c r="AW100" s="31">
        <f t="shared" ca="1" si="29"/>
        <v>1.1031229402224657E-6</v>
      </c>
      <c r="AX100" s="31"/>
      <c r="AY100" s="31">
        <f t="shared" ca="1" si="30"/>
        <v>1.8760664661535214E-6</v>
      </c>
      <c r="AZ100" s="31"/>
      <c r="BA100" s="134">
        <f t="shared" ca="1" si="31"/>
        <v>8.3553910513232705E-7</v>
      </c>
    </row>
    <row r="101" spans="1:53">
      <c r="A101" s="78"/>
      <c r="B101">
        <v>103</v>
      </c>
      <c r="D101" s="78">
        <v>88</v>
      </c>
      <c r="E101" s="108"/>
      <c r="F101">
        <f>VLOOKUP(B101,Parameters!E92:F182,2)</f>
        <v>0.47620000000000001</v>
      </c>
      <c r="H101">
        <f>VLOOKUP(B101,Parameters!H92:I182,2)</f>
        <v>0.01</v>
      </c>
      <c r="J101">
        <f ca="1">(VLOOKUP(B101,Parameters!K92:L182,2))*(1-mda_efficacy)</f>
        <v>1.5000000000000013E-3</v>
      </c>
      <c r="L101">
        <f>VLOOKUP(B101,Parameters!N92:O182,2)</f>
        <v>0.26</v>
      </c>
      <c r="N101">
        <f>VLOOKUP(B101,Parameters!T92:U182,2)</f>
        <v>0.375</v>
      </c>
      <c r="P101">
        <f>VLOOKUP(B101,Parameters!T92:U182,2)</f>
        <v>0.375</v>
      </c>
      <c r="R101" s="78">
        <f>VLOOKUP(B101,Parameters!W92:X182,2)</f>
        <v>0.1</v>
      </c>
      <c r="S101" s="108"/>
      <c r="T101" s="102">
        <f t="shared" ca="1" si="34"/>
        <v>5.3139480087840248E-11</v>
      </c>
      <c r="V101" s="94">
        <f t="shared" ca="1" si="35"/>
        <v>2.8235640673692384E-13</v>
      </c>
      <c r="X101" s="34">
        <f t="shared" ca="1" si="36"/>
        <v>2.6750930641543791E-5</v>
      </c>
      <c r="Z101" s="94">
        <f t="shared" ca="1" si="37"/>
        <v>1.4591416839627878E-5</v>
      </c>
      <c r="AB101" s="94">
        <f t="shared" ca="1" si="38"/>
        <v>1.4591416839627878E-5</v>
      </c>
      <c r="AD101" s="110">
        <f t="shared" ca="1" si="39"/>
        <v>0.99997081711289915</v>
      </c>
      <c r="AE101" s="111"/>
      <c r="AF101" s="112">
        <f t="shared" ca="1" si="32"/>
        <v>1.0000000000000002</v>
      </c>
      <c r="AG101" s="108"/>
      <c r="AH101" s="131">
        <f>('Country details'!$C$52/('Country details'!$C$8*'Country details'!$C$6))*(1-(F101+H101))</f>
        <v>2.4684912387972338E-2</v>
      </c>
      <c r="AJ101" s="54">
        <f t="shared" ca="1" si="24"/>
        <v>3.9765073939213069</v>
      </c>
      <c r="AL101" s="138">
        <f t="shared" si="25"/>
        <v>0</v>
      </c>
      <c r="AO101" s="135">
        <f t="shared" ca="1" si="26"/>
        <v>10.453944846826612</v>
      </c>
      <c r="AP101" s="108"/>
      <c r="AQ101" s="31">
        <f t="shared" ca="1" si="27"/>
        <v>5.2987978582976635E-11</v>
      </c>
      <c r="AR101" s="31"/>
      <c r="AS101" s="31">
        <f t="shared" ca="1" si="33"/>
        <v>2.2588512538953908E-13</v>
      </c>
      <c r="AT101" s="31"/>
      <c r="AU101" s="31">
        <f t="shared" ca="1" si="28"/>
        <v>7.1598330323481077E-6</v>
      </c>
      <c r="AV101" s="31"/>
      <c r="AW101" s="31">
        <f t="shared" ca="1" si="29"/>
        <v>9.928106599938251E-7</v>
      </c>
      <c r="AX101" s="31"/>
      <c r="AY101" s="31">
        <f t="shared" ca="1" si="30"/>
        <v>1.6884598429967708E-6</v>
      </c>
      <c r="AZ101" s="31"/>
      <c r="BA101" s="134">
        <f t="shared" ca="1" si="31"/>
        <v>7.3007987188222245E-7</v>
      </c>
    </row>
    <row r="102" spans="1:53">
      <c r="A102" s="78"/>
      <c r="B102">
        <v>104</v>
      </c>
      <c r="D102" s="78">
        <v>89</v>
      </c>
      <c r="E102" s="108"/>
      <c r="F102">
        <f>VLOOKUP(B102,Parameters!E93:F183,2)</f>
        <v>0.47620000000000001</v>
      </c>
      <c r="H102">
        <f>VLOOKUP(B102,Parameters!H93:I183,2)</f>
        <v>0.01</v>
      </c>
      <c r="J102">
        <f ca="1">(VLOOKUP(B102,Parameters!K93:L183,2))*(1-mda_efficacy)</f>
        <v>1.5000000000000013E-3</v>
      </c>
      <c r="L102">
        <f>VLOOKUP(B102,Parameters!N93:O183,2)</f>
        <v>0.26</v>
      </c>
      <c r="N102">
        <f>VLOOKUP(B102,Parameters!T93:U183,2)</f>
        <v>0.375</v>
      </c>
      <c r="P102">
        <f>VLOOKUP(B102,Parameters!T93:U183,2)</f>
        <v>0.375</v>
      </c>
      <c r="R102" s="78">
        <f>VLOOKUP(B102,Parameters!W93:X183,2)</f>
        <v>0.1</v>
      </c>
      <c r="S102" s="108"/>
      <c r="T102" s="102">
        <f t="shared" ca="1" si="34"/>
        <v>2.7754750449878959E-11</v>
      </c>
      <c r="V102" s="94">
        <f t="shared" ca="1" si="35"/>
        <v>1.4747475774862216E-13</v>
      </c>
      <c r="X102" s="34">
        <f t="shared" ca="1" si="36"/>
        <v>2.4075837858798664E-5</v>
      </c>
      <c r="Z102" s="94">
        <f t="shared" ca="1" si="37"/>
        <v>1.3132275261548742E-5</v>
      </c>
      <c r="AB102" s="94">
        <f t="shared" ca="1" si="38"/>
        <v>1.3132275261548742E-5</v>
      </c>
      <c r="AD102" s="110">
        <f t="shared" ca="1" si="39"/>
        <v>0.99997373542157475</v>
      </c>
      <c r="AE102" s="111"/>
      <c r="AF102" s="112">
        <f t="shared" ca="1" si="32"/>
        <v>1</v>
      </c>
      <c r="AG102" s="108"/>
      <c r="AH102" s="131">
        <f>('Country details'!$C$52/('Country details'!$C$8*'Country details'!$C$6))*(1-(F102+H102))</f>
        <v>2.4684912387972338E-2</v>
      </c>
      <c r="AJ102" s="54">
        <f t="shared" ca="1" si="24"/>
        <v>3.9765073939213069</v>
      </c>
      <c r="AL102" s="138">
        <f t="shared" si="25"/>
        <v>0</v>
      </c>
      <c r="AO102" s="135">
        <f t="shared" ca="1" si="26"/>
        <v>10.149461016336517</v>
      </c>
      <c r="AP102" s="108"/>
      <c r="AQ102" s="31">
        <f t="shared" ca="1" si="27"/>
        <v>2.7675621213888696E-11</v>
      </c>
      <c r="AR102" s="31"/>
      <c r="AS102" s="31">
        <f t="shared" ca="1" si="33"/>
        <v>1.1797980619889772E-13</v>
      </c>
      <c r="AT102" s="31"/>
      <c r="AU102" s="31">
        <f t="shared" ca="1" si="28"/>
        <v>6.4438498044319197E-6</v>
      </c>
      <c r="AV102" s="31"/>
      <c r="AW102" s="31">
        <f t="shared" ca="1" si="29"/>
        <v>8.9352960119884365E-7</v>
      </c>
      <c r="AX102" s="31"/>
      <c r="AY102" s="31">
        <f t="shared" ca="1" si="30"/>
        <v>1.5196138709495224E-6</v>
      </c>
      <c r="AZ102" s="31"/>
      <c r="BA102" s="134">
        <f t="shared" ca="1" si="31"/>
        <v>6.3793242782719815E-7</v>
      </c>
    </row>
    <row r="103" spans="1:53" ht="15" thickBot="1">
      <c r="A103" s="78"/>
      <c r="B103">
        <v>105</v>
      </c>
      <c r="D103" s="78">
        <v>90</v>
      </c>
      <c r="E103" s="108"/>
      <c r="F103">
        <f>VLOOKUP(B103,Parameters!E94:F184,2)</f>
        <v>0.47620000000000001</v>
      </c>
      <c r="H103">
        <f>VLOOKUP(B103,Parameters!H94:I184,2)</f>
        <v>0.01</v>
      </c>
      <c r="J103">
        <f ca="1">(VLOOKUP(B103,Parameters!K94:L184,2))*(1-mda_efficacy)</f>
        <v>1.5000000000000013E-3</v>
      </c>
      <c r="L103">
        <f>VLOOKUP(B103,Parameters!N94:O184,2)</f>
        <v>0.26</v>
      </c>
      <c r="N103">
        <f>VLOOKUP(B103,Parameters!T94:U184,2)</f>
        <v>0.375</v>
      </c>
      <c r="P103">
        <f>VLOOKUP(B103,Parameters!T94:U184,2)</f>
        <v>0.375</v>
      </c>
      <c r="R103" s="78">
        <f>VLOOKUP(B103,Parameters!W94:X184,2)</f>
        <v>0.1</v>
      </c>
      <c r="S103" s="108"/>
      <c r="T103" s="102">
        <f t="shared" ca="1" si="34"/>
        <v>1.449630615997178E-11</v>
      </c>
      <c r="V103" s="94">
        <f t="shared" ca="1" si="35"/>
        <v>7.7026067534487805E-14</v>
      </c>
      <c r="X103" s="34">
        <f t="shared" ca="1" si="36"/>
        <v>2.1668254219898858E-5</v>
      </c>
      <c r="Z103" s="94">
        <f t="shared" ca="1" si="37"/>
        <v>1.1819047790696901E-5</v>
      </c>
      <c r="AB103" s="94">
        <f t="shared" ca="1" si="38"/>
        <v>1.1819047790696901E-5</v>
      </c>
      <c r="AD103" s="110">
        <f t="shared" ca="1" si="39"/>
        <v>0.99997636188984529</v>
      </c>
      <c r="AE103" s="111"/>
      <c r="AF103" s="112">
        <f t="shared" ca="1" si="32"/>
        <v>1</v>
      </c>
      <c r="AG103" s="115"/>
      <c r="AH103" s="131">
        <f>('Country details'!$C$52/('Country details'!$C$8*'Country details'!$C$6))*(1-(F103+H103))</f>
        <v>2.4684912387972338E-2</v>
      </c>
      <c r="AJ103" s="54">
        <f t="shared" ca="1" si="24"/>
        <v>3.9765073939213069</v>
      </c>
      <c r="AL103" s="138">
        <f t="shared" si="25"/>
        <v>0</v>
      </c>
      <c r="AO103" s="135">
        <f t="shared" ca="1" si="26"/>
        <v>9.8538456469286544</v>
      </c>
      <c r="AP103" s="108"/>
      <c r="AQ103" s="31">
        <f t="shared" ca="1" si="27"/>
        <v>1.4454976960014066E-11</v>
      </c>
      <c r="AR103" s="31"/>
      <c r="AS103" s="31">
        <f t="shared" ca="1" si="33"/>
        <v>6.1620854027590244E-14</v>
      </c>
      <c r="AT103" s="31"/>
      <c r="AU103" s="31">
        <f t="shared" ca="1" si="28"/>
        <v>5.799464863327647E-6</v>
      </c>
      <c r="AV103" s="31"/>
      <c r="AW103" s="31">
        <f t="shared" ca="1" si="29"/>
        <v>8.0417664484181802E-7</v>
      </c>
      <c r="AX103" s="31"/>
      <c r="AY103" s="31">
        <f t="shared" ca="1" si="30"/>
        <v>1.3676524902540138E-6</v>
      </c>
      <c r="AZ103" s="31"/>
      <c r="BA103" s="134">
        <f t="shared" ca="1" si="31"/>
        <v>5.574159538937753E-7</v>
      </c>
    </row>
    <row r="104" spans="1:53">
      <c r="AL104" s="54"/>
    </row>
    <row r="105" spans="1:53">
      <c r="AL105" s="54"/>
    </row>
    <row r="106" spans="1:53">
      <c r="AL106" s="54"/>
    </row>
    <row r="107" spans="1:53">
      <c r="AL107" s="54"/>
    </row>
    <row r="108" spans="1:53">
      <c r="AL108" s="54"/>
    </row>
    <row r="109" spans="1:53">
      <c r="AL109" s="54"/>
    </row>
    <row r="110" spans="1:53">
      <c r="AL110" s="54"/>
    </row>
    <row r="111" spans="1:53">
      <c r="AL111" s="54"/>
    </row>
    <row r="112" spans="1:53">
      <c r="AL112" s="54"/>
    </row>
    <row r="113" spans="38:38">
      <c r="AL113" s="54"/>
    </row>
    <row r="114" spans="38:38">
      <c r="AL114" s="54"/>
    </row>
    <row r="115" spans="38:38">
      <c r="AL115" s="54"/>
    </row>
    <row r="116" spans="38:38">
      <c r="AL116" s="54"/>
    </row>
    <row r="117" spans="38:38">
      <c r="AL117" s="54"/>
    </row>
    <row r="118" spans="38:38">
      <c r="AL118" s="54"/>
    </row>
    <row r="119" spans="38:38">
      <c r="AL119" s="54"/>
    </row>
    <row r="120" spans="38:38">
      <c r="AL120" s="54"/>
    </row>
    <row r="121" spans="38:38">
      <c r="AL121" s="54"/>
    </row>
    <row r="122" spans="38:38">
      <c r="AL122" s="54"/>
    </row>
    <row r="123" spans="38:38">
      <c r="AL123" s="54"/>
    </row>
    <row r="124" spans="38:38">
      <c r="AL124" s="54"/>
    </row>
    <row r="125" spans="38:38">
      <c r="AL125" s="54"/>
    </row>
    <row r="126" spans="38:38">
      <c r="AL126" s="54"/>
    </row>
    <row r="127" spans="38:38">
      <c r="AL127" s="54"/>
    </row>
    <row r="128" spans="38:38">
      <c r="AL128" s="54"/>
    </row>
    <row r="129" spans="38:38">
      <c r="AL129" s="54"/>
    </row>
    <row r="130" spans="38:38">
      <c r="AL130" s="54"/>
    </row>
    <row r="131" spans="38:38">
      <c r="AL131" s="54"/>
    </row>
    <row r="132" spans="38:38">
      <c r="AL132" s="54"/>
    </row>
    <row r="133" spans="38:38">
      <c r="AL133" s="54"/>
    </row>
    <row r="134" spans="38:38">
      <c r="AL134" s="54"/>
    </row>
    <row r="135" spans="38:38">
      <c r="AL135" s="54"/>
    </row>
    <row r="136" spans="38:38">
      <c r="AL136" s="54"/>
    </row>
    <row r="137" spans="38:38">
      <c r="AL137" s="54"/>
    </row>
    <row r="138" spans="38:38">
      <c r="AL138" s="54"/>
    </row>
    <row r="139" spans="38:38">
      <c r="AL139" s="54"/>
    </row>
    <row r="140" spans="38:38">
      <c r="AL140" s="54"/>
    </row>
    <row r="141" spans="38:38">
      <c r="AL141" s="54"/>
    </row>
    <row r="142" spans="38:38">
      <c r="AL142" s="54"/>
    </row>
    <row r="143" spans="38:38">
      <c r="AL143" s="54"/>
    </row>
    <row r="144" spans="38:38">
      <c r="AL144" s="54"/>
    </row>
    <row r="145" spans="38:38">
      <c r="AL145" s="54"/>
    </row>
    <row r="146" spans="38:38">
      <c r="AL146" s="54"/>
    </row>
    <row r="147" spans="38:38">
      <c r="AL147" s="54"/>
    </row>
  </sheetData>
  <pageMargins left="0.7" right="0.7" top="0.75" bottom="0.75" header="0.3" footer="0.3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D66F3-2E23-ED47-AB44-63FBAB8A1A37}">
  <dimension ref="A8:BA104"/>
  <sheetViews>
    <sheetView topLeftCell="A6" workbookViewId="0">
      <selection activeCell="AH13" sqref="AH13"/>
    </sheetView>
  </sheetViews>
  <sheetFormatPr baseColWidth="10" defaultRowHeight="14"/>
  <cols>
    <col min="2" max="2" width="7" customWidth="1"/>
    <col min="3" max="3" width="2.83203125" customWidth="1"/>
    <col min="4" max="4" width="8.83203125" customWidth="1"/>
    <col min="5" max="5" width="3.5" customWidth="1"/>
    <col min="6" max="6" width="14.6640625" customWidth="1"/>
    <col min="7" max="7" width="2.83203125" customWidth="1"/>
    <col min="9" max="9" width="2.83203125" customWidth="1"/>
    <col min="10" max="10" width="6.5" customWidth="1"/>
    <col min="11" max="11" width="2.83203125" customWidth="1"/>
    <col min="12" max="12" width="9.83203125" customWidth="1"/>
    <col min="13" max="13" width="2.83203125" customWidth="1"/>
    <col min="14" max="14" width="8.33203125" customWidth="1"/>
    <col min="15" max="15" width="2.83203125" customWidth="1"/>
    <col min="16" max="16" width="9.6640625" customWidth="1"/>
    <col min="17" max="17" width="2.83203125" customWidth="1"/>
    <col min="18" max="18" width="12.1640625" customWidth="1"/>
    <col min="19" max="19" width="2.83203125" customWidth="1"/>
    <col min="21" max="21" width="2.83203125" customWidth="1"/>
    <col min="23" max="23" width="2.83203125" customWidth="1"/>
    <col min="25" max="25" width="2.83203125" customWidth="1"/>
    <col min="27" max="27" width="2.83203125" customWidth="1"/>
    <col min="28" max="28" width="14.1640625" customWidth="1"/>
    <col min="29" max="29" width="2.83203125" customWidth="1"/>
    <col min="31" max="31" width="2.83203125" customWidth="1"/>
    <col min="33" max="33" width="2.83203125" customWidth="1"/>
    <col min="35" max="35" width="2.83203125" customWidth="1"/>
    <col min="37" max="37" width="2.83203125" customWidth="1"/>
    <col min="39" max="40" width="2.83203125" customWidth="1"/>
    <col min="42" max="42" width="2.83203125" customWidth="1"/>
    <col min="44" max="44" width="2.83203125" customWidth="1"/>
    <col min="46" max="46" width="2.83203125" customWidth="1"/>
    <col min="48" max="48" width="2.83203125" customWidth="1"/>
    <col min="49" max="49" width="16.33203125" customWidth="1"/>
    <col min="50" max="50" width="2.83203125" customWidth="1"/>
    <col min="52" max="52" width="2.83203125" customWidth="1"/>
    <col min="54" max="54" width="2.83203125" customWidth="1"/>
    <col min="56" max="56" width="2.83203125" customWidth="1"/>
  </cols>
  <sheetData>
    <row r="8" spans="1:53" ht="38" customHeight="1">
      <c r="B8" s="4"/>
      <c r="C8" s="4"/>
      <c r="D8" s="107"/>
      <c r="E8" s="113"/>
      <c r="F8" s="4"/>
      <c r="G8" s="4"/>
      <c r="H8" s="4"/>
      <c r="I8" s="4"/>
      <c r="J8" s="4"/>
      <c r="K8" s="4"/>
      <c r="L8" s="4"/>
      <c r="M8" s="4"/>
      <c r="N8" s="103"/>
      <c r="O8" s="4"/>
      <c r="P8" s="104"/>
      <c r="Q8" s="4"/>
      <c r="R8" s="109"/>
      <c r="S8" s="106"/>
      <c r="T8" s="4"/>
      <c r="U8" s="4"/>
      <c r="V8" s="4"/>
      <c r="W8" s="4"/>
      <c r="X8" s="4" t="s">
        <v>347</v>
      </c>
      <c r="Y8" s="4"/>
      <c r="Z8" s="4"/>
      <c r="AA8" s="4"/>
      <c r="AB8" s="4"/>
      <c r="AC8" s="4"/>
      <c r="AE8" s="4"/>
      <c r="AF8" s="4"/>
      <c r="AG8" s="116"/>
      <c r="AP8" s="108"/>
    </row>
    <row r="9" spans="1:53" ht="15" thickBot="1">
      <c r="A9" s="78"/>
      <c r="D9" s="78"/>
      <c r="E9" s="108"/>
      <c r="R9" s="78"/>
      <c r="S9" s="108"/>
      <c r="AD9" s="78"/>
      <c r="AE9" s="111"/>
      <c r="AF9" s="111"/>
      <c r="AG9" s="116"/>
      <c r="AO9">
        <f ca="1">SUM(AO13:AO102)</f>
        <v>4727.5327074767929</v>
      </c>
      <c r="AP9" s="115"/>
      <c r="AQ9" s="31">
        <f ca="1">SUM(AQ13:AQ103)</f>
        <v>6.3389515991921188</v>
      </c>
      <c r="AS9" s="31">
        <f>SUM(AS13:AS103)</f>
        <v>0.8171218178071189</v>
      </c>
      <c r="AU9" s="31">
        <f ca="1">SUM(AU13:AU103)</f>
        <v>1.5749173970454777E-2</v>
      </c>
      <c r="AW9" s="31">
        <f ca="1">SUM(AW13:AW103)</f>
        <v>0.26056568833269628</v>
      </c>
      <c r="AY9" s="31">
        <f ca="1">SUM(AY13:AY103)</f>
        <v>0.44314058958160857</v>
      </c>
      <c r="BA9" s="134">
        <f ca="1">SUM(BA13:BA102)</f>
        <v>6.6385277327616254</v>
      </c>
    </row>
    <row r="10" spans="1:53">
      <c r="A10" s="78"/>
      <c r="D10" s="78"/>
      <c r="E10" s="108"/>
      <c r="R10" s="78"/>
      <c r="S10" s="108"/>
      <c r="AD10" s="78"/>
      <c r="AE10" s="111"/>
      <c r="AF10" s="78"/>
      <c r="AG10" s="108"/>
      <c r="AO10" s="78"/>
      <c r="AP10" s="108"/>
      <c r="BA10" s="78"/>
    </row>
    <row r="11" spans="1:53">
      <c r="A11" s="78"/>
      <c r="D11" s="78"/>
      <c r="E11" s="108"/>
      <c r="R11" s="78"/>
      <c r="S11" s="108"/>
      <c r="AD11" s="78"/>
      <c r="AE11" s="111"/>
      <c r="AF11" s="78"/>
      <c r="AG11" s="108"/>
      <c r="AO11" s="78"/>
      <c r="AP11" s="108"/>
      <c r="BA11" s="78"/>
    </row>
    <row r="12" spans="1:53">
      <c r="A12" s="78"/>
      <c r="D12" s="78"/>
      <c r="E12" s="108"/>
      <c r="R12" s="78"/>
      <c r="S12" s="108"/>
      <c r="AD12" s="78"/>
      <c r="AE12" s="111"/>
      <c r="AF12" s="78"/>
      <c r="AG12" s="108"/>
      <c r="AO12" s="78"/>
      <c r="AP12" s="108"/>
      <c r="BA12" s="78"/>
    </row>
    <row r="13" spans="1:53">
      <c r="A13" s="78"/>
      <c r="B13" cm="1">
        <f t="array" ref="B13:B103">start_age+cycle</f>
        <v>15</v>
      </c>
      <c r="D13" s="78">
        <v>0</v>
      </c>
      <c r="E13" s="108"/>
      <c r="F13">
        <f>VLOOKUP(B13,[2]Parameters!E4:F94,2)</f>
        <v>2.7799999999999998E-2</v>
      </c>
      <c r="H13">
        <f>VLOOKUP(B13,[2]Parameters!H4:I94,2)</f>
        <v>0</v>
      </c>
      <c r="J13">
        <f>VLOOKUP(B13,[2]Parameters!K4:L94,2)</f>
        <v>0.13</v>
      </c>
      <c r="L13">
        <f>VLOOKUP(B13,[2]Parameters!N4:O94,2)</f>
        <v>0.05</v>
      </c>
      <c r="N13">
        <f>VLOOKUP(B13,[2]Parameters!T4:U94,2)</f>
        <v>0.375</v>
      </c>
      <c r="P13">
        <f>VLOOKUP(B13,[2]Parameters!T4:U94,2)</f>
        <v>0.375</v>
      </c>
      <c r="R13" s="78">
        <f>VLOOKUP(B13,[2]Parameters!W4:X94,2)</f>
        <v>0</v>
      </c>
      <c r="S13" s="108"/>
      <c r="T13" s="102">
        <v>1</v>
      </c>
      <c r="V13" s="94">
        <v>0</v>
      </c>
      <c r="W13" s="94"/>
      <c r="X13" s="94">
        <v>0</v>
      </c>
      <c r="Z13" s="94">
        <v>0</v>
      </c>
      <c r="AB13" s="94">
        <v>0</v>
      </c>
      <c r="AD13" s="110">
        <v>0</v>
      </c>
      <c r="AE13" s="111"/>
      <c r="AF13" s="112">
        <f>T13+V13+Z13+AB13+AD13</f>
        <v>1</v>
      </c>
      <c r="AG13" s="108"/>
      <c r="AH13" s="131">
        <f>('[2]Cost Summary'!$D$41/1000000)*(1-(F13+H13))</f>
        <v>0.90201160274400483</v>
      </c>
      <c r="AJ13" s="54">
        <f t="shared" ref="AJ13:AJ44" ca="1" si="0">(ccc_adl*L13)+(ccc_hydrocele*P13)+(ccc_le*N13)</f>
        <v>3.3875383031223762</v>
      </c>
      <c r="AL13" s="138">
        <f t="shared" ref="AL13:AL44" ca="1" si="1">IF(study_perspective=1,0,IF(age&lt;15,0,IF(age&gt;75,0,min_daily_wage*adl_episode_duration*annual_adl_episodes*X13 + prod_loss_hydrocele*min_annual_wage*Z13+prod_loss_lymphedema*min_annual_wage*AB13)))</f>
        <v>0</v>
      </c>
      <c r="AO13" s="135">
        <f t="shared" ref="AO13:AO44" ca="1" si="2">IF(study_perspective=1,((AH13+AJ13)/(1+discount_cost)^cycle),((AH13+AJ13+AL13+hh_costs_adl+hh_costs_hydrocele+hh_costs_lymphedema)/(1+discount_cost)^cycle))</f>
        <v>141.20295317648333</v>
      </c>
      <c r="AP13" s="108"/>
      <c r="AQ13" s="31">
        <f t="shared" ref="AQ13:AQ44" ca="1" si="3">util_healthy*T13*1</f>
        <v>0.99714898405830887</v>
      </c>
      <c r="AR13" s="31"/>
      <c r="AS13" s="31">
        <f>0.8*V13*1</f>
        <v>0</v>
      </c>
      <c r="AT13" s="31"/>
      <c r="AU13" s="31">
        <f t="shared" ref="AU13:AU44" ca="1" si="4">util_adl*X13</f>
        <v>0</v>
      </c>
      <c r="AV13" s="31"/>
      <c r="AW13" s="31">
        <f t="shared" ref="AW13:AW44" ca="1" si="5">util_lymphedema*AB13</f>
        <v>0</v>
      </c>
      <c r="AX13" s="31"/>
      <c r="AY13" s="31">
        <f t="shared" ref="AY13:AY44" ca="1" si="6">util_hydrocele*Z13</f>
        <v>0</v>
      </c>
      <c r="AZ13" s="31"/>
      <c r="BA13" s="134">
        <f t="shared" ref="BA13:BA44" ca="1" si="7">(AQ13+AS13+AU13+AW13+AY13)/((1+discount_effects)^cycle)</f>
        <v>0.99714898405830887</v>
      </c>
    </row>
    <row r="14" spans="1:53">
      <c r="A14" s="78"/>
      <c r="B14">
        <v>16</v>
      </c>
      <c r="D14" s="78">
        <v>1</v>
      </c>
      <c r="E14" s="108"/>
      <c r="F14">
        <f>VLOOKUP(B14,[2]Parameters!E5:F95,2)</f>
        <v>2.7799999999999998E-2</v>
      </c>
      <c r="H14">
        <f>VLOOKUP(B14,[2]Parameters!H5:I95,2)</f>
        <v>0</v>
      </c>
      <c r="J14">
        <f>VLOOKUP(B14,[2]Parameters!K5:L95,2)</f>
        <v>0.13</v>
      </c>
      <c r="L14">
        <f>VLOOKUP(B14,[2]Parameters!N5:O95,2)</f>
        <v>0.05</v>
      </c>
      <c r="N14">
        <f>VLOOKUP(B14,[2]Parameters!T5:U95,2)</f>
        <v>0.375</v>
      </c>
      <c r="P14">
        <f>VLOOKUP(B14,[2]Parameters!T5:U95,2)</f>
        <v>0.375</v>
      </c>
      <c r="R14" s="78">
        <f>VLOOKUP(B14,[2]Parameters!W5:X95,2)</f>
        <v>0.1</v>
      </c>
      <c r="S14" s="108"/>
      <c r="T14" s="102">
        <f>T13 -T13*F13 - T13*J13</f>
        <v>0.84219999999999995</v>
      </c>
      <c r="V14" s="94">
        <f>V13+T13*J13-V13*N13-V13*P13-V13*H13</f>
        <v>0.13</v>
      </c>
      <c r="X14" s="34">
        <f>V13*L13</f>
        <v>0</v>
      </c>
      <c r="Z14" s="94">
        <f>Z13+V13*P13-Z13*R13</f>
        <v>0</v>
      </c>
      <c r="AB14" s="94">
        <f>AB13+V13*N13-AB13*R13</f>
        <v>0</v>
      </c>
      <c r="AD14" s="110">
        <f>AD13+T13*F13+V13*H13+Z13*R13 +AB13*R13</f>
        <v>2.7799999999999998E-2</v>
      </c>
      <c r="AE14" s="111"/>
      <c r="AF14" s="112">
        <f t="shared" ref="AF14:AF77" si="8">T14+V14+Z14+AB14+AD14</f>
        <v>1</v>
      </c>
      <c r="AG14" s="108"/>
      <c r="AH14" s="131">
        <f>('[2]Cost Summary'!$D$41/1000000)*(1-(F14+H14))</f>
        <v>0.90201160274400483</v>
      </c>
      <c r="AJ14" s="54">
        <f t="shared" ca="1" si="0"/>
        <v>3.3875383031223762</v>
      </c>
      <c r="AL14" s="138">
        <f t="shared" ca="1" si="1"/>
        <v>0</v>
      </c>
      <c r="AO14" s="135">
        <f t="shared" ca="1" si="2"/>
        <v>137.090245802411</v>
      </c>
      <c r="AP14" s="108"/>
      <c r="AQ14" s="31">
        <f t="shared" ca="1" si="3"/>
        <v>0.83979887437390766</v>
      </c>
      <c r="AR14" s="31"/>
      <c r="AS14" s="31">
        <f t="shared" ref="AS14:AS77" si="9">0.8*V14*1</f>
        <v>0.10400000000000001</v>
      </c>
      <c r="AT14" s="31"/>
      <c r="AU14" s="31">
        <f t="shared" ca="1" si="4"/>
        <v>0</v>
      </c>
      <c r="AV14" s="31"/>
      <c r="AW14" s="31">
        <f t="shared" ca="1" si="5"/>
        <v>0</v>
      </c>
      <c r="AX14" s="31"/>
      <c r="AY14" s="31">
        <f t="shared" ca="1" si="6"/>
        <v>0</v>
      </c>
      <c r="AZ14" s="31"/>
      <c r="BA14" s="134">
        <f t="shared" ca="1" si="7"/>
        <v>0.91630958677078411</v>
      </c>
    </row>
    <row r="15" spans="1:53">
      <c r="A15" s="78"/>
      <c r="B15">
        <v>17</v>
      </c>
      <c r="D15" s="78">
        <v>2</v>
      </c>
      <c r="E15" s="108"/>
      <c r="F15">
        <f>VLOOKUP(B15,[2]Parameters!E6:F96,2)</f>
        <v>2.7799999999999998E-2</v>
      </c>
      <c r="H15">
        <f>VLOOKUP(B15,[2]Parameters!H6:I96,2)</f>
        <v>0.01</v>
      </c>
      <c r="J15">
        <f>VLOOKUP(B15,[2]Parameters!K6:L96,2)</f>
        <v>0.13</v>
      </c>
      <c r="L15">
        <f>VLOOKUP(B15,[2]Parameters!N6:O96,2)</f>
        <v>0.05</v>
      </c>
      <c r="N15">
        <f>VLOOKUP(B15,[2]Parameters!T6:U96,2)</f>
        <v>0.375</v>
      </c>
      <c r="P15">
        <f>VLOOKUP(B15,[2]Parameters!T6:U96,2)</f>
        <v>0.375</v>
      </c>
      <c r="R15" s="78">
        <f>VLOOKUP(B15,[2]Parameters!W6:X96,2)</f>
        <v>0.1</v>
      </c>
      <c r="S15" s="108"/>
      <c r="T15" s="102">
        <f t="shared" ref="T15:T78" si="10">T14 -T14*F14 - T14*J14</f>
        <v>0.70930083999999993</v>
      </c>
      <c r="V15" s="94">
        <f t="shared" ref="V15:V78" si="11">V14+T14*J14-V14*N14-V14*P14-V14*H14</f>
        <v>0.141986</v>
      </c>
      <c r="X15" s="34">
        <f t="shared" ref="X15:X78" si="12">V14*L14</f>
        <v>6.5000000000000006E-3</v>
      </c>
      <c r="Z15" s="94">
        <f t="shared" ref="Z15:Z78" si="13">Z14+V14*P14-Z14*R14</f>
        <v>4.8750000000000002E-2</v>
      </c>
      <c r="AB15" s="94">
        <f t="shared" ref="AB15:AB78" si="14">AB14+V14*N14-AB14*R14</f>
        <v>4.8750000000000002E-2</v>
      </c>
      <c r="AD15" s="110">
        <f t="shared" ref="AD15:AD78" si="15">AD14+T14*F14+V14*H14+Z14*R14 +AB14*R14</f>
        <v>5.1213159999999994E-2</v>
      </c>
      <c r="AE15" s="111"/>
      <c r="AF15" s="112">
        <f t="shared" si="8"/>
        <v>0.99999999999999989</v>
      </c>
      <c r="AG15" s="108"/>
      <c r="AH15" s="131">
        <f>('[2]Cost Summary'!$D$41/1000000)*(1-(F15+H15))</f>
        <v>0.89273355704616475</v>
      </c>
      <c r="AJ15" s="54">
        <f t="shared" ca="1" si="0"/>
        <v>3.3875383031223762</v>
      </c>
      <c r="AL15" s="138">
        <f t="shared" ca="1" si="1"/>
        <v>4.4891114975503381</v>
      </c>
      <c r="AO15" s="135">
        <f t="shared" ca="1" si="2"/>
        <v>137.31999870707497</v>
      </c>
      <c r="AP15" s="108"/>
      <c r="AQ15" s="31">
        <f t="shared" ca="1" si="3"/>
        <v>0.70727861199770503</v>
      </c>
      <c r="AR15" s="31"/>
      <c r="AS15" s="31">
        <f t="shared" si="9"/>
        <v>0.1135888</v>
      </c>
      <c r="AT15" s="31"/>
      <c r="AU15" s="31">
        <f t="shared" ca="1" si="4"/>
        <v>1.7397119873649731E-3</v>
      </c>
      <c r="AV15" s="31"/>
      <c r="AW15" s="31">
        <f t="shared" ca="1" si="5"/>
        <v>3.3169856091873049E-3</v>
      </c>
      <c r="AX15" s="31"/>
      <c r="AY15" s="31">
        <f t="shared" ca="1" si="6"/>
        <v>5.6411531690703023E-3</v>
      </c>
      <c r="AZ15" s="31"/>
      <c r="BA15" s="134">
        <f t="shared" ca="1" si="7"/>
        <v>0.78383001485844817</v>
      </c>
    </row>
    <row r="16" spans="1:53">
      <c r="A16" s="78"/>
      <c r="B16">
        <v>18</v>
      </c>
      <c r="D16" s="78">
        <v>3</v>
      </c>
      <c r="E16" s="108"/>
      <c r="F16">
        <f>VLOOKUP(B16,[2]Parameters!E7:F97,2)</f>
        <v>2.7799999999999998E-2</v>
      </c>
      <c r="H16">
        <f>VLOOKUP(B16,[2]Parameters!H7:I97,2)</f>
        <v>0.01</v>
      </c>
      <c r="J16">
        <f>VLOOKUP(B16,[2]Parameters!K7:L97,2)</f>
        <v>0.13</v>
      </c>
      <c r="L16">
        <f>VLOOKUP(B16,[2]Parameters!N7:O97,2)</f>
        <v>0.05</v>
      </c>
      <c r="N16">
        <f>VLOOKUP(B16,[2]Parameters!T7:U97,2)</f>
        <v>0.375</v>
      </c>
      <c r="P16">
        <f>VLOOKUP(B16,[2]Parameters!T7:U97,2)</f>
        <v>0.375</v>
      </c>
      <c r="R16" s="78">
        <f>VLOOKUP(B16,[2]Parameters!W7:X97,2)</f>
        <v>0.1</v>
      </c>
      <c r="S16" s="108"/>
      <c r="T16" s="102">
        <f t="shared" si="10"/>
        <v>0.59737316744799995</v>
      </c>
      <c r="V16" s="94">
        <f t="shared" si="11"/>
        <v>0.12628574919999999</v>
      </c>
      <c r="X16" s="34">
        <f t="shared" si="12"/>
        <v>7.0993000000000002E-3</v>
      </c>
      <c r="Z16" s="94">
        <f t="shared" si="13"/>
        <v>9.7119749999999991E-2</v>
      </c>
      <c r="AB16" s="94">
        <f t="shared" si="14"/>
        <v>9.7119749999999991E-2</v>
      </c>
      <c r="AD16" s="110">
        <f t="shared" si="15"/>
        <v>8.210158335199999E-2</v>
      </c>
      <c r="AE16" s="111"/>
      <c r="AF16" s="112">
        <f t="shared" si="8"/>
        <v>0.99999999999999989</v>
      </c>
      <c r="AG16" s="108"/>
      <c r="AH16" s="131">
        <f>('[2]Cost Summary'!$D$41/1000000)*(1-(F16+H16))</f>
        <v>0.89273355704616475</v>
      </c>
      <c r="AJ16" s="54">
        <f t="shared" ca="1" si="0"/>
        <v>3.3875383031223762</v>
      </c>
      <c r="AL16" s="138">
        <f t="shared" ca="1" si="1"/>
        <v>8.6220741325422949</v>
      </c>
      <c r="AO16" s="135">
        <f t="shared" ca="1" si="2"/>
        <v>137.10263337807871</v>
      </c>
      <c r="AP16" s="108"/>
      <c r="AQ16" s="31">
        <f t="shared" ca="1" si="3"/>
        <v>0.59567004702446713</v>
      </c>
      <c r="AR16" s="31"/>
      <c r="AS16" s="31">
        <f t="shared" si="9"/>
        <v>0.10102859936</v>
      </c>
      <c r="AT16" s="31"/>
      <c r="AU16" s="31">
        <f t="shared" ca="1" si="4"/>
        <v>1.9001134326000237E-3</v>
      </c>
      <c r="AV16" s="31"/>
      <c r="AW16" s="31">
        <f t="shared" ca="1" si="5"/>
        <v>6.6080987306229482E-3</v>
      </c>
      <c r="AX16" s="31"/>
      <c r="AY16" s="31">
        <f t="shared" ca="1" si="6"/>
        <v>1.1238305343421854E-2</v>
      </c>
      <c r="AZ16" s="31"/>
      <c r="BA16" s="134">
        <f t="shared" ca="1" si="7"/>
        <v>0.6556488161188585</v>
      </c>
    </row>
    <row r="17" spans="1:53">
      <c r="A17" s="78"/>
      <c r="B17">
        <v>19</v>
      </c>
      <c r="D17" s="78">
        <v>4</v>
      </c>
      <c r="E17" s="108"/>
      <c r="F17">
        <f>VLOOKUP(B17,[2]Parameters!E8:F98,2)</f>
        <v>2.7799999999999998E-2</v>
      </c>
      <c r="H17">
        <f>VLOOKUP(B17,[2]Parameters!H8:I98,2)</f>
        <v>0.01</v>
      </c>
      <c r="J17">
        <f>VLOOKUP(B17,[2]Parameters!K8:L98,2)</f>
        <v>0.13</v>
      </c>
      <c r="L17">
        <f>VLOOKUP(B17,[2]Parameters!N8:O98,2)</f>
        <v>0.05</v>
      </c>
      <c r="N17">
        <f>VLOOKUP(B17,[2]Parameters!T8:U98,2)</f>
        <v>0.375</v>
      </c>
      <c r="P17">
        <f>VLOOKUP(B17,[2]Parameters!T8:U98,2)</f>
        <v>0.375</v>
      </c>
      <c r="R17" s="78">
        <f>VLOOKUP(B17,[2]Parameters!W8:X98,2)</f>
        <v>0.1</v>
      </c>
      <c r="S17" s="108"/>
      <c r="T17" s="102">
        <f t="shared" si="10"/>
        <v>0.50310768162470554</v>
      </c>
      <c r="V17" s="94">
        <f t="shared" si="11"/>
        <v>0.10796709157623997</v>
      </c>
      <c r="X17" s="34">
        <f t="shared" si="12"/>
        <v>6.3142874599999999E-3</v>
      </c>
      <c r="Z17" s="94">
        <f t="shared" si="13"/>
        <v>0.13476493094999997</v>
      </c>
      <c r="AB17" s="94">
        <f t="shared" si="14"/>
        <v>0.13476493094999997</v>
      </c>
      <c r="AD17" s="110">
        <f t="shared" si="15"/>
        <v>0.11939536489905439</v>
      </c>
      <c r="AE17" s="111"/>
      <c r="AF17" s="112">
        <f t="shared" si="8"/>
        <v>0.99999999999999978</v>
      </c>
      <c r="AG17" s="108"/>
      <c r="AH17" s="131">
        <f>('[2]Cost Summary'!$D$41/1000000)*(1-(F17+H17))</f>
        <v>0.89273355704616475</v>
      </c>
      <c r="AJ17" s="54">
        <f t="shared" ca="1" si="0"/>
        <v>3.3875383031223762</v>
      </c>
      <c r="AL17" s="138">
        <f t="shared" ca="1" si="1"/>
        <v>11.769976765403257</v>
      </c>
      <c r="AO17" s="135">
        <f t="shared" ca="1" si="2"/>
        <v>135.90622351164782</v>
      </c>
      <c r="AP17" s="108"/>
      <c r="AQ17" s="31">
        <f t="shared" ca="1" si="3"/>
        <v>0.50167331360400624</v>
      </c>
      <c r="AR17" s="31"/>
      <c r="AS17" s="31">
        <f t="shared" si="9"/>
        <v>8.637367326099199E-2</v>
      </c>
      <c r="AT17" s="31"/>
      <c r="AU17" s="31">
        <f t="shared" ca="1" si="4"/>
        <v>1.6900063978200503E-3</v>
      </c>
      <c r="AV17" s="31"/>
      <c r="AW17" s="31">
        <f t="shared" ca="1" si="5"/>
        <v>9.1695043401901679E-3</v>
      </c>
      <c r="AX17" s="31"/>
      <c r="AY17" s="31">
        <f t="shared" ca="1" si="6"/>
        <v>1.5594453688371954E-2</v>
      </c>
      <c r="AZ17" s="31"/>
      <c r="BA17" s="134">
        <f t="shared" ca="1" si="7"/>
        <v>0.5459761361542611</v>
      </c>
    </row>
    <row r="18" spans="1:53">
      <c r="A18" s="78"/>
      <c r="B18">
        <v>20</v>
      </c>
      <c r="D18" s="78">
        <v>5</v>
      </c>
      <c r="E18" s="108"/>
      <c r="F18">
        <f>VLOOKUP(B18,[2]Parameters!E9:F99,2)</f>
        <v>3.6200000000000003E-2</v>
      </c>
      <c r="H18">
        <f>VLOOKUP(B18,[2]Parameters!H9:I99,2)</f>
        <v>0.01</v>
      </c>
      <c r="J18">
        <f>VLOOKUP(B18,[2]Parameters!K9:L99,2)</f>
        <v>0.12</v>
      </c>
      <c r="L18">
        <f>VLOOKUP(B18,[2]Parameters!N9:O99,2)</f>
        <v>5.5E-2</v>
      </c>
      <c r="N18">
        <f>VLOOKUP(B18,[2]Parameters!T9:U99,2)</f>
        <v>0.375</v>
      </c>
      <c r="P18">
        <f>VLOOKUP(B18,[2]Parameters!T9:U99,2)</f>
        <v>0.375</v>
      </c>
      <c r="R18" s="78">
        <f>VLOOKUP(B18,[2]Parameters!W9:X99,2)</f>
        <v>0.1</v>
      </c>
      <c r="S18" s="108"/>
      <c r="T18" s="102">
        <f t="shared" si="10"/>
        <v>0.42371728946432702</v>
      </c>
      <c r="V18" s="94">
        <f t="shared" si="11"/>
        <v>9.13161005895093E-2</v>
      </c>
      <c r="X18" s="34">
        <f t="shared" si="12"/>
        <v>5.3983545788119994E-3</v>
      </c>
      <c r="Z18" s="94">
        <f t="shared" si="13"/>
        <v>0.16177609719608999</v>
      </c>
      <c r="AB18" s="94">
        <f t="shared" si="14"/>
        <v>0.16177609719608999</v>
      </c>
      <c r="AD18" s="110">
        <f t="shared" si="15"/>
        <v>0.16141441555398356</v>
      </c>
      <c r="AE18" s="111"/>
      <c r="AF18" s="112">
        <f t="shared" si="8"/>
        <v>0.99999999999999978</v>
      </c>
      <c r="AG18" s="108"/>
      <c r="AH18" s="131">
        <f>('[2]Cost Summary'!$D$41/1000000)*(1-(F18+H18))</f>
        <v>0.88493999865997919</v>
      </c>
      <c r="AJ18" s="54">
        <f t="shared" ca="1" si="0"/>
        <v>3.4015613767128268</v>
      </c>
      <c r="AL18" s="138">
        <f t="shared" ca="1" si="1"/>
        <v>14.00929978520907</v>
      </c>
      <c r="AO18" s="135">
        <f t="shared" ca="1" si="2"/>
        <v>133.88482315962963</v>
      </c>
      <c r="AP18" s="108"/>
      <c r="AQ18" s="31">
        <f t="shared" ca="1" si="3"/>
        <v>0.42250926471729405</v>
      </c>
      <c r="AR18" s="31"/>
      <c r="AS18" s="31">
        <f t="shared" si="9"/>
        <v>7.3052880471607448E-2</v>
      </c>
      <c r="AT18" s="31"/>
      <c r="AU18" s="31">
        <f t="shared" ca="1" si="4"/>
        <v>1.4448587958162807E-3</v>
      </c>
      <c r="AV18" s="31"/>
      <c r="AW18" s="31">
        <f t="shared" ca="1" si="5"/>
        <v>1.1007363821741891E-2</v>
      </c>
      <c r="AX18" s="31"/>
      <c r="AY18" s="31">
        <f t="shared" ca="1" si="6"/>
        <v>1.8720076787231758E-2</v>
      </c>
      <c r="AZ18" s="31"/>
      <c r="BA18" s="134">
        <f t="shared" ca="1" si="7"/>
        <v>0.45436575894423203</v>
      </c>
    </row>
    <row r="19" spans="1:53">
      <c r="A19" s="78"/>
      <c r="B19">
        <v>21</v>
      </c>
      <c r="D19" s="78">
        <v>6</v>
      </c>
      <c r="E19" s="108"/>
      <c r="F19">
        <f>VLOOKUP(B19,[2]Parameters!E10:F100,2)</f>
        <v>3.6200000000000003E-2</v>
      </c>
      <c r="H19">
        <f>VLOOKUP(B19,[2]Parameters!H10:I100,2)</f>
        <v>0.01</v>
      </c>
      <c r="J19">
        <f>VLOOKUP(B19,[2]Parameters!K10:L100,2)</f>
        <v>0.12</v>
      </c>
      <c r="L19">
        <f>VLOOKUP(B19,[2]Parameters!N10:O100,2)</f>
        <v>5.5E-2</v>
      </c>
      <c r="N19">
        <f>VLOOKUP(B19,[2]Parameters!T10:U100,2)</f>
        <v>0.375</v>
      </c>
      <c r="P19">
        <f>VLOOKUP(B19,[2]Parameters!T10:U100,2)</f>
        <v>0.375</v>
      </c>
      <c r="R19" s="78">
        <f>VLOOKUP(B19,[2]Parameters!W10:X100,2)</f>
        <v>0.1</v>
      </c>
      <c r="S19" s="108"/>
      <c r="T19" s="102">
        <f t="shared" si="10"/>
        <v>0.35753264884999914</v>
      </c>
      <c r="V19" s="94">
        <f t="shared" si="11"/>
        <v>7.2761938877201462E-2</v>
      </c>
      <c r="X19" s="34">
        <f t="shared" si="12"/>
        <v>5.0223855324230118E-3</v>
      </c>
      <c r="Z19" s="94">
        <f t="shared" si="13"/>
        <v>0.17984202519754697</v>
      </c>
      <c r="AB19" s="94">
        <f t="shared" si="14"/>
        <v>0.17984202519754697</v>
      </c>
      <c r="AD19" s="110">
        <f t="shared" si="15"/>
        <v>0.21002136187770526</v>
      </c>
      <c r="AE19" s="111"/>
      <c r="AF19" s="112">
        <f t="shared" si="8"/>
        <v>0.99999999999999978</v>
      </c>
      <c r="AG19" s="108"/>
      <c r="AH19" s="131">
        <f>('[2]Cost Summary'!$D$41/1000000)*(1-(F19+H19))</f>
        <v>0.88493999865997919</v>
      </c>
      <c r="AJ19" s="54">
        <f t="shared" ca="1" si="0"/>
        <v>3.4015613767128268</v>
      </c>
      <c r="AL19" s="138">
        <f t="shared" ca="1" si="1"/>
        <v>15.520020374832688</v>
      </c>
      <c r="AO19" s="135">
        <f t="shared" ca="1" si="2"/>
        <v>131.25046991358153</v>
      </c>
      <c r="AP19" s="108"/>
      <c r="AQ19" s="31">
        <f t="shared" ca="1" si="3"/>
        <v>0.35651331756845273</v>
      </c>
      <c r="AR19" s="31"/>
      <c r="AS19" s="31">
        <f t="shared" si="9"/>
        <v>5.8209551101761174E-2</v>
      </c>
      <c r="AT19" s="31"/>
      <c r="AU19" s="31">
        <f t="shared" ca="1" si="4"/>
        <v>1.3442314332191886E-3</v>
      </c>
      <c r="AV19" s="31"/>
      <c r="AW19" s="31">
        <f t="shared" ca="1" si="5"/>
        <v>1.2236582759125415E-2</v>
      </c>
      <c r="AX19" s="31"/>
      <c r="AY19" s="31">
        <f t="shared" ca="1" si="6"/>
        <v>2.0810593033336679E-2</v>
      </c>
      <c r="AZ19" s="31"/>
      <c r="BA19" s="134">
        <f t="shared" ca="1" si="7"/>
        <v>0.37612613551469148</v>
      </c>
    </row>
    <row r="20" spans="1:53">
      <c r="A20" s="78"/>
      <c r="B20">
        <v>22</v>
      </c>
      <c r="D20" s="78">
        <v>7</v>
      </c>
      <c r="E20" s="108"/>
      <c r="F20">
        <f>VLOOKUP(B20,[2]Parameters!E11:F101,2)</f>
        <v>3.6200000000000003E-2</v>
      </c>
      <c r="H20">
        <f>VLOOKUP(B20,[2]Parameters!H11:I101,2)</f>
        <v>0.01</v>
      </c>
      <c r="J20">
        <f>VLOOKUP(B20,[2]Parameters!K11:L101,2)</f>
        <v>0.12</v>
      </c>
      <c r="L20">
        <f>VLOOKUP(B20,[2]Parameters!N11:O101,2)</f>
        <v>5.5E-2</v>
      </c>
      <c r="N20">
        <f>VLOOKUP(B20,[2]Parameters!T11:U101,2)</f>
        <v>0.375</v>
      </c>
      <c r="P20">
        <f>VLOOKUP(B20,[2]Parameters!T11:U101,2)</f>
        <v>0.375</v>
      </c>
      <c r="R20" s="78">
        <f>VLOOKUP(B20,[2]Parameters!W11:X101,2)</f>
        <v>0.1</v>
      </c>
      <c r="S20" s="108"/>
      <c r="T20" s="102">
        <f t="shared" si="10"/>
        <v>0.30168604909962932</v>
      </c>
      <c r="V20" s="94">
        <f t="shared" si="11"/>
        <v>6.0366783192528237E-2</v>
      </c>
      <c r="X20" s="34">
        <f t="shared" si="12"/>
        <v>4.0019066382460805E-3</v>
      </c>
      <c r="Z20" s="94">
        <f t="shared" si="13"/>
        <v>0.18914354975674283</v>
      </c>
      <c r="AB20" s="94">
        <f t="shared" si="14"/>
        <v>0.18914354975674283</v>
      </c>
      <c r="AD20" s="110">
        <f t="shared" si="15"/>
        <v>0.25966006819435666</v>
      </c>
      <c r="AE20" s="111"/>
      <c r="AF20" s="112">
        <f t="shared" si="8"/>
        <v>1</v>
      </c>
      <c r="AG20" s="108"/>
      <c r="AH20" s="131">
        <f>('[2]Cost Summary'!$D$41/1000000)*(1-(F20+H20))</f>
        <v>0.88493999865997919</v>
      </c>
      <c r="AJ20" s="54">
        <f t="shared" ca="1" si="0"/>
        <v>3.4015613767128268</v>
      </c>
      <c r="AL20" s="138">
        <f t="shared" ca="1" si="1"/>
        <v>16.252445718742969</v>
      </c>
      <c r="AO20" s="135">
        <f t="shared" ca="1" si="2"/>
        <v>128.02316952262379</v>
      </c>
      <c r="AP20" s="108"/>
      <c r="AQ20" s="31">
        <f t="shared" ca="1" si="3"/>
        <v>0.30082593736426044</v>
      </c>
      <c r="AR20" s="31"/>
      <c r="AS20" s="31">
        <f t="shared" si="9"/>
        <v>4.8293426554022592E-2</v>
      </c>
      <c r="AT20" s="31"/>
      <c r="AU20" s="31">
        <f t="shared" ca="1" si="4"/>
        <v>1.0711023001341794E-3</v>
      </c>
      <c r="AV20" s="31"/>
      <c r="AW20" s="31">
        <f t="shared" ca="1" si="5"/>
        <v>1.2869465284383977E-2</v>
      </c>
      <c r="AX20" s="31"/>
      <c r="AY20" s="31">
        <f t="shared" ca="1" si="6"/>
        <v>2.1886927899886281E-2</v>
      </c>
      <c r="AZ20" s="31"/>
      <c r="BA20" s="134">
        <f t="shared" ca="1" si="7"/>
        <v>0.31299702369860866</v>
      </c>
    </row>
    <row r="21" spans="1:53">
      <c r="A21" s="78"/>
      <c r="B21">
        <v>23</v>
      </c>
      <c r="D21" s="78">
        <v>8</v>
      </c>
      <c r="E21" s="108"/>
      <c r="F21">
        <f>VLOOKUP(B21,[2]Parameters!E12:F102,2)</f>
        <v>3.6200000000000003E-2</v>
      </c>
      <c r="H21">
        <f>VLOOKUP(B21,[2]Parameters!H12:I102,2)</f>
        <v>0.01</v>
      </c>
      <c r="J21">
        <f>VLOOKUP(B21,[2]Parameters!K12:L102,2)</f>
        <v>0.12</v>
      </c>
      <c r="L21">
        <f>VLOOKUP(B21,[2]Parameters!N12:O102,2)</f>
        <v>5.5E-2</v>
      </c>
      <c r="N21">
        <f>VLOOKUP(B21,[2]Parameters!T12:U102,2)</f>
        <v>0.375</v>
      </c>
      <c r="P21">
        <f>VLOOKUP(B21,[2]Parameters!T12:U102,2)</f>
        <v>0.375</v>
      </c>
      <c r="R21" s="78">
        <f>VLOOKUP(B21,[2]Parameters!W12:X102,2)</f>
        <v>0.1</v>
      </c>
      <c r="S21" s="108"/>
      <c r="T21" s="102">
        <f t="shared" si="10"/>
        <v>0.25456268823026718</v>
      </c>
      <c r="V21" s="94">
        <f t="shared" si="11"/>
        <v>5.0690353858162299E-2</v>
      </c>
      <c r="X21" s="34">
        <f t="shared" si="12"/>
        <v>3.3201730755890529E-3</v>
      </c>
      <c r="Z21" s="94">
        <f t="shared" si="13"/>
        <v>0.19286673847826663</v>
      </c>
      <c r="AB21" s="94">
        <f t="shared" si="14"/>
        <v>0.19286673847826663</v>
      </c>
      <c r="AD21" s="110">
        <f t="shared" si="15"/>
        <v>0.30901348095503711</v>
      </c>
      <c r="AE21" s="111"/>
      <c r="AF21" s="112">
        <f t="shared" si="8"/>
        <v>0.99999999999999978</v>
      </c>
      <c r="AG21" s="108"/>
      <c r="AH21" s="131">
        <f>('[2]Cost Summary'!$D$41/1000000)*(1-(F21+H21))</f>
        <v>0.88493999865997919</v>
      </c>
      <c r="AJ21" s="54">
        <f t="shared" ca="1" si="0"/>
        <v>3.4015613767128268</v>
      </c>
      <c r="AL21" s="138">
        <f t="shared" ca="1" si="1"/>
        <v>16.530618459861074</v>
      </c>
      <c r="AO21" s="135">
        <f t="shared" ca="1" si="2"/>
        <v>124.51393147292626</v>
      </c>
      <c r="AP21" s="108"/>
      <c r="AQ21" s="31">
        <f t="shared" ca="1" si="3"/>
        <v>0.25383692594796292</v>
      </c>
      <c r="AR21" s="31"/>
      <c r="AS21" s="31">
        <f t="shared" si="9"/>
        <v>4.055228308652984E-2</v>
      </c>
      <c r="AT21" s="31"/>
      <c r="AU21" s="31">
        <f t="shared" ca="1" si="4"/>
        <v>8.8863767688133935E-4</v>
      </c>
      <c r="AV21" s="31"/>
      <c r="AW21" s="31">
        <f t="shared" ca="1" si="5"/>
        <v>1.3122793764580551E-2</v>
      </c>
      <c r="AX21" s="31"/>
      <c r="AY21" s="31">
        <f t="shared" ca="1" si="6"/>
        <v>2.2317760266152349E-2</v>
      </c>
      <c r="AZ21" s="31"/>
      <c r="BA21" s="134">
        <f t="shared" ca="1" si="7"/>
        <v>0.26107215950335605</v>
      </c>
    </row>
    <row r="22" spans="1:53">
      <c r="A22" s="78"/>
      <c r="B22">
        <v>24</v>
      </c>
      <c r="D22" s="78">
        <v>9</v>
      </c>
      <c r="E22" s="108"/>
      <c r="F22">
        <f>VLOOKUP(B22,[2]Parameters!E13:F103,2)</f>
        <v>3.6200000000000003E-2</v>
      </c>
      <c r="H22">
        <f>VLOOKUP(B22,[2]Parameters!H13:I103,2)</f>
        <v>0.01</v>
      </c>
      <c r="J22">
        <f>VLOOKUP(B22,[2]Parameters!K13:L103,2)</f>
        <v>0.12</v>
      </c>
      <c r="L22">
        <f>VLOOKUP(B22,[2]Parameters!N13:O103,2)</f>
        <v>5.5E-2</v>
      </c>
      <c r="N22">
        <f>VLOOKUP(B22,[2]Parameters!T13:U103,2)</f>
        <v>0.375</v>
      </c>
      <c r="P22">
        <f>VLOOKUP(B22,[2]Parameters!T13:U103,2)</f>
        <v>0.375</v>
      </c>
      <c r="R22" s="78">
        <f>VLOOKUP(B22,[2]Parameters!W13:X103,2)</f>
        <v>0.1</v>
      </c>
      <c r="S22" s="108"/>
      <c r="T22" s="102">
        <f t="shared" si="10"/>
        <v>0.21479999632869945</v>
      </c>
      <c r="V22" s="94">
        <f t="shared" si="11"/>
        <v>4.2713207513591013E-2</v>
      </c>
      <c r="X22" s="34">
        <f t="shared" si="12"/>
        <v>2.7879694621989267E-3</v>
      </c>
      <c r="Z22" s="94">
        <f t="shared" si="13"/>
        <v>0.19258894732725082</v>
      </c>
      <c r="AB22" s="94">
        <f t="shared" si="14"/>
        <v>0.19258894732725082</v>
      </c>
      <c r="AD22" s="110">
        <f t="shared" si="15"/>
        <v>0.35730890150320777</v>
      </c>
      <c r="AE22" s="111"/>
      <c r="AF22" s="112">
        <f t="shared" si="8"/>
        <v>1</v>
      </c>
      <c r="AG22" s="108"/>
      <c r="AH22" s="131">
        <f>('[2]Cost Summary'!$D$41/1000000)*(1-(F22+H22))</f>
        <v>0.88493999865997919</v>
      </c>
      <c r="AJ22" s="54">
        <f t="shared" ca="1" si="0"/>
        <v>3.4015613767128268</v>
      </c>
      <c r="AL22" s="138">
        <f t="shared" ca="1" si="1"/>
        <v>16.477856339835363</v>
      </c>
      <c r="AO22" s="135">
        <f t="shared" ca="1" si="2"/>
        <v>120.84687433801552</v>
      </c>
      <c r="AP22" s="108"/>
      <c r="AQ22" s="31">
        <f t="shared" ca="1" si="3"/>
        <v>0.21418759811489113</v>
      </c>
      <c r="AR22" s="31"/>
      <c r="AS22" s="31">
        <f t="shared" si="9"/>
        <v>3.4170566010872809E-2</v>
      </c>
      <c r="AT22" s="31"/>
      <c r="AU22" s="31">
        <f t="shared" ca="1" si="4"/>
        <v>7.4619444519922302E-4</v>
      </c>
      <c r="AV22" s="31"/>
      <c r="AW22" s="31">
        <f t="shared" ca="1" si="5"/>
        <v>1.3103892651754314E-2</v>
      </c>
      <c r="AX22" s="31"/>
      <c r="AY22" s="31">
        <f t="shared" ca="1" si="6"/>
        <v>2.2285615395754552E-2</v>
      </c>
      <c r="AZ22" s="31"/>
      <c r="BA22" s="134">
        <f t="shared" ca="1" si="7"/>
        <v>0.21804085962553299</v>
      </c>
    </row>
    <row r="23" spans="1:53">
      <c r="A23" s="78"/>
      <c r="B23">
        <v>25</v>
      </c>
      <c r="D23" s="78">
        <v>10</v>
      </c>
      <c r="E23" s="108"/>
      <c r="F23">
        <f>VLOOKUP(B23,[2]Parameters!E14:F104,2)</f>
        <v>4.9799999999999997E-2</v>
      </c>
      <c r="H23">
        <f>VLOOKUP(B23,[2]Parameters!H14:I104,2)</f>
        <v>0.01</v>
      </c>
      <c r="J23">
        <f>VLOOKUP(B23,[2]Parameters!K14:L104,2)</f>
        <v>0.12</v>
      </c>
      <c r="L23">
        <f>VLOOKUP(B23,[2]Parameters!N14:O104,2)</f>
        <v>5.5E-2</v>
      </c>
      <c r="N23">
        <f>VLOOKUP(B23,[2]Parameters!T14:U104,2)</f>
        <v>0.375</v>
      </c>
      <c r="P23">
        <f>VLOOKUP(B23,[2]Parameters!T14:U104,2)</f>
        <v>0.375</v>
      </c>
      <c r="R23" s="78">
        <f>VLOOKUP(B23,[2]Parameters!W14:X104,2)</f>
        <v>0.1</v>
      </c>
      <c r="S23" s="108"/>
      <c r="T23" s="102">
        <f t="shared" si="10"/>
        <v>0.18124823690215661</v>
      </c>
      <c r="V23" s="94">
        <f t="shared" si="11"/>
        <v>3.602716936270578E-2</v>
      </c>
      <c r="X23" s="34">
        <f t="shared" si="12"/>
        <v>2.3492264132475059E-3</v>
      </c>
      <c r="Z23" s="94">
        <f t="shared" si="13"/>
        <v>0.18934750541212236</v>
      </c>
      <c r="AB23" s="94">
        <f t="shared" si="14"/>
        <v>0.18934750541212236</v>
      </c>
      <c r="AD23" s="110">
        <f t="shared" si="15"/>
        <v>0.40402958291089275</v>
      </c>
      <c r="AE23" s="111"/>
      <c r="AF23" s="112">
        <f t="shared" si="8"/>
        <v>0.99999999999999989</v>
      </c>
      <c r="AG23" s="108"/>
      <c r="AH23" s="131">
        <f>('[2]Cost Summary'!$D$41/1000000)*(1-(F23+H23))</f>
        <v>0.87232185651091687</v>
      </c>
      <c r="AJ23" s="54">
        <f t="shared" ca="1" si="0"/>
        <v>3.4015613767128268</v>
      </c>
      <c r="AL23" s="138">
        <f t="shared" ca="1" si="1"/>
        <v>16.179010701958983</v>
      </c>
      <c r="AO23" s="135">
        <f t="shared" ca="1" si="2"/>
        <v>117.09530416066508</v>
      </c>
      <c r="AP23" s="108"/>
      <c r="AQ23" s="31">
        <f t="shared" ca="1" si="3"/>
        <v>0.18073149528934515</v>
      </c>
      <c r="AR23" s="31"/>
      <c r="AS23" s="31">
        <f t="shared" si="9"/>
        <v>2.8821735490164625E-2</v>
      </c>
      <c r="AT23" s="31"/>
      <c r="AU23" s="31">
        <f t="shared" ca="1" si="4"/>
        <v>6.2876574648632402E-4</v>
      </c>
      <c r="AV23" s="31"/>
      <c r="AW23" s="31">
        <f t="shared" ca="1" si="5"/>
        <v>1.2883342576154363E-2</v>
      </c>
      <c r="AX23" s="31"/>
      <c r="AY23" s="31">
        <f t="shared" ca="1" si="6"/>
        <v>2.1910528824844108E-2</v>
      </c>
      <c r="AZ23" s="31"/>
      <c r="BA23" s="134">
        <f t="shared" ca="1" si="7"/>
        <v>0.18228505262102046</v>
      </c>
    </row>
    <row r="24" spans="1:53">
      <c r="A24" s="78"/>
      <c r="B24">
        <v>26</v>
      </c>
      <c r="D24" s="78">
        <v>11</v>
      </c>
      <c r="E24" s="108"/>
      <c r="F24">
        <f>VLOOKUP(B24,[2]Parameters!E15:F105,2)</f>
        <v>4.9799999999999997E-2</v>
      </c>
      <c r="H24">
        <f>VLOOKUP(B24,[2]Parameters!H15:I105,2)</f>
        <v>0.01</v>
      </c>
      <c r="J24">
        <f>VLOOKUP(B24,[2]Parameters!K15:L105,2)</f>
        <v>0.12</v>
      </c>
      <c r="L24">
        <f>VLOOKUP(B24,[2]Parameters!N15:O105,2)</f>
        <v>5.5E-2</v>
      </c>
      <c r="N24">
        <f>VLOOKUP(B24,[2]Parameters!T15:U105,2)</f>
        <v>0.375</v>
      </c>
      <c r="P24">
        <f>VLOOKUP(B24,[2]Parameters!T15:U105,2)</f>
        <v>0.375</v>
      </c>
      <c r="R24" s="78">
        <f>VLOOKUP(B24,[2]Parameters!W15:X105,2)</f>
        <v>0.1</v>
      </c>
      <c r="S24" s="108"/>
      <c r="T24" s="102">
        <f t="shared" si="10"/>
        <v>0.15047228627617043</v>
      </c>
      <c r="V24" s="94">
        <f t="shared" si="11"/>
        <v>3.0396309075308183E-2</v>
      </c>
      <c r="X24" s="34">
        <f t="shared" si="12"/>
        <v>1.9814943149488178E-3</v>
      </c>
      <c r="Z24" s="94">
        <f t="shared" si="13"/>
        <v>0.18392294338192477</v>
      </c>
      <c r="AB24" s="94">
        <f t="shared" si="14"/>
        <v>0.18392294338192477</v>
      </c>
      <c r="AD24" s="110">
        <f t="shared" si="15"/>
        <v>0.45128551788467169</v>
      </c>
      <c r="AE24" s="111"/>
      <c r="AF24" s="112">
        <f t="shared" si="8"/>
        <v>1</v>
      </c>
      <c r="AG24" s="108"/>
      <c r="AH24" s="131">
        <f>('[2]Cost Summary'!$D$41/1000000)*(1-(F24+H24))</f>
        <v>0.87232185651091687</v>
      </c>
      <c r="AJ24" s="54">
        <f t="shared" ca="1" si="0"/>
        <v>3.4015613767128268</v>
      </c>
      <c r="AL24" s="138">
        <f t="shared" ca="1" si="1"/>
        <v>15.699010901440332</v>
      </c>
      <c r="AO24" s="135">
        <f t="shared" ca="1" si="2"/>
        <v>113.33799925237621</v>
      </c>
      <c r="AP24" s="108"/>
      <c r="AQ24" s="31">
        <f t="shared" ca="1" si="3"/>
        <v>0.15004328738921435</v>
      </c>
      <c r="AR24" s="31"/>
      <c r="AS24" s="31">
        <f t="shared" si="9"/>
        <v>2.4317047260246548E-2</v>
      </c>
      <c r="AT24" s="31"/>
      <c r="AU24" s="31">
        <f t="shared" ca="1" si="4"/>
        <v>5.3034298655569288E-4</v>
      </c>
      <c r="AV24" s="31"/>
      <c r="AW24" s="31">
        <f t="shared" ca="1" si="5"/>
        <v>1.2514251413276225E-2</v>
      </c>
      <c r="AX24" s="31"/>
      <c r="AY24" s="31">
        <f t="shared" ca="1" si="6"/>
        <v>2.1282820408690926E-2</v>
      </c>
      <c r="AZ24" s="31"/>
      <c r="BA24" s="134">
        <f t="shared" ca="1" si="7"/>
        <v>0.15076047037395929</v>
      </c>
    </row>
    <row r="25" spans="1:53">
      <c r="A25" s="78"/>
      <c r="B25">
        <v>27</v>
      </c>
      <c r="D25" s="78">
        <v>12</v>
      </c>
      <c r="E25" s="108"/>
      <c r="F25">
        <f>VLOOKUP(B25,[2]Parameters!E16:F106,2)</f>
        <v>4.9799999999999997E-2</v>
      </c>
      <c r="H25">
        <f>VLOOKUP(B25,[2]Parameters!H16:I106,2)</f>
        <v>0.01</v>
      </c>
      <c r="J25">
        <f>VLOOKUP(B25,[2]Parameters!K16:L106,2)</f>
        <v>0.12</v>
      </c>
      <c r="L25">
        <f>VLOOKUP(B25,[2]Parameters!N16:O106,2)</f>
        <v>5.5E-2</v>
      </c>
      <c r="N25">
        <f>VLOOKUP(B25,[2]Parameters!T16:U106,2)</f>
        <v>0.375</v>
      </c>
      <c r="P25">
        <f>VLOOKUP(B25,[2]Parameters!T16:U106,2)</f>
        <v>0.375</v>
      </c>
      <c r="R25" s="78">
        <f>VLOOKUP(B25,[2]Parameters!W16:X106,2)</f>
        <v>0.1</v>
      </c>
      <c r="S25" s="108"/>
      <c r="T25" s="102">
        <f t="shared" si="10"/>
        <v>0.1249220920664767</v>
      </c>
      <c r="V25" s="94">
        <f t="shared" si="11"/>
        <v>2.535178853121442E-2</v>
      </c>
      <c r="X25" s="34">
        <f t="shared" si="12"/>
        <v>1.6717969991419501E-3</v>
      </c>
      <c r="Z25" s="94">
        <f t="shared" si="13"/>
        <v>0.17692926494697286</v>
      </c>
      <c r="AB25" s="94">
        <f t="shared" si="14"/>
        <v>0.17692926494697286</v>
      </c>
      <c r="AD25" s="110">
        <f t="shared" si="15"/>
        <v>0.49586758950836296</v>
      </c>
      <c r="AE25" s="111"/>
      <c r="AF25" s="112">
        <f t="shared" si="8"/>
        <v>0.99999999999999989</v>
      </c>
      <c r="AG25" s="108"/>
      <c r="AH25" s="131">
        <f>('[2]Cost Summary'!$D$41/1000000)*(1-(F25+H25))</f>
        <v>0.87232185651091687</v>
      </c>
      <c r="AJ25" s="54">
        <f t="shared" ca="1" si="0"/>
        <v>3.4015613767128268</v>
      </c>
      <c r="AL25" s="138">
        <f t="shared" ca="1" si="1"/>
        <v>15.089190670880846</v>
      </c>
      <c r="AO25" s="135">
        <f t="shared" ca="1" si="2"/>
        <v>109.60917683778611</v>
      </c>
      <c r="AP25" s="108"/>
      <c r="AQ25" s="31">
        <f t="shared" ca="1" si="3"/>
        <v>0.12456593719052576</v>
      </c>
      <c r="AR25" s="31"/>
      <c r="AS25" s="31">
        <f t="shared" si="9"/>
        <v>2.0281430824971539E-2</v>
      </c>
      <c r="AT25" s="31"/>
      <c r="AU25" s="31">
        <f t="shared" ca="1" si="4"/>
        <v>4.4745311997662157E-4</v>
      </c>
      <c r="AV25" s="31"/>
      <c r="AW25" s="31">
        <f t="shared" ca="1" si="5"/>
        <v>1.2038396424065576E-2</v>
      </c>
      <c r="AX25" s="31"/>
      <c r="AY25" s="31">
        <f t="shared" ca="1" si="6"/>
        <v>2.0473540177577337E-2</v>
      </c>
      <c r="AZ25" s="31"/>
      <c r="BA25" s="134">
        <f t="shared" ca="1" si="7"/>
        <v>0.12471008243916001</v>
      </c>
    </row>
    <row r="26" spans="1:53">
      <c r="A26" s="78"/>
      <c r="B26">
        <v>28</v>
      </c>
      <c r="D26" s="78">
        <v>13</v>
      </c>
      <c r="E26" s="108"/>
      <c r="F26">
        <f>VLOOKUP(B26,[2]Parameters!E17:F107,2)</f>
        <v>4.9799999999999997E-2</v>
      </c>
      <c r="H26">
        <f>VLOOKUP(B26,[2]Parameters!H17:I107,2)</f>
        <v>0.01</v>
      </c>
      <c r="J26">
        <f>VLOOKUP(B26,[2]Parameters!K17:L107,2)</f>
        <v>0.12</v>
      </c>
      <c r="L26">
        <f>VLOOKUP(B26,[2]Parameters!N17:O107,2)</f>
        <v>5.5E-2</v>
      </c>
      <c r="N26">
        <f>VLOOKUP(B26,[2]Parameters!T17:U107,2)</f>
        <v>0.375</v>
      </c>
      <c r="P26">
        <f>VLOOKUP(B26,[2]Parameters!T17:U107,2)</f>
        <v>0.375</v>
      </c>
      <c r="R26" s="78">
        <f>VLOOKUP(B26,[2]Parameters!W17:X107,2)</f>
        <v>0.1</v>
      </c>
      <c r="S26" s="108"/>
      <c r="T26" s="102">
        <f t="shared" si="10"/>
        <v>0.10371032083358896</v>
      </c>
      <c r="V26" s="94">
        <f t="shared" si="11"/>
        <v>2.1075080295468659E-2</v>
      </c>
      <c r="X26" s="34">
        <f t="shared" si="12"/>
        <v>1.3943483692167931E-3</v>
      </c>
      <c r="Z26" s="94">
        <f t="shared" si="13"/>
        <v>0.168743259151481</v>
      </c>
      <c r="AB26" s="94">
        <f t="shared" si="14"/>
        <v>0.168743259151481</v>
      </c>
      <c r="AD26" s="110">
        <f t="shared" si="15"/>
        <v>0.53772808056798027</v>
      </c>
      <c r="AE26" s="111"/>
      <c r="AF26" s="112">
        <f t="shared" si="8"/>
        <v>0.99999999999999989</v>
      </c>
      <c r="AG26" s="108"/>
      <c r="AH26" s="131">
        <f>('[2]Cost Summary'!$D$41/1000000)*(1-(F26+H26))</f>
        <v>0.87232185651091687</v>
      </c>
      <c r="AJ26" s="54">
        <f t="shared" ca="1" si="0"/>
        <v>3.4015613767128268</v>
      </c>
      <c r="AL26" s="138">
        <f t="shared" ca="1" si="1"/>
        <v>14.380073033187372</v>
      </c>
      <c r="AO26" s="135">
        <f t="shared" ca="1" si="2"/>
        <v>105.93380193593974</v>
      </c>
      <c r="AP26" s="108"/>
      <c r="AQ26" s="31">
        <f t="shared" ca="1" si="3"/>
        <v>0.10341464105557449</v>
      </c>
      <c r="AR26" s="31"/>
      <c r="AS26" s="31">
        <f t="shared" si="9"/>
        <v>1.6860064236374928E-2</v>
      </c>
      <c r="AT26" s="31"/>
      <c r="AU26" s="31">
        <f t="shared" ca="1" si="4"/>
        <v>3.7319454961373173E-4</v>
      </c>
      <c r="AV26" s="31"/>
      <c r="AW26" s="31">
        <f t="shared" ca="1" si="5"/>
        <v>1.1481414610314388E-2</v>
      </c>
      <c r="AX26" s="31"/>
      <c r="AY26" s="31">
        <f t="shared" ca="1" si="6"/>
        <v>1.9526288638392376E-2</v>
      </c>
      <c r="AZ26" s="31"/>
      <c r="BA26" s="134">
        <f t="shared" ca="1" si="7"/>
        <v>0.10327008614179282</v>
      </c>
    </row>
    <row r="27" spans="1:53">
      <c r="A27" s="78"/>
      <c r="B27">
        <v>29</v>
      </c>
      <c r="D27" s="78">
        <v>14</v>
      </c>
      <c r="E27" s="108"/>
      <c r="F27">
        <f>VLOOKUP(B27,[2]Parameters!E18:F108,2)</f>
        <v>4.9799999999999997E-2</v>
      </c>
      <c r="H27">
        <f>VLOOKUP(B27,[2]Parameters!H18:I108,2)</f>
        <v>0.01</v>
      </c>
      <c r="J27">
        <f>VLOOKUP(B27,[2]Parameters!K18:L108,2)</f>
        <v>0.12</v>
      </c>
      <c r="L27">
        <f>VLOOKUP(B27,[2]Parameters!N18:O108,2)</f>
        <v>5.5E-2</v>
      </c>
      <c r="N27">
        <f>VLOOKUP(B27,[2]Parameters!T18:U108,2)</f>
        <v>0.375</v>
      </c>
      <c r="P27">
        <f>VLOOKUP(B27,[2]Parameters!T18:U108,2)</f>
        <v>0.375</v>
      </c>
      <c r="R27" s="78">
        <f>VLOOKUP(B27,[2]Parameters!W18:X108,2)</f>
        <v>0.1</v>
      </c>
      <c r="S27" s="108"/>
      <c r="T27" s="102">
        <f t="shared" si="10"/>
        <v>8.6100308356045541E-2</v>
      </c>
      <c r="V27" s="94">
        <f t="shared" si="11"/>
        <v>1.7503257770943154E-2</v>
      </c>
      <c r="X27" s="34">
        <f t="shared" si="12"/>
        <v>1.1591294162507763E-3</v>
      </c>
      <c r="Z27" s="94">
        <f t="shared" si="13"/>
        <v>0.15977208834713366</v>
      </c>
      <c r="AB27" s="94">
        <f t="shared" si="14"/>
        <v>0.15977208834713366</v>
      </c>
      <c r="AD27" s="110">
        <f t="shared" si="15"/>
        <v>0.576852257178744</v>
      </c>
      <c r="AE27" s="111"/>
      <c r="AF27" s="112">
        <f t="shared" si="8"/>
        <v>1</v>
      </c>
      <c r="AG27" s="108"/>
      <c r="AH27" s="131">
        <f>('[2]Cost Summary'!$D$41/1000000)*(1-(F27+H27))</f>
        <v>0.87232185651091687</v>
      </c>
      <c r="AJ27" s="54">
        <f t="shared" ca="1" si="0"/>
        <v>3.4015613767128268</v>
      </c>
      <c r="AL27" s="138">
        <f t="shared" ca="1" si="1"/>
        <v>13.606719028496247</v>
      </c>
      <c r="AO27" s="135">
        <f t="shared" ca="1" si="2"/>
        <v>102.3370732914138</v>
      </c>
      <c r="AP27" s="108"/>
      <c r="AQ27" s="31">
        <f t="shared" ca="1" si="3"/>
        <v>8.5854835004337937E-2</v>
      </c>
      <c r="AR27" s="31"/>
      <c r="AS27" s="31">
        <f t="shared" si="9"/>
        <v>1.4002606216754525E-2</v>
      </c>
      <c r="AT27" s="31"/>
      <c r="AU27" s="31">
        <f t="shared" ca="1" si="4"/>
        <v>3.102386677475137E-4</v>
      </c>
      <c r="AV27" s="31"/>
      <c r="AW27" s="31">
        <f t="shared" ca="1" si="5"/>
        <v>1.0871009595840923E-2</v>
      </c>
      <c r="AX27" s="31"/>
      <c r="AY27" s="31">
        <f t="shared" ca="1" si="6"/>
        <v>1.8488180974531556E-2</v>
      </c>
      <c r="AZ27" s="31"/>
      <c r="BA27" s="134">
        <f t="shared" ca="1" si="7"/>
        <v>8.5632520392547068E-2</v>
      </c>
    </row>
    <row r="28" spans="1:53">
      <c r="A28" s="78"/>
      <c r="B28">
        <v>30</v>
      </c>
      <c r="D28" s="78">
        <v>15</v>
      </c>
      <c r="E28" s="108"/>
      <c r="F28">
        <f>VLOOKUP(B28,[2]Parameters!E19:F109,2)</f>
        <v>6.2700000000000006E-2</v>
      </c>
      <c r="H28">
        <f>VLOOKUP(B28,[2]Parameters!H19:I109,2)</f>
        <v>0.01</v>
      </c>
      <c r="J28">
        <f>VLOOKUP(B28,[2]Parameters!K19:L109,2)</f>
        <v>7.0000000000000007E-2</v>
      </c>
      <c r="L28">
        <f>VLOOKUP(B28,[2]Parameters!N19:O109,2)</f>
        <v>0.11</v>
      </c>
      <c r="N28">
        <f>VLOOKUP(B28,[2]Parameters!T19:U109,2)</f>
        <v>0.375</v>
      </c>
      <c r="P28">
        <f>VLOOKUP(B28,[2]Parameters!T19:U109,2)</f>
        <v>0.375</v>
      </c>
      <c r="R28" s="78">
        <f>VLOOKUP(B28,[2]Parameters!W19:X109,2)</f>
        <v>0.1</v>
      </c>
      <c r="S28" s="108"/>
      <c r="T28" s="102">
        <f t="shared" si="10"/>
        <v>7.1480475997189014E-2</v>
      </c>
      <c r="V28" s="94">
        <f t="shared" si="11"/>
        <v>1.4532818867751821E-2</v>
      </c>
      <c r="X28" s="34">
        <f t="shared" si="12"/>
        <v>9.626791774018735E-4</v>
      </c>
      <c r="Z28" s="94">
        <f t="shared" si="13"/>
        <v>0.15035860117652397</v>
      </c>
      <c r="AB28" s="94">
        <f t="shared" si="14"/>
        <v>0.15035860117652397</v>
      </c>
      <c r="AD28" s="110">
        <f t="shared" si="15"/>
        <v>0.6132695027820112</v>
      </c>
      <c r="AE28" s="111"/>
      <c r="AF28" s="112">
        <f t="shared" si="8"/>
        <v>1</v>
      </c>
      <c r="AG28" s="108"/>
      <c r="AH28" s="131">
        <f>('[2]Cost Summary'!$D$41/1000000)*(1-(F28+H28))</f>
        <v>0.86035317756070329</v>
      </c>
      <c r="AJ28" s="54">
        <f t="shared" ca="1" si="0"/>
        <v>3.5558151862077851</v>
      </c>
      <c r="AL28" s="138">
        <f t="shared" ca="1" si="1"/>
        <v>12.798000250633873</v>
      </c>
      <c r="AO28" s="135">
        <f t="shared" ca="1" si="2"/>
        <v>98.92862343764611</v>
      </c>
      <c r="AP28" s="108"/>
      <c r="AQ28" s="31">
        <f t="shared" ca="1" si="3"/>
        <v>7.1276684020601361E-2</v>
      </c>
      <c r="AR28" s="31"/>
      <c r="AS28" s="31">
        <f t="shared" si="9"/>
        <v>1.1626255094201458E-2</v>
      </c>
      <c r="AT28" s="31"/>
      <c r="AU28" s="31">
        <f t="shared" ca="1" si="4"/>
        <v>2.5765915460195242E-4</v>
      </c>
      <c r="AV28" s="31"/>
      <c r="AW28" s="31">
        <f t="shared" ca="1" si="5"/>
        <v>1.0230509052719248E-2</v>
      </c>
      <c r="AX28" s="31"/>
      <c r="AY28" s="31">
        <f t="shared" ca="1" si="6"/>
        <v>1.7398890246644632E-2</v>
      </c>
      <c r="AZ28" s="31"/>
      <c r="BA28" s="134">
        <f t="shared" ca="1" si="7"/>
        <v>7.1111883591567462E-2</v>
      </c>
    </row>
    <row r="29" spans="1:53">
      <c r="A29" s="78"/>
      <c r="B29">
        <v>31</v>
      </c>
      <c r="D29" s="78">
        <v>16</v>
      </c>
      <c r="E29" s="108"/>
      <c r="F29">
        <f>VLOOKUP(B29,[2]Parameters!E20:F110,2)</f>
        <v>6.2700000000000006E-2</v>
      </c>
      <c r="H29">
        <f>VLOOKUP(B29,[2]Parameters!H20:I110,2)</f>
        <v>0.01</v>
      </c>
      <c r="J29">
        <f>VLOOKUP(B29,[2]Parameters!K20:L110,2)</f>
        <v>7.0000000000000007E-2</v>
      </c>
      <c r="L29">
        <f>VLOOKUP(B29,[2]Parameters!N20:O110,2)</f>
        <v>0.11</v>
      </c>
      <c r="N29">
        <f>VLOOKUP(B29,[2]Parameters!T20:U110,2)</f>
        <v>0.375</v>
      </c>
      <c r="P29">
        <f>VLOOKUP(B29,[2]Parameters!T20:U110,2)</f>
        <v>0.375</v>
      </c>
      <c r="R29" s="78">
        <f>VLOOKUP(B29,[2]Parameters!W20:X110,2)</f>
        <v>0.1</v>
      </c>
      <c r="S29" s="108"/>
      <c r="T29" s="102">
        <f t="shared" si="10"/>
        <v>6.1995016832362027E-2</v>
      </c>
      <c r="V29" s="94">
        <f t="shared" si="11"/>
        <v>8.4915098480636657E-3</v>
      </c>
      <c r="X29" s="34">
        <f t="shared" si="12"/>
        <v>1.5986100754527004E-3</v>
      </c>
      <c r="Z29" s="94">
        <f t="shared" si="13"/>
        <v>0.1407725481342785</v>
      </c>
      <c r="AB29" s="94">
        <f t="shared" si="14"/>
        <v>0.1407725481342785</v>
      </c>
      <c r="AD29" s="110">
        <f t="shared" si="15"/>
        <v>0.64796837705101717</v>
      </c>
      <c r="AE29" s="111"/>
      <c r="AF29" s="112">
        <f t="shared" si="8"/>
        <v>0.99999999999999989</v>
      </c>
      <c r="AG29" s="108"/>
      <c r="AH29" s="131">
        <f>('[2]Cost Summary'!$D$41/1000000)*(1-(F29+H29))</f>
        <v>0.86035317756070329</v>
      </c>
      <c r="AJ29" s="54">
        <f t="shared" ca="1" si="0"/>
        <v>3.5558151862077851</v>
      </c>
      <c r="AL29" s="138">
        <f t="shared" ca="1" si="1"/>
        <v>12.02034720212469</v>
      </c>
      <c r="AO29" s="135">
        <f t="shared" ca="1" si="2"/>
        <v>95.562599551000986</v>
      </c>
      <c r="AP29" s="108"/>
      <c r="AQ29" s="31">
        <f t="shared" ca="1" si="3"/>
        <v>6.1818268051067556E-2</v>
      </c>
      <c r="AR29" s="31"/>
      <c r="AS29" s="31">
        <f t="shared" si="9"/>
        <v>6.7932078784509325E-3</v>
      </c>
      <c r="AT29" s="31"/>
      <c r="AU29" s="31">
        <f t="shared" ca="1" si="4"/>
        <v>4.2786478636730566E-4</v>
      </c>
      <c r="AV29" s="31"/>
      <c r="AW29" s="31">
        <f t="shared" ca="1" si="5"/>
        <v>9.5782670016416188E-3</v>
      </c>
      <c r="AX29" s="31"/>
      <c r="AY29" s="31">
        <f t="shared" ca="1" si="6"/>
        <v>1.6289630892836651E-2</v>
      </c>
      <c r="AZ29" s="31"/>
      <c r="BA29" s="134">
        <f t="shared" ca="1" si="7"/>
        <v>5.9143053394653637E-2</v>
      </c>
    </row>
    <row r="30" spans="1:53">
      <c r="A30" s="78"/>
      <c r="B30">
        <v>32</v>
      </c>
      <c r="D30" s="78">
        <v>17</v>
      </c>
      <c r="E30" s="108"/>
      <c r="F30">
        <f>VLOOKUP(B30,[2]Parameters!E21:F111,2)</f>
        <v>6.2700000000000006E-2</v>
      </c>
      <c r="H30">
        <f>VLOOKUP(B30,[2]Parameters!H21:I111,2)</f>
        <v>0.01</v>
      </c>
      <c r="J30">
        <f>VLOOKUP(B30,[2]Parameters!K21:L111,2)</f>
        <v>7.0000000000000007E-2</v>
      </c>
      <c r="L30">
        <f>VLOOKUP(B30,[2]Parameters!N21:O111,2)</f>
        <v>0.11</v>
      </c>
      <c r="N30">
        <f>VLOOKUP(B30,[2]Parameters!T21:U111,2)</f>
        <v>0.375</v>
      </c>
      <c r="P30">
        <f>VLOOKUP(B30,[2]Parameters!T21:U111,2)</f>
        <v>0.375</v>
      </c>
      <c r="R30" s="78">
        <f>VLOOKUP(B30,[2]Parameters!W21:X111,2)</f>
        <v>0.1</v>
      </c>
      <c r="S30" s="108"/>
      <c r="T30" s="102">
        <f t="shared" si="10"/>
        <v>5.3768278098707586E-2</v>
      </c>
      <c r="V30" s="94">
        <f t="shared" si="11"/>
        <v>6.3776135418006242E-3</v>
      </c>
      <c r="X30" s="34">
        <f t="shared" si="12"/>
        <v>9.3406608328700327E-4</v>
      </c>
      <c r="Z30" s="94">
        <f t="shared" si="13"/>
        <v>0.12987960951387451</v>
      </c>
      <c r="AB30" s="94">
        <f t="shared" si="14"/>
        <v>0.12987960951387451</v>
      </c>
      <c r="AD30" s="110">
        <f t="shared" si="15"/>
        <v>0.68009488933174256</v>
      </c>
      <c r="AE30" s="111"/>
      <c r="AF30" s="112">
        <f t="shared" si="8"/>
        <v>0.99999999999999978</v>
      </c>
      <c r="AG30" s="108"/>
      <c r="AH30" s="131">
        <f>('[2]Cost Summary'!$D$41/1000000)*(1-(F30+H30))</f>
        <v>0.86035317756070329</v>
      </c>
      <c r="AJ30" s="54">
        <f t="shared" ca="1" si="0"/>
        <v>3.5558151862077851</v>
      </c>
      <c r="AL30" s="138">
        <f t="shared" ca="1" si="1"/>
        <v>11.060526798627183</v>
      </c>
      <c r="AO30" s="135">
        <f t="shared" ca="1" si="2"/>
        <v>92.198515735876128</v>
      </c>
      <c r="AP30" s="108"/>
      <c r="AQ30" s="31">
        <f t="shared" ca="1" si="3"/>
        <v>5.3614983880690886E-2</v>
      </c>
      <c r="AR30" s="31"/>
      <c r="AS30" s="31">
        <f t="shared" si="9"/>
        <v>5.1020908334404999E-3</v>
      </c>
      <c r="AT30" s="31"/>
      <c r="AU30" s="31">
        <f t="shared" ca="1" si="4"/>
        <v>2.5000091724391521E-4</v>
      </c>
      <c r="AV30" s="31"/>
      <c r="AW30" s="31">
        <f t="shared" ca="1" si="5"/>
        <v>8.8371035012182204E-3</v>
      </c>
      <c r="AX30" s="31"/>
      <c r="AY30" s="31">
        <f t="shared" ca="1" si="6"/>
        <v>1.5029144016549877E-2</v>
      </c>
      <c r="AZ30" s="31"/>
      <c r="BA30" s="134">
        <f t="shared" ca="1" si="7"/>
        <v>5.011552276920616E-2</v>
      </c>
    </row>
    <row r="31" spans="1:53">
      <c r="A31" s="78"/>
      <c r="B31">
        <v>33</v>
      </c>
      <c r="D31" s="78">
        <v>18</v>
      </c>
      <c r="E31" s="108"/>
      <c r="F31">
        <f>VLOOKUP(B31,[2]Parameters!E22:F112,2)</f>
        <v>6.2700000000000006E-2</v>
      </c>
      <c r="H31">
        <f>VLOOKUP(B31,[2]Parameters!H22:I112,2)</f>
        <v>0.01</v>
      </c>
      <c r="J31">
        <f>VLOOKUP(B31,[2]Parameters!K22:L112,2)</f>
        <v>7.0000000000000007E-2</v>
      </c>
      <c r="L31">
        <f>VLOOKUP(B31,[2]Parameters!N22:O112,2)</f>
        <v>0.11</v>
      </c>
      <c r="N31">
        <f>VLOOKUP(B31,[2]Parameters!T22:U112,2)</f>
        <v>0.375</v>
      </c>
      <c r="P31">
        <f>VLOOKUP(B31,[2]Parameters!T22:U112,2)</f>
        <v>0.375</v>
      </c>
      <c r="R31" s="78">
        <f>VLOOKUP(B31,[2]Parameters!W22:X112,2)</f>
        <v>0.1</v>
      </c>
      <c r="S31" s="108"/>
      <c r="T31" s="102">
        <f t="shared" si="10"/>
        <v>4.663322759500909E-2</v>
      </c>
      <c r="V31" s="94">
        <f t="shared" si="11"/>
        <v>5.2944067169416811E-3</v>
      </c>
      <c r="X31" s="34">
        <f t="shared" si="12"/>
        <v>7.015374895980687E-4</v>
      </c>
      <c r="Z31" s="94">
        <f t="shared" si="13"/>
        <v>0.11928325364066229</v>
      </c>
      <c r="AB31" s="94">
        <f t="shared" si="14"/>
        <v>0.11928325364066229</v>
      </c>
      <c r="AD31" s="110">
        <f t="shared" si="15"/>
        <v>0.70950585840672431</v>
      </c>
      <c r="AE31" s="111"/>
      <c r="AF31" s="112">
        <f t="shared" si="8"/>
        <v>0.99999999999999967</v>
      </c>
      <c r="AG31" s="108"/>
      <c r="AH31" s="131">
        <f>('[2]Cost Summary'!$D$41/1000000)*(1-(F31+H31))</f>
        <v>0.86035317756070329</v>
      </c>
      <c r="AJ31" s="54">
        <f t="shared" ca="1" si="0"/>
        <v>3.5558151862077851</v>
      </c>
      <c r="AL31" s="138">
        <f t="shared" ca="1" si="1"/>
        <v>10.149561587199287</v>
      </c>
      <c r="AO31" s="135">
        <f t="shared" ca="1" si="2"/>
        <v>88.978026020747379</v>
      </c>
      <c r="AP31" s="108"/>
      <c r="AQ31" s="31">
        <f t="shared" ca="1" si="3"/>
        <v>4.650027551972321E-2</v>
      </c>
      <c r="AR31" s="31"/>
      <c r="AS31" s="31">
        <f t="shared" si="9"/>
        <v>4.2355253735533449E-3</v>
      </c>
      <c r="AT31" s="31"/>
      <c r="AU31" s="31">
        <f t="shared" ca="1" si="4"/>
        <v>1.8776510465226003E-4</v>
      </c>
      <c r="AV31" s="31"/>
      <c r="AW31" s="31">
        <f t="shared" ca="1" si="5"/>
        <v>8.1161197075510973E-3</v>
      </c>
      <c r="AX31" s="31"/>
      <c r="AY31" s="31">
        <f t="shared" ca="1" si="6"/>
        <v>1.3802976498298231E-2</v>
      </c>
      <c r="AZ31" s="31"/>
      <c r="BA31" s="134">
        <f t="shared" ca="1" si="7"/>
        <v>4.2787386982913685E-2</v>
      </c>
    </row>
    <row r="32" spans="1:53">
      <c r="A32" s="78"/>
      <c r="B32">
        <v>34</v>
      </c>
      <c r="D32" s="78">
        <v>19</v>
      </c>
      <c r="E32" s="108"/>
      <c r="F32">
        <f>VLOOKUP(B32,[2]Parameters!E23:F113,2)</f>
        <v>6.2700000000000006E-2</v>
      </c>
      <c r="H32">
        <f>VLOOKUP(B32,[2]Parameters!H23:I113,2)</f>
        <v>0.01</v>
      </c>
      <c r="J32">
        <f>VLOOKUP(B32,[2]Parameters!K23:L113,2)</f>
        <v>7.0000000000000007E-2</v>
      </c>
      <c r="L32">
        <f>VLOOKUP(B32,[2]Parameters!N23:O113,2)</f>
        <v>0.11</v>
      </c>
      <c r="N32">
        <f>VLOOKUP(B32,[2]Parameters!T23:U113,2)</f>
        <v>0.375</v>
      </c>
      <c r="P32">
        <f>VLOOKUP(B32,[2]Parameters!T23:U113,2)</f>
        <v>0.375</v>
      </c>
      <c r="R32" s="78">
        <f>VLOOKUP(B32,[2]Parameters!W23:X113,2)</f>
        <v>0.1</v>
      </c>
      <c r="S32" s="108"/>
      <c r="T32" s="102">
        <f t="shared" si="10"/>
        <v>4.0444998293151381E-2</v>
      </c>
      <c r="V32" s="94">
        <f t="shared" si="11"/>
        <v>4.5349835437166405E-3</v>
      </c>
      <c r="X32" s="34">
        <f t="shared" si="12"/>
        <v>5.8238473886358492E-4</v>
      </c>
      <c r="Z32" s="94">
        <f t="shared" si="13"/>
        <v>0.10934033079544919</v>
      </c>
      <c r="AB32" s="94">
        <f t="shared" si="14"/>
        <v>0.10934033079544919</v>
      </c>
      <c r="AD32" s="110">
        <f t="shared" si="15"/>
        <v>0.73633935657223315</v>
      </c>
      <c r="AE32" s="111"/>
      <c r="AF32" s="112">
        <f t="shared" si="8"/>
        <v>0.99999999999999956</v>
      </c>
      <c r="AG32" s="108"/>
      <c r="AH32" s="131">
        <f>('[2]Cost Summary'!$D$41/1000000)*(1-(F32+H32))</f>
        <v>0.86035317756070329</v>
      </c>
      <c r="AJ32" s="54">
        <f t="shared" ca="1" si="0"/>
        <v>3.5558151862077851</v>
      </c>
      <c r="AL32" s="138">
        <f t="shared" ca="1" si="1"/>
        <v>9.300208387824382</v>
      </c>
      <c r="AO32" s="135">
        <f t="shared" ca="1" si="2"/>
        <v>85.902058768420332</v>
      </c>
      <c r="AP32" s="108"/>
      <c r="AQ32" s="31">
        <f t="shared" ca="1" si="3"/>
        <v>4.0329688958255935E-2</v>
      </c>
      <c r="AR32" s="31"/>
      <c r="AS32" s="31">
        <f t="shared" si="9"/>
        <v>3.6279868349733124E-3</v>
      </c>
      <c r="AT32" s="31"/>
      <c r="AU32" s="31">
        <f t="shared" ca="1" si="4"/>
        <v>1.5587410945529202E-4</v>
      </c>
      <c r="AV32" s="31"/>
      <c r="AW32" s="31">
        <f t="shared" ca="1" si="5"/>
        <v>7.4395959744058349E-3</v>
      </c>
      <c r="AX32" s="31"/>
      <c r="AY32" s="31">
        <f t="shared" ca="1" si="6"/>
        <v>1.2652421611773197E-2</v>
      </c>
      <c r="AZ32" s="31"/>
      <c r="BA32" s="134">
        <f t="shared" ca="1" si="7"/>
        <v>3.6615537982428906E-2</v>
      </c>
    </row>
    <row r="33" spans="1:53">
      <c r="A33" s="78"/>
      <c r="B33">
        <v>35</v>
      </c>
      <c r="D33" s="78">
        <v>20</v>
      </c>
      <c r="E33" s="108"/>
      <c r="F33">
        <f>VLOOKUP(B33,[2]Parameters!E24:F114,2)</f>
        <v>6.4699999999999994E-2</v>
      </c>
      <c r="H33">
        <f>VLOOKUP(B33,[2]Parameters!H24:I114,2)</f>
        <v>0.01</v>
      </c>
      <c r="J33">
        <f>VLOOKUP(B33,[2]Parameters!K24:L114,2)</f>
        <v>7.0000000000000007E-2</v>
      </c>
      <c r="L33">
        <f>VLOOKUP(B33,[2]Parameters!N24:O114,2)</f>
        <v>0.11</v>
      </c>
      <c r="N33">
        <f>VLOOKUP(B33,[2]Parameters!T24:U114,2)</f>
        <v>0.375</v>
      </c>
      <c r="P33">
        <f>VLOOKUP(B33,[2]Parameters!T24:U114,2)</f>
        <v>0.375</v>
      </c>
      <c r="R33" s="78">
        <f>VLOOKUP(B33,[2]Parameters!W24:X114,2)</f>
        <v>0.1</v>
      </c>
      <c r="S33" s="108"/>
      <c r="T33" s="102">
        <f t="shared" si="10"/>
        <v>3.5077947019650189E-2</v>
      </c>
      <c r="V33" s="94">
        <f t="shared" si="11"/>
        <v>3.9195459310125908E-3</v>
      </c>
      <c r="X33" s="34">
        <f t="shared" si="12"/>
        <v>4.9884818980883041E-4</v>
      </c>
      <c r="Z33" s="94">
        <f t="shared" si="13"/>
        <v>0.10010691654479802</v>
      </c>
      <c r="AB33" s="94">
        <f t="shared" si="14"/>
        <v>0.10010691654479802</v>
      </c>
      <c r="AD33" s="110">
        <f t="shared" si="15"/>
        <v>0.76078867395974059</v>
      </c>
      <c r="AE33" s="111"/>
      <c r="AF33" s="112">
        <f t="shared" si="8"/>
        <v>0.99999999999999933</v>
      </c>
      <c r="AG33" s="108"/>
      <c r="AH33" s="131">
        <f>('[2]Cost Summary'!$D$41/1000000)*(1-(F33+H33))</f>
        <v>0.85849756842113523</v>
      </c>
      <c r="AJ33" s="54">
        <f t="shared" ca="1" si="0"/>
        <v>3.5558151862077851</v>
      </c>
      <c r="AL33" s="138">
        <f t="shared" ca="1" si="1"/>
        <v>8.512951859195045</v>
      </c>
      <c r="AO33" s="135">
        <f t="shared" ca="1" si="2"/>
        <v>82.963144798701961</v>
      </c>
      <c r="AP33" s="108"/>
      <c r="AQ33" s="31">
        <f t="shared" ca="1" si="3"/>
        <v>3.4977939233495368E-2</v>
      </c>
      <c r="AR33" s="31"/>
      <c r="AS33" s="31">
        <f t="shared" si="9"/>
        <v>3.1356367448100728E-3</v>
      </c>
      <c r="AT33" s="31"/>
      <c r="AU33" s="31">
        <f t="shared" ca="1" si="4"/>
        <v>1.3351571933626765E-4</v>
      </c>
      <c r="AV33" s="31"/>
      <c r="AW33" s="31">
        <f t="shared" ca="1" si="5"/>
        <v>6.8113477242914772E-3</v>
      </c>
      <c r="AX33" s="31"/>
      <c r="AY33" s="31">
        <f t="shared" ca="1" si="6"/>
        <v>1.1583968195129099E-2</v>
      </c>
      <c r="AZ33" s="31"/>
      <c r="BA33" s="134">
        <f t="shared" ca="1" si="7"/>
        <v>3.136152775630676E-2</v>
      </c>
    </row>
    <row r="34" spans="1:53">
      <c r="A34" s="78"/>
      <c r="B34">
        <v>36</v>
      </c>
      <c r="D34" s="78">
        <v>21</v>
      </c>
      <c r="E34" s="108"/>
      <c r="F34">
        <f>VLOOKUP(B34,[2]Parameters!E25:F115,2)</f>
        <v>6.4699999999999994E-2</v>
      </c>
      <c r="H34">
        <f>VLOOKUP(B34,[2]Parameters!H25:I115,2)</f>
        <v>0.01</v>
      </c>
      <c r="J34">
        <f>VLOOKUP(B34,[2]Parameters!K25:L115,2)</f>
        <v>7.0000000000000007E-2</v>
      </c>
      <c r="L34">
        <f>VLOOKUP(B34,[2]Parameters!N25:O115,2)</f>
        <v>0.11</v>
      </c>
      <c r="N34">
        <f>VLOOKUP(B34,[2]Parameters!T25:U115,2)</f>
        <v>0.375</v>
      </c>
      <c r="P34">
        <f>VLOOKUP(B34,[2]Parameters!T25:U115,2)</f>
        <v>0.375</v>
      </c>
      <c r="R34" s="78">
        <f>VLOOKUP(B34,[2]Parameters!W25:X115,2)</f>
        <v>0.1</v>
      </c>
      <c r="S34" s="108"/>
      <c r="T34" s="102">
        <f t="shared" si="10"/>
        <v>3.0352947556103311E-2</v>
      </c>
      <c r="V34" s="94">
        <f t="shared" si="11"/>
        <v>3.3961473148185341E-3</v>
      </c>
      <c r="X34" s="34">
        <f t="shared" si="12"/>
        <v>4.3115005241138501E-4</v>
      </c>
      <c r="Z34" s="94">
        <f t="shared" si="13"/>
        <v>9.1566054614447931E-2</v>
      </c>
      <c r="AB34" s="94">
        <f t="shared" si="14"/>
        <v>9.1566054614447931E-2</v>
      </c>
      <c r="AD34" s="110">
        <f t="shared" si="15"/>
        <v>0.78311879590018152</v>
      </c>
      <c r="AE34" s="111"/>
      <c r="AF34" s="112">
        <f t="shared" si="8"/>
        <v>0.99999999999999922</v>
      </c>
      <c r="AG34" s="108"/>
      <c r="AH34" s="131">
        <f>('[2]Cost Summary'!$D$41/1000000)*(1-(F34+H34))</f>
        <v>0.85849756842113523</v>
      </c>
      <c r="AJ34" s="54">
        <f t="shared" ca="1" si="0"/>
        <v>3.5558151862077851</v>
      </c>
      <c r="AL34" s="138">
        <f t="shared" ca="1" si="1"/>
        <v>7.785269006714481</v>
      </c>
      <c r="AO34" s="135">
        <f t="shared" ca="1" si="2"/>
        <v>80.155577132569263</v>
      </c>
      <c r="AP34" s="108"/>
      <c r="AQ34" s="31">
        <f t="shared" ca="1" si="3"/>
        <v>3.0266410818743546E-2</v>
      </c>
      <c r="AR34" s="31"/>
      <c r="AS34" s="31">
        <f t="shared" si="9"/>
        <v>2.7169178518548272E-3</v>
      </c>
      <c r="AT34" s="31"/>
      <c r="AU34" s="31">
        <f t="shared" ca="1" si="4"/>
        <v>1.1539644838971122E-4</v>
      </c>
      <c r="AV34" s="31"/>
      <c r="AW34" s="31">
        <f t="shared" ca="1" si="5"/>
        <v>6.2302212399216938E-3</v>
      </c>
      <c r="AX34" s="31"/>
      <c r="AY34" s="31">
        <f t="shared" ca="1" si="6"/>
        <v>1.0595654136770407E-2</v>
      </c>
      <c r="AZ34" s="31"/>
      <c r="BA34" s="134">
        <f t="shared" ca="1" si="7"/>
        <v>2.683693284650214E-2</v>
      </c>
    </row>
    <row r="35" spans="1:53">
      <c r="A35" s="78"/>
      <c r="B35">
        <v>37</v>
      </c>
      <c r="D35" s="78">
        <v>22</v>
      </c>
      <c r="E35" s="108"/>
      <c r="F35">
        <f>VLOOKUP(B35,[2]Parameters!E26:F116,2)</f>
        <v>6.4699999999999994E-2</v>
      </c>
      <c r="H35">
        <f>VLOOKUP(B35,[2]Parameters!H26:I116,2)</f>
        <v>0.01</v>
      </c>
      <c r="J35">
        <f>VLOOKUP(B35,[2]Parameters!K26:L116,2)</f>
        <v>7.0000000000000007E-2</v>
      </c>
      <c r="L35">
        <f>VLOOKUP(B35,[2]Parameters!N26:O116,2)</f>
        <v>0.11</v>
      </c>
      <c r="N35">
        <f>VLOOKUP(B35,[2]Parameters!T26:U116,2)</f>
        <v>0.375</v>
      </c>
      <c r="P35">
        <f>VLOOKUP(B35,[2]Parameters!T26:U116,2)</f>
        <v>0.375</v>
      </c>
      <c r="R35" s="78">
        <f>VLOOKUP(B35,[2]Parameters!W26:X116,2)</f>
        <v>0.1</v>
      </c>
      <c r="S35" s="108"/>
      <c r="T35" s="102">
        <f t="shared" si="10"/>
        <v>2.6264405520296193E-2</v>
      </c>
      <c r="V35" s="94">
        <f t="shared" si="11"/>
        <v>2.9397816844836796E-3</v>
      </c>
      <c r="X35" s="34">
        <f t="shared" si="12"/>
        <v>3.7357620463003875E-4</v>
      </c>
      <c r="Z35" s="94">
        <f t="shared" si="13"/>
        <v>8.3683004396060079E-2</v>
      </c>
      <c r="AB35" s="94">
        <f t="shared" si="14"/>
        <v>8.3683004396060079E-2</v>
      </c>
      <c r="AD35" s="110">
        <f t="shared" si="15"/>
        <v>0.80342980400309916</v>
      </c>
      <c r="AE35" s="111"/>
      <c r="AF35" s="112">
        <f t="shared" si="8"/>
        <v>0.99999999999999922</v>
      </c>
      <c r="AG35" s="108"/>
      <c r="AH35" s="131">
        <f>('[2]Cost Summary'!$D$41/1000000)*(1-(F35+H35))</f>
        <v>0.85849756842113523</v>
      </c>
      <c r="AJ35" s="54">
        <f t="shared" ca="1" si="0"/>
        <v>3.5558151862077851</v>
      </c>
      <c r="AL35" s="138">
        <f t="shared" ca="1" si="1"/>
        <v>7.1139013661729846</v>
      </c>
      <c r="AO35" s="135">
        <f t="shared" ca="1" si="2"/>
        <v>77.470566935463481</v>
      </c>
      <c r="AP35" s="108"/>
      <c r="AQ35" s="31">
        <f t="shared" ca="1" si="3"/>
        <v>2.6189525281458789E-2</v>
      </c>
      <c r="AR35" s="31"/>
      <c r="AS35" s="31">
        <f t="shared" si="9"/>
        <v>2.3518253475869437E-3</v>
      </c>
      <c r="AT35" s="31"/>
      <c r="AU35" s="31">
        <f t="shared" ca="1" si="4"/>
        <v>9.9986923290644393E-5</v>
      </c>
      <c r="AV35" s="31"/>
      <c r="AW35" s="31">
        <f t="shared" ca="1" si="5"/>
        <v>5.6938527449290101E-3</v>
      </c>
      <c r="AX35" s="31"/>
      <c r="AY35" s="31">
        <f t="shared" ca="1" si="6"/>
        <v>9.6834593937673505E-3</v>
      </c>
      <c r="AZ35" s="31"/>
      <c r="BA35" s="134">
        <f t="shared" ca="1" si="7"/>
        <v>2.2973003172727526E-2</v>
      </c>
    </row>
    <row r="36" spans="1:53">
      <c r="A36" s="78"/>
      <c r="B36">
        <v>38</v>
      </c>
      <c r="D36" s="78">
        <v>23</v>
      </c>
      <c r="E36" s="108"/>
      <c r="F36">
        <f>VLOOKUP(B36,[2]Parameters!E27:F117,2)</f>
        <v>6.4699999999999994E-2</v>
      </c>
      <c r="H36">
        <f>VLOOKUP(B36,[2]Parameters!H27:I117,2)</f>
        <v>0.01</v>
      </c>
      <c r="J36">
        <f>VLOOKUP(B36,[2]Parameters!K27:L117,2)</f>
        <v>7.0000000000000007E-2</v>
      </c>
      <c r="L36">
        <f>VLOOKUP(B36,[2]Parameters!N27:O117,2)</f>
        <v>0.11</v>
      </c>
      <c r="N36">
        <f>VLOOKUP(B36,[2]Parameters!T27:U117,2)</f>
        <v>0.375</v>
      </c>
      <c r="P36">
        <f>VLOOKUP(B36,[2]Parameters!T27:U117,2)</f>
        <v>0.375</v>
      </c>
      <c r="R36" s="78">
        <f>VLOOKUP(B36,[2]Parameters!W27:X117,2)</f>
        <v>0.1</v>
      </c>
      <c r="S36" s="108"/>
      <c r="T36" s="102">
        <f t="shared" si="10"/>
        <v>2.2726590096712296E-2</v>
      </c>
      <c r="V36" s="94">
        <f t="shared" si="11"/>
        <v>2.544055990696817E-3</v>
      </c>
      <c r="X36" s="34">
        <f t="shared" si="12"/>
        <v>3.2337598529320476E-4</v>
      </c>
      <c r="Z36" s="94">
        <f t="shared" si="13"/>
        <v>7.6417122088135447E-2</v>
      </c>
      <c r="AB36" s="94">
        <f t="shared" si="14"/>
        <v>7.6417122088135447E-2</v>
      </c>
      <c r="AD36" s="110">
        <f t="shared" si="15"/>
        <v>0.82189510973631918</v>
      </c>
      <c r="AE36" s="111"/>
      <c r="AF36" s="112">
        <f t="shared" si="8"/>
        <v>0.99999999999999922</v>
      </c>
      <c r="AG36" s="108"/>
      <c r="AH36" s="131">
        <f>('[2]Cost Summary'!$D$41/1000000)*(1-(F36+H36))</f>
        <v>0.85849756842113523</v>
      </c>
      <c r="AJ36" s="54">
        <f t="shared" ca="1" si="0"/>
        <v>3.5558151862077851</v>
      </c>
      <c r="AL36" s="138">
        <f t="shared" ca="1" si="1"/>
        <v>6.495252767092337</v>
      </c>
      <c r="AO36" s="135">
        <f t="shared" ca="1" si="2"/>
        <v>74.900678515458026</v>
      </c>
      <c r="AP36" s="108"/>
      <c r="AQ36" s="31">
        <f t="shared" ca="1" si="3"/>
        <v>2.2661796226046291E-2</v>
      </c>
      <c r="AR36" s="31"/>
      <c r="AS36" s="31">
        <f t="shared" si="9"/>
        <v>2.0352447925574535E-3</v>
      </c>
      <c r="AT36" s="31"/>
      <c r="AU36" s="31">
        <f t="shared" ca="1" si="4"/>
        <v>8.655093508316116E-5</v>
      </c>
      <c r="AV36" s="31"/>
      <c r="AW36" s="31">
        <f t="shared" ca="1" si="5"/>
        <v>5.1994768053713761E-3</v>
      </c>
      <c r="AX36" s="31"/>
      <c r="AY36" s="31">
        <f t="shared" ca="1" si="6"/>
        <v>8.8426808295121537E-3</v>
      </c>
      <c r="AZ36" s="31"/>
      <c r="BA36" s="134">
        <f t="shared" ca="1" si="7"/>
        <v>1.9672686943126252E-2</v>
      </c>
    </row>
    <row r="37" spans="1:53">
      <c r="A37" s="78"/>
      <c r="B37">
        <v>39</v>
      </c>
      <c r="D37" s="78">
        <v>24</v>
      </c>
      <c r="E37" s="108"/>
      <c r="F37">
        <f>VLOOKUP(B37,[2]Parameters!E28:F118,2)</f>
        <v>6.4699999999999994E-2</v>
      </c>
      <c r="H37">
        <f>VLOOKUP(B37,[2]Parameters!H28:I118,2)</f>
        <v>0.01</v>
      </c>
      <c r="J37">
        <f>VLOOKUP(B37,[2]Parameters!K28:L118,2)</f>
        <v>7.0000000000000007E-2</v>
      </c>
      <c r="L37">
        <f>VLOOKUP(B37,[2]Parameters!N28:O118,2)</f>
        <v>0.11</v>
      </c>
      <c r="N37">
        <f>VLOOKUP(B37,[2]Parameters!T28:U118,2)</f>
        <v>0.375</v>
      </c>
      <c r="P37">
        <f>VLOOKUP(B37,[2]Parameters!T28:U118,2)</f>
        <v>0.375</v>
      </c>
      <c r="R37" s="78">
        <f>VLOOKUP(B37,[2]Parameters!W28:X118,2)</f>
        <v>0.1</v>
      </c>
      <c r="S37" s="108"/>
      <c r="T37" s="102">
        <f t="shared" si="10"/>
        <v>1.966531841068515E-2</v>
      </c>
      <c r="V37" s="94">
        <f t="shared" si="11"/>
        <v>2.2014347445370968E-3</v>
      </c>
      <c r="X37" s="34">
        <f t="shared" si="12"/>
        <v>2.7984615897664987E-4</v>
      </c>
      <c r="Z37" s="94">
        <f t="shared" si="13"/>
        <v>6.9729430875833207E-2</v>
      </c>
      <c r="AB37" s="94">
        <f t="shared" si="14"/>
        <v>6.9729430875833207E-2</v>
      </c>
      <c r="AD37" s="110">
        <f t="shared" si="15"/>
        <v>0.83867438509311043</v>
      </c>
      <c r="AE37" s="111"/>
      <c r="AF37" s="112">
        <f t="shared" si="8"/>
        <v>0.99999999999999911</v>
      </c>
      <c r="AG37" s="108"/>
      <c r="AH37" s="131">
        <f>('[2]Cost Summary'!$D$41/1000000)*(1-(F37+H37))</f>
        <v>0.85849756842113523</v>
      </c>
      <c r="AJ37" s="54">
        <f t="shared" ca="1" si="0"/>
        <v>3.5558151862077851</v>
      </c>
      <c r="AL37" s="138">
        <f t="shared" ca="1" si="1"/>
        <v>5.9259807339526542</v>
      </c>
      <c r="AO37" s="135">
        <f t="shared" ca="1" si="2"/>
        <v>72.439061236557649</v>
      </c>
      <c r="AP37" s="108"/>
      <c r="AQ37" s="31">
        <f t="shared" ca="1" si="3"/>
        <v>1.9609252274397856E-2</v>
      </c>
      <c r="AR37" s="31"/>
      <c r="AS37" s="31">
        <f t="shared" si="9"/>
        <v>1.7611477956296776E-3</v>
      </c>
      <c r="AT37" s="31"/>
      <c r="AU37" s="31">
        <f t="shared" ca="1" si="4"/>
        <v>7.4900264213803347E-5</v>
      </c>
      <c r="AV37" s="31"/>
      <c r="AW37" s="31">
        <f t="shared" ca="1" si="5"/>
        <v>4.7444414102966086E-3</v>
      </c>
      <c r="AX37" s="31"/>
      <c r="AY37" s="31">
        <f t="shared" ca="1" si="6"/>
        <v>8.0688082043625653E-3</v>
      </c>
      <c r="AZ37" s="31"/>
      <c r="BA37" s="134">
        <f t="shared" ca="1" si="7"/>
        <v>1.6852936477936339E-2</v>
      </c>
    </row>
    <row r="38" spans="1:53">
      <c r="A38" s="78"/>
      <c r="B38">
        <v>40</v>
      </c>
      <c r="D38" s="78">
        <v>25</v>
      </c>
      <c r="E38" s="108"/>
      <c r="F38">
        <f>VLOOKUP(B38,[2]Parameters!E29:F119,2)</f>
        <v>8.8999999999999996E-2</v>
      </c>
      <c r="H38">
        <f>VLOOKUP(B38,[2]Parameters!H29:I119,2)</f>
        <v>0.01</v>
      </c>
      <c r="J38">
        <f>VLOOKUP(B38,[2]Parameters!K29:L119,2)</f>
        <v>0.08</v>
      </c>
      <c r="L38">
        <f>VLOOKUP(B38,[2]Parameters!N29:O119,2)</f>
        <v>0.24</v>
      </c>
      <c r="N38">
        <f>VLOOKUP(B38,[2]Parameters!T29:U119,2)</f>
        <v>0.375</v>
      </c>
      <c r="P38">
        <f>VLOOKUP(B38,[2]Parameters!T29:U119,2)</f>
        <v>0.375</v>
      </c>
      <c r="R38" s="78">
        <f>VLOOKUP(B38,[2]Parameters!W29:X119,2)</f>
        <v>0.1</v>
      </c>
      <c r="S38" s="108"/>
      <c r="T38" s="102">
        <f t="shared" si="10"/>
        <v>1.7016400020765862E-2</v>
      </c>
      <c r="V38" s="94">
        <f t="shared" si="11"/>
        <v>1.904916627436864E-3</v>
      </c>
      <c r="X38" s="34">
        <f t="shared" si="12"/>
        <v>2.4215782189908065E-4</v>
      </c>
      <c r="Z38" s="94">
        <f t="shared" si="13"/>
        <v>6.3582025817451288E-2</v>
      </c>
      <c r="AB38" s="94">
        <f t="shared" si="14"/>
        <v>6.3582025817451288E-2</v>
      </c>
      <c r="AD38" s="110">
        <f t="shared" si="15"/>
        <v>0.85391463171689386</v>
      </c>
      <c r="AE38" s="111"/>
      <c r="AF38" s="112">
        <f t="shared" si="8"/>
        <v>0.99999999999999911</v>
      </c>
      <c r="AG38" s="108"/>
      <c r="AH38" s="131">
        <f>('[2]Cost Summary'!$D$41/1000000)*(1-(F38+H38))</f>
        <v>0.8359519173753841</v>
      </c>
      <c r="AJ38" s="54">
        <f t="shared" ca="1" si="0"/>
        <v>3.920415099559504</v>
      </c>
      <c r="AL38" s="138">
        <f t="shared" ca="1" si="1"/>
        <v>5.4028267500915028</v>
      </c>
      <c r="AO38" s="135">
        <f t="shared" ca="1" si="2"/>
        <v>70.242691430954324</v>
      </c>
      <c r="AP38" s="108"/>
      <c r="AQ38" s="31">
        <f t="shared" ca="1" si="3"/>
        <v>1.6967885993036464E-2</v>
      </c>
      <c r="AR38" s="31"/>
      <c r="AS38" s="31">
        <f t="shared" si="9"/>
        <v>1.5239333019494913E-3</v>
      </c>
      <c r="AT38" s="31"/>
      <c r="AU38" s="31">
        <f t="shared" ca="1" si="4"/>
        <v>6.4813056244926581E-5</v>
      </c>
      <c r="AV38" s="31"/>
      <c r="AW38" s="31">
        <f t="shared" ca="1" si="5"/>
        <v>4.3261674797838278E-3</v>
      </c>
      <c r="AX38" s="31"/>
      <c r="AY38" s="31">
        <f t="shared" ca="1" si="6"/>
        <v>7.357455311508207E-3</v>
      </c>
      <c r="AZ38" s="31"/>
      <c r="BA38" s="134">
        <f t="shared" ca="1" si="7"/>
        <v>1.4442914271962488E-2</v>
      </c>
    </row>
    <row r="39" spans="1:53">
      <c r="A39" s="78"/>
      <c r="B39">
        <v>41</v>
      </c>
      <c r="D39" s="78">
        <v>26</v>
      </c>
      <c r="E39" s="108"/>
      <c r="F39">
        <f>VLOOKUP(B39,[2]Parameters!E30:F120,2)</f>
        <v>8.8999999999999996E-2</v>
      </c>
      <c r="H39">
        <f>VLOOKUP(B39,[2]Parameters!H30:I120,2)</f>
        <v>0.01</v>
      </c>
      <c r="J39">
        <f>VLOOKUP(B39,[2]Parameters!K30:L120,2)</f>
        <v>0.08</v>
      </c>
      <c r="L39">
        <f>VLOOKUP(B39,[2]Parameters!N30:O120,2)</f>
        <v>0.24</v>
      </c>
      <c r="N39">
        <f>VLOOKUP(B39,[2]Parameters!T30:U120,2)</f>
        <v>0.375</v>
      </c>
      <c r="P39">
        <f>VLOOKUP(B39,[2]Parameters!T30:U120,2)</f>
        <v>0.375</v>
      </c>
      <c r="R39" s="78">
        <f>VLOOKUP(B39,[2]Parameters!W30:X120,2)</f>
        <v>0.1</v>
      </c>
      <c r="S39" s="108"/>
      <c r="T39" s="102">
        <f t="shared" si="10"/>
        <v>1.4140628417256433E-2</v>
      </c>
      <c r="V39" s="94">
        <f t="shared" si="11"/>
        <v>1.8184919922461166E-3</v>
      </c>
      <c r="X39" s="34">
        <f t="shared" si="12"/>
        <v>4.5717999058484733E-4</v>
      </c>
      <c r="Z39" s="94">
        <f t="shared" si="13"/>
        <v>5.7938166970994978E-2</v>
      </c>
      <c r="AB39" s="94">
        <f t="shared" si="14"/>
        <v>5.7938166970994978E-2</v>
      </c>
      <c r="AD39" s="110">
        <f t="shared" si="15"/>
        <v>0.86816454564850665</v>
      </c>
      <c r="AE39" s="111"/>
      <c r="AF39" s="112">
        <f t="shared" si="8"/>
        <v>0.99999999999999911</v>
      </c>
      <c r="AG39" s="108"/>
      <c r="AH39" s="131">
        <f>('[2]Cost Summary'!$D$41/1000000)*(1-(F39+H39))</f>
        <v>0.8359519173753841</v>
      </c>
      <c r="AJ39" s="54">
        <f t="shared" ca="1" si="0"/>
        <v>3.920415099559504</v>
      </c>
      <c r="AL39" s="138">
        <f t="shared" ca="1" si="1"/>
        <v>4.9362283445721484</v>
      </c>
      <c r="AO39" s="135">
        <f t="shared" ca="1" si="2"/>
        <v>67.980428576572493</v>
      </c>
      <c r="AP39" s="108"/>
      <c r="AQ39" s="31">
        <f t="shared" ca="1" si="3"/>
        <v>1.4100313260213304E-2</v>
      </c>
      <c r="AR39" s="31"/>
      <c r="AS39" s="31">
        <f t="shared" si="9"/>
        <v>1.4547935937968934E-3</v>
      </c>
      <c r="AT39" s="31"/>
      <c r="AU39" s="31">
        <f t="shared" ca="1" si="4"/>
        <v>1.2236330923136375E-4</v>
      </c>
      <c r="AV39" s="31"/>
      <c r="AW39" s="31">
        <f t="shared" ca="1" si="5"/>
        <v>3.9421552013432113E-3</v>
      </c>
      <c r="AX39" s="31"/>
      <c r="AY39" s="31">
        <f t="shared" ca="1" si="6"/>
        <v>6.7043707532010791E-3</v>
      </c>
      <c r="AZ39" s="31"/>
      <c r="BA39" s="134">
        <f t="shared" ca="1" si="7"/>
        <v>1.220629820492896E-2</v>
      </c>
    </row>
    <row r="40" spans="1:53">
      <c r="A40" s="78"/>
      <c r="B40">
        <v>42</v>
      </c>
      <c r="D40" s="78">
        <v>27</v>
      </c>
      <c r="E40" s="108"/>
      <c r="F40">
        <f>VLOOKUP(B40,[2]Parameters!E31:F121,2)</f>
        <v>8.8999999999999996E-2</v>
      </c>
      <c r="H40">
        <f>VLOOKUP(B40,[2]Parameters!H31:I121,2)</f>
        <v>0.01</v>
      </c>
      <c r="J40">
        <f>VLOOKUP(B40,[2]Parameters!K31:L121,2)</f>
        <v>0.08</v>
      </c>
      <c r="L40">
        <f>VLOOKUP(B40,[2]Parameters!N31:O121,2)</f>
        <v>0.24</v>
      </c>
      <c r="N40">
        <f>VLOOKUP(B40,[2]Parameters!T31:U121,2)</f>
        <v>0.375</v>
      </c>
      <c r="P40">
        <f>VLOOKUP(B40,[2]Parameters!T31:U121,2)</f>
        <v>0.375</v>
      </c>
      <c r="R40" s="78">
        <f>VLOOKUP(B40,[2]Parameters!W31:X121,2)</f>
        <v>0.1</v>
      </c>
      <c r="S40" s="108"/>
      <c r="T40" s="102">
        <f t="shared" si="10"/>
        <v>1.1750862214740096E-2</v>
      </c>
      <c r="V40" s="94">
        <f t="shared" si="11"/>
        <v>1.567688351519583E-3</v>
      </c>
      <c r="X40" s="34">
        <f t="shared" si="12"/>
        <v>4.3643807813906795E-4</v>
      </c>
      <c r="Z40" s="94">
        <f t="shared" si="13"/>
        <v>5.2826284770987775E-2</v>
      </c>
      <c r="AB40" s="94">
        <f t="shared" si="14"/>
        <v>5.2826284770987775E-2</v>
      </c>
      <c r="AD40" s="110">
        <f t="shared" si="15"/>
        <v>0.88102887989176404</v>
      </c>
      <c r="AE40" s="111"/>
      <c r="AF40" s="112">
        <f t="shared" si="8"/>
        <v>0.99999999999999922</v>
      </c>
      <c r="AG40" s="108"/>
      <c r="AH40" s="131">
        <f>('[2]Cost Summary'!$D$41/1000000)*(1-(F40+H40))</f>
        <v>0.8359519173753841</v>
      </c>
      <c r="AJ40" s="54">
        <f t="shared" ca="1" si="0"/>
        <v>3.920415099559504</v>
      </c>
      <c r="AL40" s="138">
        <f t="shared" ca="1" si="1"/>
        <v>4.5017807755615307</v>
      </c>
      <c r="AO40" s="135">
        <f t="shared" ca="1" si="2"/>
        <v>65.804832552887191</v>
      </c>
      <c r="AP40" s="108"/>
      <c r="AQ40" s="31">
        <f t="shared" ca="1" si="3"/>
        <v>1.1717360319237256E-2</v>
      </c>
      <c r="AR40" s="31"/>
      <c r="AS40" s="31">
        <f t="shared" si="9"/>
        <v>1.2541506812156664E-3</v>
      </c>
      <c r="AT40" s="31"/>
      <c r="AU40" s="31">
        <f t="shared" ca="1" si="4"/>
        <v>1.1681177788939496E-4</v>
      </c>
      <c r="AV40" s="31"/>
      <c r="AW40" s="31">
        <f t="shared" ca="1" si="5"/>
        <v>3.5943390025066036E-3</v>
      </c>
      <c r="AX40" s="31"/>
      <c r="AY40" s="31">
        <f t="shared" ca="1" si="6"/>
        <v>6.1128443845347262E-3</v>
      </c>
      <c r="AZ40" s="31"/>
      <c r="BA40" s="134">
        <f t="shared" ca="1" si="7"/>
        <v>1.0262287396291573E-2</v>
      </c>
    </row>
    <row r="41" spans="1:53">
      <c r="A41" s="78"/>
      <c r="B41">
        <v>43</v>
      </c>
      <c r="D41" s="78">
        <v>28</v>
      </c>
      <c r="E41" s="108"/>
      <c r="F41">
        <f>VLOOKUP(B41,[2]Parameters!E32:F122,2)</f>
        <v>8.8999999999999996E-2</v>
      </c>
      <c r="H41">
        <f>VLOOKUP(B41,[2]Parameters!H32:I122,2)</f>
        <v>0.01</v>
      </c>
      <c r="J41">
        <f>VLOOKUP(B41,[2]Parameters!K32:L122,2)</f>
        <v>0.08</v>
      </c>
      <c r="L41">
        <f>VLOOKUP(B41,[2]Parameters!N32:O122,2)</f>
        <v>0.24</v>
      </c>
      <c r="N41">
        <f>VLOOKUP(B41,[2]Parameters!T32:U122,2)</f>
        <v>0.375</v>
      </c>
      <c r="P41">
        <f>VLOOKUP(B41,[2]Parameters!T32:U122,2)</f>
        <v>0.375</v>
      </c>
      <c r="R41" s="78">
        <f>VLOOKUP(B41,[2]Parameters!W32:X122,2)</f>
        <v>0.1</v>
      </c>
      <c r="S41" s="108"/>
      <c r="T41" s="102">
        <f t="shared" si="10"/>
        <v>9.7649665004490207E-3</v>
      </c>
      <c r="V41" s="94">
        <f t="shared" si="11"/>
        <v>1.3163141815439076E-3</v>
      </c>
      <c r="X41" s="34">
        <f t="shared" si="12"/>
        <v>3.762452043646999E-4</v>
      </c>
      <c r="Z41" s="94">
        <f t="shared" si="13"/>
        <v>4.8131539425708844E-2</v>
      </c>
      <c r="AB41" s="94">
        <f t="shared" si="14"/>
        <v>4.8131539425708844E-2</v>
      </c>
      <c r="AD41" s="110">
        <f t="shared" si="15"/>
        <v>0.89265564046658874</v>
      </c>
      <c r="AE41" s="111"/>
      <c r="AF41" s="112">
        <f t="shared" si="8"/>
        <v>0.99999999999999933</v>
      </c>
      <c r="AG41" s="108"/>
      <c r="AH41" s="131">
        <f>('[2]Cost Summary'!$D$41/1000000)*(1-(F41+H41))</f>
        <v>0.8359519173753841</v>
      </c>
      <c r="AJ41" s="54">
        <f t="shared" ca="1" si="0"/>
        <v>3.920415099559504</v>
      </c>
      <c r="AL41" s="138">
        <f t="shared" ca="1" si="1"/>
        <v>4.1005261854435098</v>
      </c>
      <c r="AO41" s="135">
        <f t="shared" ca="1" si="2"/>
        <v>63.712807891107161</v>
      </c>
      <c r="AP41" s="108"/>
      <c r="AQ41" s="31">
        <f t="shared" ca="1" si="3"/>
        <v>9.7371264252861609E-3</v>
      </c>
      <c r="AR41" s="31"/>
      <c r="AS41" s="31">
        <f t="shared" si="9"/>
        <v>1.053051345235126E-3</v>
      </c>
      <c r="AT41" s="31"/>
      <c r="AU41" s="31">
        <f t="shared" ca="1" si="4"/>
        <v>1.0070127572643884E-4</v>
      </c>
      <c r="AV41" s="31"/>
      <c r="AW41" s="31">
        <f t="shared" ca="1" si="5"/>
        <v>3.274905099961182E-3</v>
      </c>
      <c r="AX41" s="31"/>
      <c r="AY41" s="31">
        <f t="shared" ca="1" si="6"/>
        <v>5.5695874084834797E-3</v>
      </c>
      <c r="AZ41" s="31"/>
      <c r="BA41" s="134">
        <f t="shared" ca="1" si="7"/>
        <v>8.6258721217369223E-3</v>
      </c>
    </row>
    <row r="42" spans="1:53">
      <c r="A42" s="78"/>
      <c r="B42">
        <v>44</v>
      </c>
      <c r="D42" s="78">
        <v>29</v>
      </c>
      <c r="E42" s="108"/>
      <c r="F42">
        <f>VLOOKUP(B42,[2]Parameters!E33:F123,2)</f>
        <v>8.8999999999999996E-2</v>
      </c>
      <c r="H42">
        <f>VLOOKUP(B42,[2]Parameters!H33:I123,2)</f>
        <v>0.01</v>
      </c>
      <c r="J42">
        <f>VLOOKUP(B42,[2]Parameters!K33:L123,2)</f>
        <v>0.08</v>
      </c>
      <c r="L42">
        <f>VLOOKUP(B42,[2]Parameters!N33:O123,2)</f>
        <v>0.24</v>
      </c>
      <c r="N42">
        <f>VLOOKUP(B42,[2]Parameters!T33:U123,2)</f>
        <v>0.375</v>
      </c>
      <c r="P42">
        <f>VLOOKUP(B42,[2]Parameters!T33:U123,2)</f>
        <v>0.375</v>
      </c>
      <c r="R42" s="78">
        <f>VLOOKUP(B42,[2]Parameters!W33:X123,2)</f>
        <v>0.1</v>
      </c>
      <c r="S42" s="108"/>
      <c r="T42" s="102">
        <f t="shared" si="10"/>
        <v>8.1146871618731353E-3</v>
      </c>
      <c r="V42" s="94">
        <f t="shared" si="11"/>
        <v>1.0971127236064596E-3</v>
      </c>
      <c r="X42" s="34">
        <f t="shared" si="12"/>
        <v>3.1591540357053783E-4</v>
      </c>
      <c r="Z42" s="94">
        <f t="shared" si="13"/>
        <v>4.3812003301216929E-2</v>
      </c>
      <c r="AB42" s="94">
        <f t="shared" si="14"/>
        <v>4.3812003301216929E-2</v>
      </c>
      <c r="AD42" s="110">
        <f t="shared" si="15"/>
        <v>0.90316419351208588</v>
      </c>
      <c r="AE42" s="111"/>
      <c r="AF42" s="112">
        <f t="shared" si="8"/>
        <v>0.99999999999999933</v>
      </c>
      <c r="AG42" s="108"/>
      <c r="AH42" s="131">
        <f>('[2]Cost Summary'!$D$41/1000000)*(1-(F42+H42))</f>
        <v>0.8359519173753841</v>
      </c>
      <c r="AJ42" s="54">
        <f t="shared" ca="1" si="0"/>
        <v>3.920415099559504</v>
      </c>
      <c r="AL42" s="138">
        <f t="shared" ca="1" si="1"/>
        <v>3.7310687070047299</v>
      </c>
      <c r="AO42" s="135">
        <f t="shared" ca="1" si="2"/>
        <v>61.700317102909324</v>
      </c>
      <c r="AP42" s="108"/>
      <c r="AQ42" s="31">
        <f t="shared" ca="1" si="3"/>
        <v>8.0915520594127995E-3</v>
      </c>
      <c r="AR42" s="31"/>
      <c r="AS42" s="31">
        <f t="shared" si="9"/>
        <v>8.7769017888516773E-4</v>
      </c>
      <c r="AT42" s="31"/>
      <c r="AU42" s="31">
        <f t="shared" ca="1" si="4"/>
        <v>8.4554125320755052E-5</v>
      </c>
      <c r="AV42" s="31"/>
      <c r="AW42" s="31">
        <f t="shared" ca="1" si="5"/>
        <v>2.9810007068677589E-3</v>
      </c>
      <c r="AX42" s="31"/>
      <c r="AY42" s="31">
        <f t="shared" ca="1" si="6"/>
        <v>5.0697481285328907E-3</v>
      </c>
      <c r="AZ42" s="31"/>
      <c r="BA42" s="134">
        <f t="shared" ca="1" si="7"/>
        <v>7.258251534023475E-3</v>
      </c>
    </row>
    <row r="43" spans="1:53">
      <c r="A43" s="78"/>
      <c r="B43">
        <v>45</v>
      </c>
      <c r="D43" s="78">
        <v>30</v>
      </c>
      <c r="E43" s="108"/>
      <c r="F43">
        <f>VLOOKUP(B43,[2]Parameters!E34:F124,2)</f>
        <v>8.9499999999999996E-2</v>
      </c>
      <c r="H43">
        <f>VLOOKUP(B43,[2]Parameters!H34:I124,2)</f>
        <v>0.01</v>
      </c>
      <c r="J43">
        <f>VLOOKUP(B43,[2]Parameters!K34:L124,2)</f>
        <v>0.08</v>
      </c>
      <c r="L43">
        <f>VLOOKUP(B43,[2]Parameters!N34:O124,2)</f>
        <v>0.24</v>
      </c>
      <c r="N43">
        <f>VLOOKUP(B43,[2]Parameters!T34:U124,2)</f>
        <v>0.375</v>
      </c>
      <c r="P43">
        <f>VLOOKUP(B43,[2]Parameters!T34:U124,2)</f>
        <v>0.375</v>
      </c>
      <c r="R43" s="78">
        <f>VLOOKUP(B43,[2]Parameters!W34:X124,2)</f>
        <v>0.1</v>
      </c>
      <c r="S43" s="108"/>
      <c r="T43" s="102">
        <f t="shared" si="10"/>
        <v>6.7433050315165756E-3</v>
      </c>
      <c r="V43" s="94">
        <f t="shared" si="11"/>
        <v>9.1248202661540112E-4</v>
      </c>
      <c r="X43" s="34">
        <f t="shared" si="12"/>
        <v>2.6330705366555031E-4</v>
      </c>
      <c r="Z43" s="94">
        <f t="shared" si="13"/>
        <v>3.9842220242447657E-2</v>
      </c>
      <c r="AB43" s="94">
        <f t="shared" si="14"/>
        <v>3.9842220242447657E-2</v>
      </c>
      <c r="AD43" s="110">
        <f t="shared" si="15"/>
        <v>0.91265977245697194</v>
      </c>
      <c r="AE43" s="111"/>
      <c r="AF43" s="112">
        <f t="shared" si="8"/>
        <v>0.99999999999999922</v>
      </c>
      <c r="AG43" s="108"/>
      <c r="AH43" s="131">
        <f>('[2]Cost Summary'!$D$41/1000000)*(1-(F43+H43))</f>
        <v>0.83548801509049198</v>
      </c>
      <c r="AJ43" s="54">
        <f t="shared" ca="1" si="0"/>
        <v>3.920415099559504</v>
      </c>
      <c r="AL43" s="138">
        <f t="shared" ca="1" si="1"/>
        <v>3.3916819310226609</v>
      </c>
      <c r="AO43" s="135">
        <f t="shared" ca="1" si="2"/>
        <v>59.763206508602991</v>
      </c>
      <c r="AP43" s="108"/>
      <c r="AQ43" s="31">
        <f t="shared" ca="1" si="3"/>
        <v>6.7240797613720357E-3</v>
      </c>
      <c r="AR43" s="31"/>
      <c r="AS43" s="31">
        <f t="shared" si="9"/>
        <v>7.2998562129232092E-4</v>
      </c>
      <c r="AT43" s="31"/>
      <c r="AU43" s="31">
        <f t="shared" ca="1" si="4"/>
        <v>7.0473605787647707E-5</v>
      </c>
      <c r="AV43" s="31"/>
      <c r="AW43" s="31">
        <f t="shared" ca="1" si="5"/>
        <v>2.7108937678414361E-3</v>
      </c>
      <c r="AX43" s="31"/>
      <c r="AY43" s="31">
        <f t="shared" ca="1" si="6"/>
        <v>4.6103808611996011E-3</v>
      </c>
      <c r="AZ43" s="31"/>
      <c r="BA43" s="134">
        <f t="shared" ca="1" si="7"/>
        <v>6.1162786446480816E-3</v>
      </c>
    </row>
    <row r="44" spans="1:53">
      <c r="A44" s="78"/>
      <c r="B44">
        <v>46</v>
      </c>
      <c r="D44" s="78">
        <v>31</v>
      </c>
      <c r="E44" s="108"/>
      <c r="F44">
        <f>VLOOKUP(B44,[2]Parameters!E35:F125,2)</f>
        <v>8.9499999999999996E-2</v>
      </c>
      <c r="H44">
        <f>VLOOKUP(B44,[2]Parameters!H35:I125,2)</f>
        <v>0.01</v>
      </c>
      <c r="J44">
        <f>VLOOKUP(B44,[2]Parameters!K35:L125,2)</f>
        <v>0.08</v>
      </c>
      <c r="L44">
        <f>VLOOKUP(B44,[2]Parameters!N35:O125,2)</f>
        <v>0.24</v>
      </c>
      <c r="N44">
        <f>VLOOKUP(B44,[2]Parameters!T35:U125,2)</f>
        <v>0.375</v>
      </c>
      <c r="P44">
        <f>VLOOKUP(B44,[2]Parameters!T35:U125,2)</f>
        <v>0.375</v>
      </c>
      <c r="R44" s="78">
        <f>VLOOKUP(B44,[2]Parameters!W35:X125,2)</f>
        <v>0.1</v>
      </c>
      <c r="S44" s="108"/>
      <c r="T44" s="102">
        <f t="shared" si="10"/>
        <v>5.6003148286745156E-3</v>
      </c>
      <c r="V44" s="94">
        <f t="shared" si="11"/>
        <v>7.5846008890902226E-4</v>
      </c>
      <c r="X44" s="34">
        <f t="shared" si="12"/>
        <v>2.1899568638769626E-4</v>
      </c>
      <c r="Z44" s="94">
        <f t="shared" si="13"/>
        <v>3.6200178978183666E-2</v>
      </c>
      <c r="AB44" s="94">
        <f t="shared" si="14"/>
        <v>3.6200178978183666E-2</v>
      </c>
      <c r="AD44" s="110">
        <f t="shared" si="15"/>
        <v>0.92124086712604836</v>
      </c>
      <c r="AE44" s="111"/>
      <c r="AF44" s="112">
        <f t="shared" si="8"/>
        <v>0.99999999999999922</v>
      </c>
      <c r="AG44" s="108"/>
      <c r="AH44" s="131">
        <f>('[2]Cost Summary'!$D$41/1000000)*(1-(F44+H44))</f>
        <v>0.83548801509049198</v>
      </c>
      <c r="AJ44" s="54">
        <f t="shared" ca="1" si="0"/>
        <v>3.920415099559504</v>
      </c>
      <c r="AL44" s="138">
        <f t="shared" ca="1" si="1"/>
        <v>3.0805316646211516</v>
      </c>
      <c r="AO44" s="135">
        <f t="shared" ca="1" si="2"/>
        <v>57.898074484102629</v>
      </c>
      <c r="AP44" s="108"/>
      <c r="AQ44" s="31">
        <f t="shared" ca="1" si="3"/>
        <v>5.5843482418194753E-3</v>
      </c>
      <c r="AR44" s="31"/>
      <c r="AS44" s="31">
        <f t="shared" si="9"/>
        <v>6.0676807112721787E-4</v>
      </c>
      <c r="AT44" s="31"/>
      <c r="AU44" s="31">
        <f t="shared" ca="1" si="4"/>
        <v>5.8613757044599293E-5</v>
      </c>
      <c r="AV44" s="31"/>
      <c r="AW44" s="31">
        <f t="shared" ca="1" si="5"/>
        <v>2.4630866199105645E-3</v>
      </c>
      <c r="AX44" s="31"/>
      <c r="AY44" s="31">
        <f t="shared" ca="1" si="6"/>
        <v>4.1889385510501115E-3</v>
      </c>
      <c r="AZ44" s="31"/>
      <c r="BA44" s="134">
        <f t="shared" ca="1" si="7"/>
        <v>5.1605362463953098E-3</v>
      </c>
    </row>
    <row r="45" spans="1:53">
      <c r="A45" s="78"/>
      <c r="B45">
        <v>47</v>
      </c>
      <c r="D45" s="78">
        <v>32</v>
      </c>
      <c r="E45" s="108"/>
      <c r="F45">
        <f>VLOOKUP(B45,[2]Parameters!E36:F126,2)</f>
        <v>8.9499999999999996E-2</v>
      </c>
      <c r="H45">
        <f>VLOOKUP(B45,[2]Parameters!H36:I126,2)</f>
        <v>0.01</v>
      </c>
      <c r="J45">
        <f>VLOOKUP(B45,[2]Parameters!K36:L126,2)</f>
        <v>0.08</v>
      </c>
      <c r="L45">
        <f>VLOOKUP(B45,[2]Parameters!N36:O126,2)</f>
        <v>0.24</v>
      </c>
      <c r="N45">
        <f>VLOOKUP(B45,[2]Parameters!T36:U126,2)</f>
        <v>0.375</v>
      </c>
      <c r="P45">
        <f>VLOOKUP(B45,[2]Parameters!T36:U126,2)</f>
        <v>0.375</v>
      </c>
      <c r="R45" s="78">
        <f>VLOOKUP(B45,[2]Parameters!W36:X126,2)</f>
        <v>0.1</v>
      </c>
      <c r="S45" s="108"/>
      <c r="T45" s="102">
        <f t="shared" si="10"/>
        <v>4.6510614652141855E-3</v>
      </c>
      <c r="V45" s="94">
        <f t="shared" si="11"/>
        <v>6.3005560763212661E-4</v>
      </c>
      <c r="X45" s="34">
        <f t="shared" si="12"/>
        <v>1.8203042133816533E-4</v>
      </c>
      <c r="Z45" s="94">
        <f t="shared" si="13"/>
        <v>3.2864583613706186E-2</v>
      </c>
      <c r="AB45" s="94">
        <f t="shared" si="14"/>
        <v>3.2864583613706186E-2</v>
      </c>
      <c r="AD45" s="110">
        <f t="shared" si="15"/>
        <v>0.92898971569974065</v>
      </c>
      <c r="AE45" s="111"/>
      <c r="AF45" s="112">
        <f t="shared" si="8"/>
        <v>0.99999999999999933</v>
      </c>
      <c r="AG45" s="108"/>
      <c r="AH45" s="131">
        <f>('[2]Cost Summary'!$D$41/1000000)*(1-(F45+H45))</f>
        <v>0.83548801509049198</v>
      </c>
      <c r="AJ45" s="54">
        <f t="shared" ref="AJ45:AJ76" ca="1" si="16">(ccc_adl*L45)+(ccc_hydrocele*P45)+(ccc_le*N45)</f>
        <v>3.920415099559504</v>
      </c>
      <c r="AL45" s="138">
        <f t="shared" ref="AL45:AL76" ca="1" si="17">IF(study_perspective=1,0,IF(age&lt;15,0,IF(age&gt;75,0,min_daily_wage*adl_episode_duration*annual_adl_episodes*X45 + prod_loss_hydrocele*min_annual_wage*Z45+prod_loss_lymphedema*min_annual_wage*AB45)))</f>
        <v>2.795760561964908</v>
      </c>
      <c r="AO45" s="135">
        <f t="shared" ref="AO45:AO76" ca="1" si="18">IF(study_perspective=1,((AH45+AJ45)/(1+discount_cost)^cycle),((AH45+AJ45+AL45+hh_costs_adl+hh_costs_hydrocele+hh_costs_lymphedema)/(1+discount_cost)^cycle))</f>
        <v>56.101135634686216</v>
      </c>
      <c r="AP45" s="108"/>
      <c r="AQ45" s="31">
        <f t="shared" ref="AQ45:AQ76" ca="1" si="19">util_healthy*T45*1</f>
        <v>4.6378012148310744E-3</v>
      </c>
      <c r="AR45" s="31"/>
      <c r="AS45" s="31">
        <f t="shared" si="9"/>
        <v>5.0404448610570131E-4</v>
      </c>
      <c r="AT45" s="31"/>
      <c r="AU45" s="31">
        <f t="shared" ref="AU45:AU76" ca="1" si="20">util_adl*X45</f>
        <v>4.8720077856477383E-5</v>
      </c>
      <c r="AV45" s="31"/>
      <c r="AW45" s="31">
        <f t="shared" ref="AW45:AW76" ca="1" si="21">util_lymphedema*AB45</f>
        <v>2.2361302748430015E-3</v>
      </c>
      <c r="AX45" s="31"/>
      <c r="AY45" s="31">
        <f t="shared" ref="AY45:AY76" ca="1" si="22">util_hydrocele*Z45</f>
        <v>3.8029569231309655E-3</v>
      </c>
      <c r="AZ45" s="31"/>
      <c r="BA45" s="134">
        <f t="shared" ref="BA45:BA76" ca="1" si="23">(AQ45+AS45+AU45+AW45+AY45)/((1+discount_effects)^cycle)</f>
        <v>4.3608901313851312E-3</v>
      </c>
    </row>
    <row r="46" spans="1:53">
      <c r="A46" s="78"/>
      <c r="B46">
        <v>48</v>
      </c>
      <c r="D46" s="78">
        <v>33</v>
      </c>
      <c r="E46" s="108"/>
      <c r="F46">
        <f>VLOOKUP(B46,[2]Parameters!E37:F127,2)</f>
        <v>8.9499999999999996E-2</v>
      </c>
      <c r="H46">
        <f>VLOOKUP(B46,[2]Parameters!H37:I127,2)</f>
        <v>0.01</v>
      </c>
      <c r="J46">
        <f>VLOOKUP(B46,[2]Parameters!K37:L127,2)</f>
        <v>0.08</v>
      </c>
      <c r="L46">
        <f>VLOOKUP(B46,[2]Parameters!N37:O127,2)</f>
        <v>0.24</v>
      </c>
      <c r="N46">
        <f>VLOOKUP(B46,[2]Parameters!T37:U127,2)</f>
        <v>0.375</v>
      </c>
      <c r="P46">
        <f>VLOOKUP(B46,[2]Parameters!T37:U127,2)</f>
        <v>0.375</v>
      </c>
      <c r="R46" s="78">
        <f>VLOOKUP(B46,[2]Parameters!W37:X127,2)</f>
        <v>0.1</v>
      </c>
      <c r="S46" s="108"/>
      <c r="T46" s="102">
        <f t="shared" si="10"/>
        <v>3.8627065468603812E-3</v>
      </c>
      <c r="V46" s="94">
        <f t="shared" si="11"/>
        <v>5.2329826304884513E-4</v>
      </c>
      <c r="X46" s="34">
        <f t="shared" si="12"/>
        <v>1.5121334583171039E-4</v>
      </c>
      <c r="Z46" s="94">
        <f t="shared" si="13"/>
        <v>2.9814396105197614E-2</v>
      </c>
      <c r="AB46" s="94">
        <f t="shared" si="14"/>
        <v>2.9814396105197614E-2</v>
      </c>
      <c r="AD46" s="110">
        <f t="shared" si="15"/>
        <v>0.9359852029796949</v>
      </c>
      <c r="AE46" s="111"/>
      <c r="AF46" s="112">
        <f t="shared" si="8"/>
        <v>0.99999999999999933</v>
      </c>
      <c r="AG46" s="108"/>
      <c r="AH46" s="131">
        <f>('[2]Cost Summary'!$D$41/1000000)*(1-(F46+H46))</f>
        <v>0.83548801509049198</v>
      </c>
      <c r="AJ46" s="54">
        <f t="shared" ca="1" si="16"/>
        <v>3.920415099559504</v>
      </c>
      <c r="AL46" s="138">
        <f t="shared" ca="1" si="17"/>
        <v>2.5355195732083686</v>
      </c>
      <c r="AO46" s="135">
        <f t="shared" ca="1" si="18"/>
        <v>54.369004292186055</v>
      </c>
      <c r="AP46" s="108"/>
      <c r="AQ46" s="31">
        <f t="shared" ca="1" si="19"/>
        <v>3.8516939089172078E-3</v>
      </c>
      <c r="AR46" s="31"/>
      <c r="AS46" s="31">
        <f t="shared" si="9"/>
        <v>4.1863861043907612E-4</v>
      </c>
      <c r="AT46" s="31"/>
      <c r="AU46" s="31">
        <f t="shared" ca="1" si="20"/>
        <v>4.0471949291229513E-5</v>
      </c>
      <c r="AV46" s="31"/>
      <c r="AW46" s="31">
        <f t="shared" ca="1" si="21"/>
        <v>2.0285932887702668E-3</v>
      </c>
      <c r="AX46" s="31"/>
      <c r="AY46" s="31">
        <f t="shared" ca="1" si="22"/>
        <v>3.4500015399539035E-3</v>
      </c>
      <c r="AZ46" s="31"/>
      <c r="BA46" s="134">
        <f t="shared" ca="1" si="23"/>
        <v>3.6908604748774909E-3</v>
      </c>
    </row>
    <row r="47" spans="1:53">
      <c r="A47" s="78"/>
      <c r="B47">
        <v>49</v>
      </c>
      <c r="D47" s="78">
        <v>34</v>
      </c>
      <c r="E47" s="108"/>
      <c r="F47">
        <f>VLOOKUP(B47,[2]Parameters!E38:F128,2)</f>
        <v>8.9499999999999996E-2</v>
      </c>
      <c r="H47">
        <f>VLOOKUP(B47,[2]Parameters!H38:I128,2)</f>
        <v>0.01</v>
      </c>
      <c r="J47">
        <f>VLOOKUP(B47,[2]Parameters!K38:L128,2)</f>
        <v>0.08</v>
      </c>
      <c r="L47">
        <f>VLOOKUP(B47,[2]Parameters!N38:O128,2)</f>
        <v>0.24</v>
      </c>
      <c r="N47">
        <f>VLOOKUP(B47,[2]Parameters!T38:U128,2)</f>
        <v>0.375</v>
      </c>
      <c r="P47">
        <f>VLOOKUP(B47,[2]Parameters!T38:U128,2)</f>
        <v>0.375</v>
      </c>
      <c r="R47" s="78">
        <f>VLOOKUP(B47,[2]Parameters!W38:X128,2)</f>
        <v>0.1</v>
      </c>
      <c r="S47" s="108"/>
      <c r="T47" s="102">
        <f t="shared" si="10"/>
        <v>3.2079777871675467E-3</v>
      </c>
      <c r="V47" s="94">
        <f t="shared" si="11"/>
        <v>4.3460810688055335E-4</v>
      </c>
      <c r="X47" s="34">
        <f t="shared" si="12"/>
        <v>1.2559158313172282E-4</v>
      </c>
      <c r="Z47" s="94">
        <f t="shared" si="13"/>
        <v>2.702919334332117E-2</v>
      </c>
      <c r="AB47" s="94">
        <f t="shared" si="14"/>
        <v>2.702919334332117E-2</v>
      </c>
      <c r="AD47" s="110">
        <f t="shared" si="15"/>
        <v>0.94229902741930893</v>
      </c>
      <c r="AE47" s="111"/>
      <c r="AF47" s="112">
        <f t="shared" si="8"/>
        <v>0.99999999999999933</v>
      </c>
      <c r="AG47" s="108"/>
      <c r="AH47" s="131">
        <f>('[2]Cost Summary'!$D$41/1000000)*(1-(F47+H47))</f>
        <v>0.83548801509049198</v>
      </c>
      <c r="AJ47" s="54">
        <f t="shared" ca="1" si="16"/>
        <v>3.920415099559504</v>
      </c>
      <c r="AL47" s="138">
        <f t="shared" ca="1" si="17"/>
        <v>2.298025224624213</v>
      </c>
      <c r="AO47" s="135">
        <f t="shared" ca="1" si="18"/>
        <v>52.698507465357885</v>
      </c>
      <c r="AP47" s="108"/>
      <c r="AQ47" s="31">
        <f t="shared" ca="1" si="19"/>
        <v>3.198831791355741E-3</v>
      </c>
      <c r="AR47" s="31"/>
      <c r="AS47" s="31">
        <f t="shared" si="9"/>
        <v>3.4768648550444268E-4</v>
      </c>
      <c r="AT47" s="31"/>
      <c r="AU47" s="31">
        <f t="shared" ca="1" si="20"/>
        <v>3.3614335797908116E-5</v>
      </c>
      <c r="AV47" s="31"/>
      <c r="AW47" s="31">
        <f t="shared" ca="1" si="21"/>
        <v>1.8390860584151306E-3</v>
      </c>
      <c r="AX47" s="31"/>
      <c r="AY47" s="31">
        <f t="shared" ca="1" si="22"/>
        <v>3.1277091217659513E-3</v>
      </c>
      <c r="AZ47" s="31"/>
      <c r="BA47" s="134">
        <f t="shared" ca="1" si="23"/>
        <v>3.1285593270373906E-3</v>
      </c>
    </row>
    <row r="48" spans="1:53">
      <c r="A48" s="78"/>
      <c r="B48">
        <v>50</v>
      </c>
      <c r="D48" s="78">
        <v>35</v>
      </c>
      <c r="E48" s="108"/>
      <c r="F48">
        <f>VLOOKUP(B48,[2]Parameters!E39:F129,2)</f>
        <v>0.12529999999999999</v>
      </c>
      <c r="H48">
        <f>VLOOKUP(B48,[2]Parameters!H39:I129,2)</f>
        <v>0.01</v>
      </c>
      <c r="J48">
        <f>VLOOKUP(B48,[2]Parameters!K39:L129,2)</f>
        <v>7.4999999999999997E-2</v>
      </c>
      <c r="L48">
        <f>VLOOKUP(B48,[2]Parameters!N39:O129,2)</f>
        <v>0.15</v>
      </c>
      <c r="N48">
        <f>VLOOKUP(B48,[2]Parameters!T39:U129,2)</f>
        <v>0.375</v>
      </c>
      <c r="P48">
        <f>VLOOKUP(B48,[2]Parameters!T39:U129,2)</f>
        <v>0.375</v>
      </c>
      <c r="R48" s="78">
        <f>VLOOKUP(B48,[2]Parameters!W39:X129,2)</f>
        <v>0.1</v>
      </c>
      <c r="S48" s="108"/>
      <c r="T48" s="102">
        <f t="shared" si="10"/>
        <v>2.6642255522426475E-3</v>
      </c>
      <c r="V48" s="94">
        <f t="shared" si="11"/>
        <v>3.6094416862473644E-4</v>
      </c>
      <c r="X48" s="34">
        <f t="shared" si="12"/>
        <v>1.0430594565133281E-4</v>
      </c>
      <c r="Z48" s="94">
        <f t="shared" si="13"/>
        <v>2.4489252049069259E-2</v>
      </c>
      <c r="AB48" s="94">
        <f t="shared" si="14"/>
        <v>2.4489252049069259E-2</v>
      </c>
      <c r="AD48" s="110">
        <f t="shared" si="15"/>
        <v>0.94799632618099339</v>
      </c>
      <c r="AE48" s="111"/>
      <c r="AF48" s="112">
        <f t="shared" si="8"/>
        <v>0.99999999999999933</v>
      </c>
      <c r="AG48" s="108"/>
      <c r="AH48" s="131">
        <f>('[2]Cost Summary'!$D$41/1000000)*(1-(F48+H48))</f>
        <v>0.80227261149222484</v>
      </c>
      <c r="AJ48" s="54">
        <f t="shared" ca="1" si="16"/>
        <v>3.6679997749313906</v>
      </c>
      <c r="AL48" s="138">
        <f t="shared" ca="1" si="17"/>
        <v>2.0815585066722782</v>
      </c>
      <c r="AO48" s="135">
        <f t="shared" ca="1" si="18"/>
        <v>50.985162384476212</v>
      </c>
      <c r="AP48" s="108"/>
      <c r="AQ48" s="31">
        <f t="shared" ca="1" si="19"/>
        <v>2.6566298027209429E-3</v>
      </c>
      <c r="AR48" s="31"/>
      <c r="AS48" s="31">
        <f t="shared" si="9"/>
        <v>2.8875533489978918E-4</v>
      </c>
      <c r="AT48" s="31"/>
      <c r="AU48" s="31">
        <f t="shared" ca="1" si="20"/>
        <v>2.7917277538932778E-5</v>
      </c>
      <c r="AV48" s="31"/>
      <c r="AW48" s="31">
        <f t="shared" ca="1" si="21"/>
        <v>1.6662665974671476E-3</v>
      </c>
      <c r="AX48" s="31"/>
      <c r="AY48" s="31">
        <f t="shared" ca="1" si="22"/>
        <v>2.8337973703542242E-3</v>
      </c>
      <c r="AZ48" s="31"/>
      <c r="BA48" s="134">
        <f t="shared" ca="1" si="23"/>
        <v>2.6559103382507786E-3</v>
      </c>
    </row>
    <row r="49" spans="1:53">
      <c r="A49" s="78"/>
      <c r="B49">
        <v>51</v>
      </c>
      <c r="D49" s="78">
        <v>36</v>
      </c>
      <c r="E49" s="108"/>
      <c r="F49">
        <f>VLOOKUP(B49,[2]Parameters!E40:F130,2)</f>
        <v>0.12529999999999999</v>
      </c>
      <c r="H49">
        <f>VLOOKUP(B49,[2]Parameters!H40:I130,2)</f>
        <v>0.01</v>
      </c>
      <c r="J49">
        <f>VLOOKUP(B49,[2]Parameters!K40:L130,2)</f>
        <v>7.4999999999999997E-2</v>
      </c>
      <c r="L49">
        <f>VLOOKUP(B49,[2]Parameters!N40:O130,2)</f>
        <v>0.15</v>
      </c>
      <c r="N49">
        <f>VLOOKUP(B49,[2]Parameters!T40:U130,2)</f>
        <v>0.375</v>
      </c>
      <c r="P49">
        <f>VLOOKUP(B49,[2]Parameters!T40:U130,2)</f>
        <v>0.375</v>
      </c>
      <c r="R49" s="78">
        <f>VLOOKUP(B49,[2]Parameters!W40:X130,2)</f>
        <v>0.1</v>
      </c>
      <c r="S49" s="108"/>
      <c r="T49" s="102">
        <f t="shared" si="10"/>
        <v>2.1305811741284455E-3</v>
      </c>
      <c r="V49" s="94">
        <f t="shared" si="11"/>
        <v>2.8644351688813532E-4</v>
      </c>
      <c r="X49" s="34">
        <f t="shared" si="12"/>
        <v>5.4141625293710462E-5</v>
      </c>
      <c r="Z49" s="94">
        <f t="shared" si="13"/>
        <v>2.2175680907396609E-2</v>
      </c>
      <c r="AB49" s="94">
        <f t="shared" si="14"/>
        <v>2.2175680907396609E-2</v>
      </c>
      <c r="AD49" s="110">
        <f t="shared" si="15"/>
        <v>0.95323161349418939</v>
      </c>
      <c r="AE49" s="111"/>
      <c r="AF49" s="112">
        <f t="shared" si="8"/>
        <v>0.99999999999999922</v>
      </c>
      <c r="AG49" s="108"/>
      <c r="AH49" s="131">
        <f>('[2]Cost Summary'!$D$41/1000000)*(1-(F49+H49))</f>
        <v>0.80227261149222484</v>
      </c>
      <c r="AJ49" s="54">
        <f t="shared" ca="1" si="16"/>
        <v>3.6679997749313906</v>
      </c>
      <c r="AL49" s="138">
        <f t="shared" ca="1" si="17"/>
        <v>1.8826947803157079</v>
      </c>
      <c r="AO49" s="135">
        <f t="shared" ca="1" si="18"/>
        <v>49.431543221070655</v>
      </c>
      <c r="AP49" s="108"/>
      <c r="AQ49" s="31">
        <f t="shared" ca="1" si="19"/>
        <v>2.1245068532359385E-3</v>
      </c>
      <c r="AR49" s="31"/>
      <c r="AS49" s="31">
        <f t="shared" si="9"/>
        <v>2.2915481351050827E-4</v>
      </c>
      <c r="AT49" s="31"/>
      <c r="AU49" s="31">
        <f t="shared" ca="1" si="20"/>
        <v>1.4490897621367802E-5</v>
      </c>
      <c r="AV49" s="31"/>
      <c r="AW49" s="31">
        <f t="shared" ca="1" si="21"/>
        <v>1.5088495270515739E-3</v>
      </c>
      <c r="AX49" s="31"/>
      <c r="AY49" s="31">
        <f t="shared" ca="1" si="22"/>
        <v>2.5660802590164546E-3</v>
      </c>
      <c r="AZ49" s="31"/>
      <c r="BA49" s="134">
        <f t="shared" ca="1" si="23"/>
        <v>2.2230723282108161E-3</v>
      </c>
    </row>
    <row r="50" spans="1:53">
      <c r="A50" s="78"/>
      <c r="B50">
        <v>52</v>
      </c>
      <c r="D50" s="78">
        <v>37</v>
      </c>
      <c r="E50" s="108"/>
      <c r="F50">
        <f>VLOOKUP(B50,[2]Parameters!E41:F131,2)</f>
        <v>0.12529999999999999</v>
      </c>
      <c r="H50">
        <f>VLOOKUP(B50,[2]Parameters!H41:I131,2)</f>
        <v>0.01</v>
      </c>
      <c r="J50">
        <f>VLOOKUP(B50,[2]Parameters!K41:L131,2)</f>
        <v>7.4999999999999997E-2</v>
      </c>
      <c r="L50">
        <f>VLOOKUP(B50,[2]Parameters!N41:O131,2)</f>
        <v>0.15</v>
      </c>
      <c r="N50">
        <f>VLOOKUP(B50,[2]Parameters!T41:U131,2)</f>
        <v>0.375</v>
      </c>
      <c r="P50">
        <f>VLOOKUP(B50,[2]Parameters!T41:U131,2)</f>
        <v>0.375</v>
      </c>
      <c r="R50" s="78">
        <f>VLOOKUP(B50,[2]Parameters!W41:X131,2)</f>
        <v>0.1</v>
      </c>
      <c r="S50" s="108"/>
      <c r="T50" s="102">
        <f t="shared" si="10"/>
        <v>1.7038257649505178E-3</v>
      </c>
      <c r="V50" s="94">
        <f t="shared" si="11"/>
        <v>2.285400321127859E-4</v>
      </c>
      <c r="X50" s="34">
        <f t="shared" si="12"/>
        <v>4.2966527533220295E-5</v>
      </c>
      <c r="Z50" s="94">
        <f t="shared" si="13"/>
        <v>2.0065529135489996E-2</v>
      </c>
      <c r="AB50" s="94">
        <f t="shared" si="14"/>
        <v>2.0065529135489996E-2</v>
      </c>
      <c r="AD50" s="110">
        <f t="shared" si="15"/>
        <v>0.95793657593195591</v>
      </c>
      <c r="AE50" s="111"/>
      <c r="AF50" s="112">
        <f t="shared" si="8"/>
        <v>0.99999999999999922</v>
      </c>
      <c r="AG50" s="108"/>
      <c r="AH50" s="131">
        <f>('[2]Cost Summary'!$D$41/1000000)*(1-(F50+H50))</f>
        <v>0.80227261149222484</v>
      </c>
      <c r="AJ50" s="54">
        <f t="shared" ca="1" si="16"/>
        <v>3.6679997749313906</v>
      </c>
      <c r="AL50" s="138">
        <f t="shared" ca="1" si="17"/>
        <v>1.7032142072747856</v>
      </c>
      <c r="AO50" s="135">
        <f t="shared" ca="1" si="18"/>
        <v>47.931666605537664</v>
      </c>
      <c r="AP50" s="108"/>
      <c r="AQ50" s="31">
        <f t="shared" ca="1" si="19"/>
        <v>1.6989681305327798E-3</v>
      </c>
      <c r="AR50" s="31"/>
      <c r="AS50" s="31">
        <f t="shared" si="9"/>
        <v>1.8283202569022874E-4</v>
      </c>
      <c r="AT50" s="31"/>
      <c r="AU50" s="31">
        <f t="shared" ca="1" si="20"/>
        <v>1.1499905077690848E-5</v>
      </c>
      <c r="AV50" s="31"/>
      <c r="AW50" s="31">
        <f t="shared" ca="1" si="21"/>
        <v>1.3652732591415159E-3</v>
      </c>
      <c r="AX50" s="31"/>
      <c r="AY50" s="31">
        <f t="shared" ca="1" si="22"/>
        <v>2.3219020158306023E-3</v>
      </c>
      <c r="AZ50" s="31"/>
      <c r="BA50" s="134">
        <f t="shared" ca="1" si="23"/>
        <v>1.8693640177118835E-3</v>
      </c>
    </row>
    <row r="51" spans="1:53">
      <c r="A51" s="78"/>
      <c r="B51">
        <v>53</v>
      </c>
      <c r="D51" s="78">
        <v>38</v>
      </c>
      <c r="E51" s="108"/>
      <c r="F51">
        <f>VLOOKUP(B51,[2]Parameters!E42:F132,2)</f>
        <v>0.12529999999999999</v>
      </c>
      <c r="H51">
        <f>VLOOKUP(B51,[2]Parameters!H42:I132,2)</f>
        <v>0.01</v>
      </c>
      <c r="J51">
        <f>VLOOKUP(B51,[2]Parameters!K42:L132,2)</f>
        <v>7.4999999999999997E-2</v>
      </c>
      <c r="L51">
        <f>VLOOKUP(B51,[2]Parameters!N42:O132,2)</f>
        <v>0.15</v>
      </c>
      <c r="N51">
        <f>VLOOKUP(B51,[2]Parameters!T42:U132,2)</f>
        <v>0.375</v>
      </c>
      <c r="P51">
        <f>VLOOKUP(B51,[2]Parameters!T42:U132,2)</f>
        <v>0.375</v>
      </c>
      <c r="R51" s="78">
        <f>VLOOKUP(B51,[2]Parameters!W42:X132,2)</f>
        <v>0.1</v>
      </c>
      <c r="S51" s="108"/>
      <c r="T51" s="102">
        <f t="shared" si="10"/>
        <v>1.3625494642309291E-3</v>
      </c>
      <c r="V51" s="94">
        <f t="shared" si="11"/>
        <v>1.8263654007835746E-4</v>
      </c>
      <c r="X51" s="34">
        <f t="shared" si="12"/>
        <v>3.4281004816917887E-5</v>
      </c>
      <c r="Z51" s="94">
        <f t="shared" si="13"/>
        <v>1.8144678733983292E-2</v>
      </c>
      <c r="AB51" s="94">
        <f t="shared" si="14"/>
        <v>1.8144678733983292E-2</v>
      </c>
      <c r="AD51" s="110">
        <f t="shared" si="15"/>
        <v>0.96216545652772334</v>
      </c>
      <c r="AE51" s="111"/>
      <c r="AF51" s="112">
        <f t="shared" si="8"/>
        <v>0.99999999999999922</v>
      </c>
      <c r="AG51" s="108"/>
      <c r="AH51" s="131">
        <f>('[2]Cost Summary'!$D$41/1000000)*(1-(F51+H51))</f>
        <v>0.80227261149222484</v>
      </c>
      <c r="AJ51" s="54">
        <f t="shared" ca="1" si="16"/>
        <v>3.6679997749313906</v>
      </c>
      <c r="AL51" s="138">
        <f t="shared" ca="1" si="17"/>
        <v>1.5399164386903612</v>
      </c>
      <c r="AO51" s="135">
        <f t="shared" ca="1" si="18"/>
        <v>46.482489941184625</v>
      </c>
      <c r="AP51" s="108"/>
      <c r="AQ51" s="31">
        <f t="shared" ca="1" si="19"/>
        <v>1.358664813987064E-3</v>
      </c>
      <c r="AR51" s="31"/>
      <c r="AS51" s="31">
        <f t="shared" si="9"/>
        <v>1.4610923206268597E-4</v>
      </c>
      <c r="AT51" s="31"/>
      <c r="AU51" s="31">
        <f t="shared" ca="1" si="20"/>
        <v>9.1752423106012962E-6</v>
      </c>
      <c r="AV51" s="31"/>
      <c r="AW51" s="31">
        <f t="shared" ca="1" si="21"/>
        <v>1.2345771947476821E-3</v>
      </c>
      <c r="AX51" s="31"/>
      <c r="AY51" s="31">
        <f t="shared" ca="1" si="22"/>
        <v>2.0996289629122535E-3</v>
      </c>
      <c r="AZ51" s="31"/>
      <c r="BA51" s="134">
        <f t="shared" ca="1" si="23"/>
        <v>1.5767469418344448E-3</v>
      </c>
    </row>
    <row r="52" spans="1:53">
      <c r="A52" s="78"/>
      <c r="B52">
        <v>54</v>
      </c>
      <c r="D52" s="78">
        <v>39</v>
      </c>
      <c r="E52" s="108"/>
      <c r="F52">
        <f>VLOOKUP(B52,[2]Parameters!E43:F133,2)</f>
        <v>0.12529999999999999</v>
      </c>
      <c r="H52">
        <f>VLOOKUP(B52,[2]Parameters!H43:I133,2)</f>
        <v>0.01</v>
      </c>
      <c r="J52">
        <f>VLOOKUP(B52,[2]Parameters!K43:L133,2)</f>
        <v>7.4999999999999997E-2</v>
      </c>
      <c r="L52">
        <f>VLOOKUP(B52,[2]Parameters!N43:O133,2)</f>
        <v>0.15</v>
      </c>
      <c r="N52">
        <f>VLOOKUP(B52,[2]Parameters!T43:U133,2)</f>
        <v>0.375</v>
      </c>
      <c r="P52">
        <f>VLOOKUP(B52,[2]Parameters!T43:U133,2)</f>
        <v>0.375</v>
      </c>
      <c r="R52" s="78">
        <f>VLOOKUP(B52,[2]Parameters!W43:X133,2)</f>
        <v>0.1</v>
      </c>
      <c r="S52" s="108"/>
      <c r="T52" s="102">
        <f t="shared" si="10"/>
        <v>1.0896308065454739E-3</v>
      </c>
      <c r="V52" s="94">
        <f t="shared" si="11"/>
        <v>1.460239794361255E-4</v>
      </c>
      <c r="X52" s="34">
        <f t="shared" si="12"/>
        <v>2.7395481011753619E-5</v>
      </c>
      <c r="Z52" s="94">
        <f t="shared" si="13"/>
        <v>1.6398699563114346E-2</v>
      </c>
      <c r="AB52" s="94">
        <f t="shared" si="14"/>
        <v>1.6398699563114346E-2</v>
      </c>
      <c r="AD52" s="110">
        <f t="shared" si="15"/>
        <v>0.96596694608778899</v>
      </c>
      <c r="AE52" s="111"/>
      <c r="AF52" s="112">
        <f t="shared" si="8"/>
        <v>0.99999999999999933</v>
      </c>
      <c r="AG52" s="108"/>
      <c r="AH52" s="131">
        <f>('[2]Cost Summary'!$D$41/1000000)*(1-(F52+H52))</f>
        <v>0.80227261149222484</v>
      </c>
      <c r="AJ52" s="54">
        <f t="shared" ca="1" si="16"/>
        <v>3.6679997749313906</v>
      </c>
      <c r="AL52" s="138">
        <f t="shared" ca="1" si="17"/>
        <v>1.3915404489974135</v>
      </c>
      <c r="AO52" s="135">
        <f t="shared" ca="1" si="18"/>
        <v>45.081780765972482</v>
      </c>
      <c r="AP52" s="108"/>
      <c r="AQ52" s="31">
        <f t="shared" ca="1" si="19"/>
        <v>1.0865242517454549E-3</v>
      </c>
      <c r="AR52" s="31"/>
      <c r="AS52" s="31">
        <f t="shared" si="9"/>
        <v>1.1681918354890041E-4</v>
      </c>
      <c r="AT52" s="31"/>
      <c r="AU52" s="31">
        <f t="shared" ca="1" si="20"/>
        <v>7.3323456485811185E-6</v>
      </c>
      <c r="AV52" s="31"/>
      <c r="AW52" s="31">
        <f t="shared" ca="1" si="21"/>
        <v>1.1157794966202344E-3</v>
      </c>
      <c r="AX52" s="31"/>
      <c r="AY52" s="31">
        <f t="shared" ca="1" si="22"/>
        <v>1.8975913027506517E-3</v>
      </c>
      <c r="AZ52" s="31"/>
      <c r="BA52" s="134">
        <f t="shared" ca="1" si="23"/>
        <v>1.3337576861906799E-3</v>
      </c>
    </row>
    <row r="53" spans="1:53">
      <c r="A53" s="78"/>
      <c r="B53">
        <v>55</v>
      </c>
      <c r="D53" s="78">
        <v>40</v>
      </c>
      <c r="E53" s="108"/>
      <c r="F53">
        <f>VLOOKUP(B53,[2]Parameters!E44:F134,2)</f>
        <v>0.1148</v>
      </c>
      <c r="H53">
        <f>VLOOKUP(B53,[2]Parameters!H44:I134,2)</f>
        <v>0.01</v>
      </c>
      <c r="J53">
        <f>VLOOKUP(B53,[2]Parameters!K44:L134,2)</f>
        <v>7.4999999999999997E-2</v>
      </c>
      <c r="L53">
        <f>VLOOKUP(B53,[2]Parameters!N44:O134,2)</f>
        <v>0.15</v>
      </c>
      <c r="N53">
        <f>VLOOKUP(B53,[2]Parameters!T44:U134,2)</f>
        <v>0.375</v>
      </c>
      <c r="P53">
        <f>VLOOKUP(B53,[2]Parameters!T44:U134,2)</f>
        <v>0.375</v>
      </c>
      <c r="R53" s="78">
        <f>VLOOKUP(B53,[2]Parameters!W44:X134,2)</f>
        <v>0.1</v>
      </c>
      <c r="S53" s="108"/>
      <c r="T53" s="102">
        <f t="shared" si="10"/>
        <v>8.7137775599441551E-4</v>
      </c>
      <c r="V53" s="94">
        <f t="shared" si="11"/>
        <v>1.1676806555558068E-4</v>
      </c>
      <c r="X53" s="34">
        <f t="shared" si="12"/>
        <v>2.1903596915418824E-5</v>
      </c>
      <c r="Z53" s="94">
        <f t="shared" si="13"/>
        <v>1.481358859909146E-2</v>
      </c>
      <c r="AB53" s="94">
        <f t="shared" si="14"/>
        <v>1.481358859909146E-2</v>
      </c>
      <c r="AD53" s="110">
        <f t="shared" si="15"/>
        <v>0.96938467698026631</v>
      </c>
      <c r="AE53" s="111"/>
      <c r="AF53" s="112">
        <f t="shared" si="8"/>
        <v>0.99999999999999922</v>
      </c>
      <c r="AG53" s="108"/>
      <c r="AH53" s="131">
        <f>('[2]Cost Summary'!$D$41/1000000)*(1-(F53+H53))</f>
        <v>0.81201455947495682</v>
      </c>
      <c r="AJ53" s="54">
        <f t="shared" ca="1" si="16"/>
        <v>3.6679997749313906</v>
      </c>
      <c r="AL53" s="138">
        <f t="shared" ca="1" si="17"/>
        <v>1.2568769642360391</v>
      </c>
      <c r="AO53" s="135">
        <f t="shared" ca="1" si="18"/>
        <v>43.730423638605089</v>
      </c>
      <c r="AP53" s="108"/>
      <c r="AQ53" s="31">
        <f t="shared" ca="1" si="19"/>
        <v>8.688934441208404E-4</v>
      </c>
      <c r="AR53" s="31"/>
      <c r="AS53" s="31">
        <f t="shared" si="9"/>
        <v>9.3414452444464541E-5</v>
      </c>
      <c r="AT53" s="31"/>
      <c r="AU53" s="31">
        <f t="shared" ca="1" si="20"/>
        <v>5.8624538646407039E-6</v>
      </c>
      <c r="AV53" s="31"/>
      <c r="AW53" s="31">
        <f t="shared" ca="1" si="21"/>
        <v>1.0079273887919485E-3</v>
      </c>
      <c r="AX53" s="31"/>
      <c r="AY53" s="31">
        <f t="shared" ca="1" si="22"/>
        <v>1.7141686619706355E-3</v>
      </c>
      <c r="AZ53" s="31"/>
      <c r="BA53" s="134">
        <f t="shared" ca="1" si="23"/>
        <v>1.1312764095633076E-3</v>
      </c>
    </row>
    <row r="54" spans="1:53">
      <c r="A54" s="78"/>
      <c r="B54">
        <v>56</v>
      </c>
      <c r="D54" s="78">
        <v>41</v>
      </c>
      <c r="E54" s="108"/>
      <c r="F54">
        <f>VLOOKUP(B54,[2]Parameters!E45:F135,2)</f>
        <v>0.1148</v>
      </c>
      <c r="H54">
        <f>VLOOKUP(B54,[2]Parameters!H45:I135,2)</f>
        <v>0.01</v>
      </c>
      <c r="J54">
        <f>VLOOKUP(B54,[2]Parameters!K45:L135,2)</f>
        <v>7.4999999999999997E-2</v>
      </c>
      <c r="L54">
        <f>VLOOKUP(B54,[2]Parameters!N45:O135,2)</f>
        <v>0.15</v>
      </c>
      <c r="N54">
        <f>VLOOKUP(B54,[2]Parameters!T45:U135,2)</f>
        <v>0.375</v>
      </c>
      <c r="P54">
        <f>VLOOKUP(B54,[2]Parameters!T45:U135,2)</f>
        <v>0.375</v>
      </c>
      <c r="R54" s="78">
        <f>VLOOKUP(B54,[2]Parameters!W45:X135,2)</f>
        <v>0.1</v>
      </c>
      <c r="S54" s="108"/>
      <c r="T54" s="102">
        <f t="shared" si="10"/>
        <v>7.0599025790667538E-4</v>
      </c>
      <c r="V54" s="94">
        <f t="shared" si="11"/>
        <v>9.3377667432920533E-5</v>
      </c>
      <c r="X54" s="34">
        <f t="shared" si="12"/>
        <v>1.7515209833337101E-5</v>
      </c>
      <c r="Z54" s="94">
        <f t="shared" si="13"/>
        <v>1.3376017763765657E-2</v>
      </c>
      <c r="AB54" s="94">
        <f t="shared" si="14"/>
        <v>1.3376017763765657E-2</v>
      </c>
      <c r="AD54" s="110">
        <f t="shared" si="15"/>
        <v>0.97244859654712834</v>
      </c>
      <c r="AE54" s="111"/>
      <c r="AF54" s="112">
        <f t="shared" si="8"/>
        <v>0.99999999999999922</v>
      </c>
      <c r="AG54" s="108"/>
      <c r="AH54" s="131">
        <f>('[2]Cost Summary'!$D$41/1000000)*(1-(F54+H54))</f>
        <v>0.81201455947495682</v>
      </c>
      <c r="AJ54" s="54">
        <f t="shared" ca="1" si="16"/>
        <v>3.6679997749313906</v>
      </c>
      <c r="AL54" s="138">
        <f t="shared" ca="1" si="17"/>
        <v>1.1347803019135871</v>
      </c>
      <c r="AO54" s="135">
        <f t="shared" ca="1" si="18"/>
        <v>42.420382593722799</v>
      </c>
      <c r="AP54" s="108"/>
      <c r="AQ54" s="31">
        <f t="shared" ca="1" si="19"/>
        <v>7.0397746842670481E-4</v>
      </c>
      <c r="AR54" s="31"/>
      <c r="AS54" s="31">
        <f t="shared" si="9"/>
        <v>7.4702133946336435E-5</v>
      </c>
      <c r="AT54" s="31"/>
      <c r="AU54" s="31">
        <f t="shared" ca="1" si="20"/>
        <v>4.6879108474260623E-6</v>
      </c>
      <c r="AV54" s="31"/>
      <c r="AW54" s="31">
        <f t="shared" ca="1" si="21"/>
        <v>9.1011401909014229E-4</v>
      </c>
      <c r="AX54" s="31"/>
      <c r="AY54" s="31">
        <f t="shared" ca="1" si="22"/>
        <v>1.547818769181688E-3</v>
      </c>
      <c r="AZ54" s="31"/>
      <c r="BA54" s="134">
        <f t="shared" ca="1" si="23"/>
        <v>9.6470172856763731E-4</v>
      </c>
    </row>
    <row r="55" spans="1:53">
      <c r="A55" s="78"/>
      <c r="B55">
        <v>57</v>
      </c>
      <c r="D55" s="78">
        <v>42</v>
      </c>
      <c r="E55" s="108"/>
      <c r="F55">
        <f>VLOOKUP(B55,[2]Parameters!E46:F136,2)</f>
        <v>0.1148</v>
      </c>
      <c r="H55">
        <f>VLOOKUP(B55,[2]Parameters!H46:I136,2)</f>
        <v>0.01</v>
      </c>
      <c r="J55">
        <f>VLOOKUP(B55,[2]Parameters!K46:L136,2)</f>
        <v>7.4999999999999997E-2</v>
      </c>
      <c r="L55">
        <f>VLOOKUP(B55,[2]Parameters!N46:O136,2)</f>
        <v>0.15</v>
      </c>
      <c r="N55">
        <f>VLOOKUP(B55,[2]Parameters!T46:U136,2)</f>
        <v>0.375</v>
      </c>
      <c r="P55">
        <f>VLOOKUP(B55,[2]Parameters!T46:U136,2)</f>
        <v>0.375</v>
      </c>
      <c r="R55" s="78">
        <f>VLOOKUP(B55,[2]Parameters!W46:X136,2)</f>
        <v>0.1</v>
      </c>
      <c r="S55" s="108"/>
      <c r="T55" s="102">
        <f t="shared" si="10"/>
        <v>5.7199330695598843E-4</v>
      </c>
      <c r="V55" s="94">
        <f t="shared" si="11"/>
        <v>7.5359909526901596E-5</v>
      </c>
      <c r="X55" s="34">
        <f t="shared" si="12"/>
        <v>1.4006650114938079E-5</v>
      </c>
      <c r="Z55" s="94">
        <f t="shared" si="13"/>
        <v>1.2073432612676436E-2</v>
      </c>
      <c r="AB55" s="94">
        <f t="shared" si="14"/>
        <v>1.2073432612676436E-2</v>
      </c>
      <c r="AD55" s="110">
        <f t="shared" si="15"/>
        <v>0.9752057815581634</v>
      </c>
      <c r="AE55" s="111"/>
      <c r="AF55" s="112">
        <f t="shared" si="8"/>
        <v>0.99999999999999911</v>
      </c>
      <c r="AG55" s="108"/>
      <c r="AH55" s="131">
        <f>('[2]Cost Summary'!$D$41/1000000)*(1-(F55+H55))</f>
        <v>0.81201455947495682</v>
      </c>
      <c r="AJ55" s="54">
        <f t="shared" ca="1" si="16"/>
        <v>3.6679997749313906</v>
      </c>
      <c r="AL55" s="138">
        <f t="shared" ca="1" si="17"/>
        <v>1.0241740056509592</v>
      </c>
      <c r="AO55" s="135">
        <f t="shared" ca="1" si="18"/>
        <v>41.152876760092859</v>
      </c>
      <c r="AP55" s="108"/>
      <c r="AQ55" s="31">
        <f t="shared" ca="1" si="19"/>
        <v>5.7036254491931631E-4</v>
      </c>
      <c r="AR55" s="31"/>
      <c r="AS55" s="31">
        <f t="shared" si="9"/>
        <v>6.0287927621521277E-5</v>
      </c>
      <c r="AT55" s="31"/>
      <c r="AU55" s="31">
        <f t="shared" ca="1" si="20"/>
        <v>3.748851862736116E-6</v>
      </c>
      <c r="AV55" s="31"/>
      <c r="AW55" s="31">
        <f t="shared" ca="1" si="21"/>
        <v>8.2148517394339327E-4</v>
      </c>
      <c r="AX55" s="31"/>
      <c r="AY55" s="31">
        <f t="shared" ca="1" si="22"/>
        <v>1.3970888747601316E-3</v>
      </c>
      <c r="AZ55" s="31"/>
      <c r="BA55" s="134">
        <f t="shared" ca="1" si="23"/>
        <v>8.2439297207230022E-4</v>
      </c>
    </row>
    <row r="56" spans="1:53">
      <c r="A56" s="78"/>
      <c r="B56">
        <v>58</v>
      </c>
      <c r="D56" s="78">
        <v>43</v>
      </c>
      <c r="E56" s="108"/>
      <c r="F56">
        <f>VLOOKUP(B56,[2]Parameters!E47:F137,2)</f>
        <v>0.1148</v>
      </c>
      <c r="H56">
        <f>VLOOKUP(B56,[2]Parameters!H47:I137,2)</f>
        <v>0.01</v>
      </c>
      <c r="J56">
        <f>VLOOKUP(B56,[2]Parameters!K47:L137,2)</f>
        <v>7.4999999999999997E-2</v>
      </c>
      <c r="L56">
        <f>VLOOKUP(B56,[2]Parameters!N47:O137,2)</f>
        <v>0.15</v>
      </c>
      <c r="N56">
        <f>VLOOKUP(B56,[2]Parameters!T47:U137,2)</f>
        <v>0.375</v>
      </c>
      <c r="P56">
        <f>VLOOKUP(B56,[2]Parameters!T47:U137,2)</f>
        <v>0.375</v>
      </c>
      <c r="R56" s="78">
        <f>VLOOKUP(B56,[2]Parameters!W47:X137,2)</f>
        <v>0.1</v>
      </c>
      <c r="S56" s="108"/>
      <c r="T56" s="102">
        <f t="shared" si="10"/>
        <v>4.6342897729574178E-4</v>
      </c>
      <c r="V56" s="94">
        <f t="shared" si="11"/>
        <v>6.0985876308155508E-5</v>
      </c>
      <c r="X56" s="34">
        <f t="shared" si="12"/>
        <v>1.1303986429035239E-5</v>
      </c>
      <c r="Z56" s="94">
        <f t="shared" si="13"/>
        <v>1.0894349317481379E-2</v>
      </c>
      <c r="AB56" s="94">
        <f t="shared" si="14"/>
        <v>1.0894349317481379E-2</v>
      </c>
      <c r="AD56" s="110">
        <f t="shared" si="15"/>
        <v>0.97768688651143232</v>
      </c>
      <c r="AE56" s="111"/>
      <c r="AF56" s="112">
        <f t="shared" si="8"/>
        <v>0.999999999999999</v>
      </c>
      <c r="AG56" s="108"/>
      <c r="AH56" s="131">
        <f>('[2]Cost Summary'!$D$41/1000000)*(1-(F56+H56))</f>
        <v>0.81201455947495682</v>
      </c>
      <c r="AJ56" s="54">
        <f t="shared" ca="1" si="16"/>
        <v>3.6679997749313906</v>
      </c>
      <c r="AL56" s="138">
        <f t="shared" ca="1" si="17"/>
        <v>0.92408058973244822</v>
      </c>
      <c r="AO56" s="135">
        <f t="shared" ca="1" si="18"/>
        <v>39.926168780872324</v>
      </c>
      <c r="AP56" s="108"/>
      <c r="AQ56" s="31">
        <f t="shared" ca="1" si="19"/>
        <v>4.6210773389363002E-4</v>
      </c>
      <c r="AR56" s="31"/>
      <c r="AS56" s="31">
        <f t="shared" si="9"/>
        <v>4.8788701046524408E-5</v>
      </c>
      <c r="AT56" s="31"/>
      <c r="AU56" s="31">
        <f t="shared" ca="1" si="20"/>
        <v>3.0254893377851663E-6</v>
      </c>
      <c r="AV56" s="31"/>
      <c r="AW56" s="31">
        <f t="shared" ca="1" si="21"/>
        <v>7.412594852829799E-4</v>
      </c>
      <c r="AX56" s="31"/>
      <c r="AY56" s="31">
        <f t="shared" ca="1" si="22"/>
        <v>1.2606501164567992E-3</v>
      </c>
      <c r="AZ56" s="31"/>
      <c r="BA56" s="134">
        <f t="shared" ca="1" si="23"/>
        <v>7.0579876266911796E-4</v>
      </c>
    </row>
    <row r="57" spans="1:53">
      <c r="A57" s="78"/>
      <c r="B57">
        <v>59</v>
      </c>
      <c r="D57" s="78">
        <v>44</v>
      </c>
      <c r="E57" s="108"/>
      <c r="F57">
        <f>VLOOKUP(B57,[2]Parameters!E48:F138,2)</f>
        <v>0.1148</v>
      </c>
      <c r="H57">
        <f>VLOOKUP(B57,[2]Parameters!H48:I138,2)</f>
        <v>0.01</v>
      </c>
      <c r="J57">
        <f>VLOOKUP(B57,[2]Parameters!K48:L138,2)</f>
        <v>7.4999999999999997E-2</v>
      </c>
      <c r="L57">
        <f>VLOOKUP(B57,[2]Parameters!N48:O138,2)</f>
        <v>0.15</v>
      </c>
      <c r="N57">
        <f>VLOOKUP(B57,[2]Parameters!T48:U138,2)</f>
        <v>0.375</v>
      </c>
      <c r="P57">
        <f>VLOOKUP(B57,[2]Parameters!T48:U138,2)</f>
        <v>0.375</v>
      </c>
      <c r="R57" s="78">
        <f>VLOOKUP(B57,[2]Parameters!W48:X138,2)</f>
        <v>0.1</v>
      </c>
      <c r="S57" s="108"/>
      <c r="T57" s="102">
        <f t="shared" si="10"/>
        <v>3.7547015740500996E-4</v>
      </c>
      <c r="V57" s="94">
        <f t="shared" si="11"/>
        <v>4.9393783611137952E-5</v>
      </c>
      <c r="X57" s="34">
        <f t="shared" si="12"/>
        <v>9.1478814462233253E-6</v>
      </c>
      <c r="Z57" s="94">
        <f t="shared" si="13"/>
        <v>9.8277840893488001E-3</v>
      </c>
      <c r="AB57" s="94">
        <f t="shared" si="14"/>
        <v>9.8277840893488001E-3</v>
      </c>
      <c r="AD57" s="110">
        <f t="shared" si="15"/>
        <v>0.97991956788028522</v>
      </c>
      <c r="AE57" s="111"/>
      <c r="AF57" s="112">
        <f t="shared" si="8"/>
        <v>0.999999999999999</v>
      </c>
      <c r="AG57" s="108"/>
      <c r="AH57" s="131">
        <f>('[2]Cost Summary'!$D$41/1000000)*(1-(F57+H57))</f>
        <v>0.81201455947495682</v>
      </c>
      <c r="AJ57" s="54">
        <f t="shared" ca="1" si="16"/>
        <v>3.6679997749313906</v>
      </c>
      <c r="AL57" s="138">
        <f t="shared" ca="1" si="17"/>
        <v>0.83355477651607313</v>
      </c>
      <c r="AO57" s="135">
        <f t="shared" ca="1" si="18"/>
        <v>38.738613983935139</v>
      </c>
      <c r="AP57" s="108"/>
      <c r="AQ57" s="31">
        <f t="shared" ca="1" si="19"/>
        <v>3.7439968600061903E-4</v>
      </c>
      <c r="AR57" s="31"/>
      <c r="AS57" s="31">
        <f t="shared" si="9"/>
        <v>3.9515026888910366E-5</v>
      </c>
      <c r="AT57" s="31"/>
      <c r="AU57" s="31">
        <f t="shared" ca="1" si="20"/>
        <v>2.4484121555366685E-6</v>
      </c>
      <c r="AV57" s="31"/>
      <c r="AW57" s="31">
        <f t="shared" ca="1" si="21"/>
        <v>6.6868960809374212E-4</v>
      </c>
      <c r="AX57" s="31"/>
      <c r="AY57" s="31">
        <f t="shared" ca="1" si="22"/>
        <v>1.1372314945757678E-3</v>
      </c>
      <c r="AZ57" s="31"/>
      <c r="BA57" s="134">
        <f t="shared" ca="1" si="23"/>
        <v>6.0528751627420821E-4</v>
      </c>
    </row>
    <row r="58" spans="1:53">
      <c r="A58" s="78"/>
      <c r="B58">
        <v>60</v>
      </c>
      <c r="D58" s="78">
        <v>45</v>
      </c>
      <c r="E58" s="108"/>
      <c r="F58">
        <f>VLOOKUP(B58,[2]Parameters!E49:F139,2)</f>
        <v>0.19070000000000001</v>
      </c>
      <c r="H58">
        <f>VLOOKUP(B58,[2]Parameters!H49:I139,2)</f>
        <v>0.01</v>
      </c>
      <c r="J58">
        <f>VLOOKUP(B58,[2]Parameters!K49:L139,2)</f>
        <v>7.4999999999999997E-2</v>
      </c>
      <c r="L58">
        <f>VLOOKUP(B58,[2]Parameters!N49:O139,2)</f>
        <v>0.26</v>
      </c>
      <c r="N58">
        <f>VLOOKUP(B58,[2]Parameters!T49:U139,2)</f>
        <v>0.375</v>
      </c>
      <c r="P58">
        <f>VLOOKUP(B58,[2]Parameters!T49:U139,2)</f>
        <v>0.375</v>
      </c>
      <c r="R58" s="78">
        <f>VLOOKUP(B58,[2]Parameters!W49:X139,2)</f>
        <v>0.1</v>
      </c>
      <c r="S58" s="108"/>
      <c r="T58" s="102">
        <f t="shared" si="10"/>
        <v>3.0420592152953908E-4</v>
      </c>
      <c r="V58" s="94">
        <f t="shared" si="11"/>
        <v>4.0014769872048856E-5</v>
      </c>
      <c r="X58" s="34">
        <f t="shared" si="12"/>
        <v>7.4090675416706924E-6</v>
      </c>
      <c r="Z58" s="94">
        <f t="shared" si="13"/>
        <v>8.8635283492680961E-3</v>
      </c>
      <c r="AB58" s="94">
        <f t="shared" si="14"/>
        <v>8.8635283492680961E-3</v>
      </c>
      <c r="AD58" s="110">
        <f t="shared" si="15"/>
        <v>0.98192872261006126</v>
      </c>
      <c r="AE58" s="111"/>
      <c r="AF58" s="112">
        <f t="shared" si="8"/>
        <v>0.999999999999999</v>
      </c>
      <c r="AG58" s="108"/>
      <c r="AH58" s="131">
        <f>('[2]Cost Summary'!$D$41/1000000)*(1-(F58+H58))</f>
        <v>0.74159419262835125</v>
      </c>
      <c r="AJ58" s="54">
        <f t="shared" ca="1" si="16"/>
        <v>3.9765073939213069</v>
      </c>
      <c r="AL58" s="138">
        <f t="shared" ca="1" si="17"/>
        <v>0.75172413919177106</v>
      </c>
      <c r="AO58" s="135">
        <f t="shared" ca="1" si="18"/>
        <v>37.651625122948822</v>
      </c>
      <c r="AP58" s="108"/>
      <c r="AQ58" s="31">
        <f t="shared" ca="1" si="19"/>
        <v>3.0333862559770152E-4</v>
      </c>
      <c r="AR58" s="31"/>
      <c r="AS58" s="31">
        <f t="shared" si="9"/>
        <v>3.2011815897639085E-5</v>
      </c>
      <c r="AT58" s="31"/>
      <c r="AU58" s="31">
        <f t="shared" ca="1" si="20"/>
        <v>1.9830220949909593E-6</v>
      </c>
      <c r="AV58" s="31"/>
      <c r="AW58" s="31">
        <f t="shared" ca="1" si="21"/>
        <v>6.0308094320299453E-4</v>
      </c>
      <c r="AX58" s="31"/>
      <c r="AY58" s="31">
        <f t="shared" ca="1" si="22"/>
        <v>1.0256517135716551E-3</v>
      </c>
      <c r="AZ58" s="31"/>
      <c r="BA58" s="134">
        <f t="shared" ca="1" si="23"/>
        <v>5.1990381909941053E-4</v>
      </c>
    </row>
    <row r="59" spans="1:53">
      <c r="A59" s="78"/>
      <c r="B59">
        <v>61</v>
      </c>
      <c r="D59" s="78">
        <v>46</v>
      </c>
      <c r="E59" s="108"/>
      <c r="F59">
        <f>VLOOKUP(B59,[2]Parameters!E50:F140,2)</f>
        <v>0.19070000000000001</v>
      </c>
      <c r="H59">
        <f>VLOOKUP(B59,[2]Parameters!H50:I140,2)</f>
        <v>0.01</v>
      </c>
      <c r="J59">
        <f>VLOOKUP(B59,[2]Parameters!K50:L140,2)</f>
        <v>7.4999999999999997E-2</v>
      </c>
      <c r="L59">
        <f>VLOOKUP(B59,[2]Parameters!N50:O140,2)</f>
        <v>0.26</v>
      </c>
      <c r="N59">
        <f>VLOOKUP(B59,[2]Parameters!T50:U140,2)</f>
        <v>0.375</v>
      </c>
      <c r="P59">
        <f>VLOOKUP(B59,[2]Parameters!T50:U140,2)</f>
        <v>0.375</v>
      </c>
      <c r="R59" s="78">
        <f>VLOOKUP(B59,[2]Parameters!W50:X140,2)</f>
        <v>0.1</v>
      </c>
      <c r="S59" s="108"/>
      <c r="T59" s="102">
        <f t="shared" si="10"/>
        <v>2.2337840817914051E-4</v>
      </c>
      <c r="V59" s="94">
        <f t="shared" si="11"/>
        <v>3.2418988884007151E-5</v>
      </c>
      <c r="X59" s="34">
        <f t="shared" si="12"/>
        <v>1.0403840166732703E-5</v>
      </c>
      <c r="Z59" s="94">
        <f t="shared" si="13"/>
        <v>7.9921810530433051E-3</v>
      </c>
      <c r="AB59" s="94">
        <f t="shared" si="14"/>
        <v>7.9921810530433051E-3</v>
      </c>
      <c r="AD59" s="110">
        <f t="shared" si="15"/>
        <v>0.98375984049684928</v>
      </c>
      <c r="AE59" s="111"/>
      <c r="AF59" s="112">
        <f t="shared" si="8"/>
        <v>0.999999999999999</v>
      </c>
      <c r="AG59" s="108"/>
      <c r="AH59" s="131">
        <f>('[2]Cost Summary'!$D$41/1000000)*(1-(F59+H59))</f>
        <v>0.74159419262835125</v>
      </c>
      <c r="AJ59" s="54">
        <f t="shared" ca="1" si="16"/>
        <v>3.9765073939213069</v>
      </c>
      <c r="AL59" s="138">
        <f t="shared" ca="1" si="17"/>
        <v>0.67802873937596486</v>
      </c>
      <c r="AO59" s="135">
        <f t="shared" ca="1" si="18"/>
        <v>36.536055546450243</v>
      </c>
      <c r="AP59" s="108"/>
      <c r="AQ59" s="31">
        <f t="shared" ca="1" si="19"/>
        <v>2.2274155277639219E-4</v>
      </c>
      <c r="AR59" s="31"/>
      <c r="AS59" s="31">
        <f t="shared" si="9"/>
        <v>2.5935191107205722E-5</v>
      </c>
      <c r="AT59" s="31"/>
      <c r="AU59" s="31">
        <f t="shared" ca="1" si="20"/>
        <v>2.7845669927221664E-6</v>
      </c>
      <c r="AV59" s="31"/>
      <c r="AW59" s="31">
        <f t="shared" ca="1" si="21"/>
        <v>5.4379383669669911E-4</v>
      </c>
      <c r="AX59" s="31"/>
      <c r="AY59" s="31">
        <f t="shared" ca="1" si="22"/>
        <v>9.2482292256736132E-4</v>
      </c>
      <c r="AZ59" s="31"/>
      <c r="BA59" s="134">
        <f t="shared" ca="1" si="23"/>
        <v>4.4160687149077065E-4</v>
      </c>
    </row>
    <row r="60" spans="1:53">
      <c r="A60" s="78"/>
      <c r="B60">
        <v>62</v>
      </c>
      <c r="D60" s="78">
        <v>47</v>
      </c>
      <c r="E60" s="108"/>
      <c r="F60">
        <f>VLOOKUP(B60,[2]Parameters!E51:F141,2)</f>
        <v>0.19070000000000001</v>
      </c>
      <c r="H60">
        <f>VLOOKUP(B60,[2]Parameters!H51:I141,2)</f>
        <v>0.01</v>
      </c>
      <c r="J60">
        <f>VLOOKUP(B60,[2]Parameters!K51:L141,2)</f>
        <v>7.4999999999999997E-2</v>
      </c>
      <c r="L60">
        <f>VLOOKUP(B60,[2]Parameters!N51:O141,2)</f>
        <v>0.26</v>
      </c>
      <c r="N60">
        <f>VLOOKUP(B60,[2]Parameters!T51:U141,2)</f>
        <v>0.375</v>
      </c>
      <c r="P60">
        <f>VLOOKUP(B60,[2]Parameters!T51:U141,2)</f>
        <v>0.375</v>
      </c>
      <c r="R60" s="78">
        <f>VLOOKUP(B60,[2]Parameters!W51:X141,2)</f>
        <v>0.1</v>
      </c>
      <c r="S60" s="108"/>
      <c r="T60" s="102">
        <f t="shared" si="10"/>
        <v>1.6402676512594289E-4</v>
      </c>
      <c r="V60" s="94">
        <f t="shared" si="11"/>
        <v>2.4533937945597259E-5</v>
      </c>
      <c r="X60" s="34">
        <f t="shared" si="12"/>
        <v>8.4289371098418598E-6</v>
      </c>
      <c r="Z60" s="94">
        <f t="shared" si="13"/>
        <v>7.205120068570478E-3</v>
      </c>
      <c r="AB60" s="94">
        <f t="shared" si="14"/>
        <v>7.205120068570478E-3</v>
      </c>
      <c r="AD60" s="110">
        <f t="shared" si="15"/>
        <v>0.98540119915978663</v>
      </c>
      <c r="AE60" s="111"/>
      <c r="AF60" s="112">
        <f t="shared" si="8"/>
        <v>0.99999999999999911</v>
      </c>
      <c r="AG60" s="108"/>
      <c r="AH60" s="131">
        <f>('[2]Cost Summary'!$D$41/1000000)*(1-(F60+H60))</f>
        <v>0.74159419262835125</v>
      </c>
      <c r="AJ60" s="54">
        <f t="shared" ca="1" si="16"/>
        <v>3.9765073939213069</v>
      </c>
      <c r="AL60" s="138">
        <f t="shared" ca="1" si="17"/>
        <v>0.61120506427960541</v>
      </c>
      <c r="AO60" s="135">
        <f t="shared" ca="1" si="18"/>
        <v>35.455242202060873</v>
      </c>
      <c r="AP60" s="108"/>
      <c r="AQ60" s="31">
        <f t="shared" ca="1" si="19"/>
        <v>1.6355912220370481E-4</v>
      </c>
      <c r="AR60" s="31"/>
      <c r="AS60" s="31">
        <f t="shared" si="9"/>
        <v>1.9627150356477808E-5</v>
      </c>
      <c r="AT60" s="31"/>
      <c r="AU60" s="31">
        <f t="shared" ca="1" si="20"/>
        <v>2.2559881431903621E-6</v>
      </c>
      <c r="AV60" s="31"/>
      <c r="AW60" s="31">
        <f t="shared" ca="1" si="21"/>
        <v>4.9024163240851118E-4</v>
      </c>
      <c r="AX60" s="31"/>
      <c r="AY60" s="31">
        <f t="shared" ca="1" si="22"/>
        <v>8.3374740324817197E-4</v>
      </c>
      <c r="AZ60" s="31"/>
      <c r="BA60" s="134">
        <f t="shared" ca="1" si="23"/>
        <v>3.7623898074897128E-4</v>
      </c>
    </row>
    <row r="61" spans="1:53">
      <c r="A61" s="78"/>
      <c r="B61">
        <v>63</v>
      </c>
      <c r="D61" s="78">
        <v>48</v>
      </c>
      <c r="E61" s="108"/>
      <c r="F61">
        <f>VLOOKUP(B61,[2]Parameters!E52:F142,2)</f>
        <v>0.19070000000000001</v>
      </c>
      <c r="H61">
        <f>VLOOKUP(B61,[2]Parameters!H52:I142,2)</f>
        <v>0.01</v>
      </c>
      <c r="J61">
        <f>VLOOKUP(B61,[2]Parameters!K52:L142,2)</f>
        <v>7.4999999999999997E-2</v>
      </c>
      <c r="L61">
        <f>VLOOKUP(B61,[2]Parameters!N52:O142,2)</f>
        <v>0.26</v>
      </c>
      <c r="N61">
        <f>VLOOKUP(B61,[2]Parameters!T52:U142,2)</f>
        <v>0.375</v>
      </c>
      <c r="P61">
        <f>VLOOKUP(B61,[2]Parameters!T52:U142,2)</f>
        <v>0.375</v>
      </c>
      <c r="R61" s="78">
        <f>VLOOKUP(B61,[2]Parameters!W52:X142,2)</f>
        <v>0.1</v>
      </c>
      <c r="S61" s="108"/>
      <c r="T61" s="102">
        <f t="shared" si="10"/>
        <v>1.2044485363197985E-4</v>
      </c>
      <c r="V61" s="94">
        <f t="shared" si="11"/>
        <v>1.8190152491389054E-5</v>
      </c>
      <c r="X61" s="34">
        <f t="shared" si="12"/>
        <v>6.3788238658552876E-6</v>
      </c>
      <c r="Z61" s="94">
        <f t="shared" si="13"/>
        <v>6.4938082884430284E-3</v>
      </c>
      <c r="AB61" s="94">
        <f t="shared" si="14"/>
        <v>6.4938082884430284E-3</v>
      </c>
      <c r="AD61" s="110">
        <f t="shared" si="15"/>
        <v>0.98687374841698983</v>
      </c>
      <c r="AE61" s="111"/>
      <c r="AF61" s="112">
        <f t="shared" si="8"/>
        <v>0.99999999999999922</v>
      </c>
      <c r="AG61" s="108"/>
      <c r="AH61" s="131">
        <f>('[2]Cost Summary'!$D$41/1000000)*(1-(F61+H61))</f>
        <v>0.74159419262835125</v>
      </c>
      <c r="AJ61" s="54">
        <f t="shared" ca="1" si="16"/>
        <v>3.9765073939213069</v>
      </c>
      <c r="AL61" s="138">
        <f t="shared" ca="1" si="17"/>
        <v>0.55079814561510232</v>
      </c>
      <c r="AO61" s="135">
        <f t="shared" ca="1" si="18"/>
        <v>34.407946842833468</v>
      </c>
      <c r="AP61" s="108"/>
      <c r="AQ61" s="31">
        <f t="shared" ca="1" si="19"/>
        <v>1.2010146343418043E-4</v>
      </c>
      <c r="AR61" s="31"/>
      <c r="AS61" s="31">
        <f t="shared" si="9"/>
        <v>1.4552121993111243E-5</v>
      </c>
      <c r="AT61" s="31"/>
      <c r="AU61" s="31">
        <f t="shared" ca="1" si="20"/>
        <v>1.7072794376489573E-6</v>
      </c>
      <c r="AV61" s="31"/>
      <c r="AW61" s="31">
        <f t="shared" ca="1" si="21"/>
        <v>4.4184345931460033E-4</v>
      </c>
      <c r="AX61" s="31"/>
      <c r="AY61" s="31">
        <f t="shared" ca="1" si="22"/>
        <v>7.5143727601405914E-4</v>
      </c>
      <c r="AZ61" s="31"/>
      <c r="BA61" s="134">
        <f t="shared" ca="1" si="23"/>
        <v>3.2177167293869434E-4</v>
      </c>
    </row>
    <row r="62" spans="1:53">
      <c r="A62" s="78"/>
      <c r="B62">
        <v>64</v>
      </c>
      <c r="D62" s="78">
        <v>49</v>
      </c>
      <c r="E62" s="108"/>
      <c r="F62">
        <f>VLOOKUP(B62,[2]Parameters!E53:F143,2)</f>
        <v>0.19070000000000001</v>
      </c>
      <c r="H62">
        <f>VLOOKUP(B62,[2]Parameters!H53:I143,2)</f>
        <v>0.01</v>
      </c>
      <c r="J62">
        <f>VLOOKUP(B62,[2]Parameters!K53:L143,2)</f>
        <v>7.4999999999999997E-2</v>
      </c>
      <c r="L62">
        <f>VLOOKUP(B62,[2]Parameters!N53:O143,2)</f>
        <v>0.26</v>
      </c>
      <c r="N62">
        <f>VLOOKUP(B62,[2]Parameters!T53:U143,2)</f>
        <v>0.375</v>
      </c>
      <c r="P62">
        <f>VLOOKUP(B62,[2]Parameters!T53:U143,2)</f>
        <v>0.375</v>
      </c>
      <c r="R62" s="78">
        <f>VLOOKUP(B62,[2]Parameters!W53:X143,2)</f>
        <v>0.1</v>
      </c>
      <c r="S62" s="108"/>
      <c r="T62" s="102">
        <f t="shared" si="10"/>
        <v>8.8442656021962804E-5</v>
      </c>
      <c r="V62" s="94">
        <f t="shared" si="11"/>
        <v>1.3399000620331865E-5</v>
      </c>
      <c r="X62" s="34">
        <f t="shared" si="12"/>
        <v>4.7294396477611543E-6</v>
      </c>
      <c r="Z62" s="94">
        <f t="shared" si="13"/>
        <v>5.8512487667829963E-3</v>
      </c>
      <c r="AB62" s="94">
        <f t="shared" si="14"/>
        <v>5.8512487667829963E-3</v>
      </c>
      <c r="AD62" s="110">
        <f t="shared" si="15"/>
        <v>0.98819566080979093</v>
      </c>
      <c r="AE62" s="111"/>
      <c r="AF62" s="112">
        <f t="shared" si="8"/>
        <v>0.99999999999999922</v>
      </c>
      <c r="AG62" s="108"/>
      <c r="AH62" s="131">
        <f>('[2]Cost Summary'!$D$41/1000000)*(1-(F62+H62))</f>
        <v>0.74159419262835125</v>
      </c>
      <c r="AJ62" s="54">
        <f t="shared" ca="1" si="16"/>
        <v>3.9765073939213069</v>
      </c>
      <c r="AL62" s="138">
        <f t="shared" ca="1" si="17"/>
        <v>0.49624101344133986</v>
      </c>
      <c r="AO62" s="135">
        <f t="shared" ca="1" si="18"/>
        <v>33.392955419673982</v>
      </c>
      <c r="AP62" s="108"/>
      <c r="AQ62" s="31">
        <f t="shared" ca="1" si="19"/>
        <v>8.8190504599718679E-5</v>
      </c>
      <c r="AR62" s="31"/>
      <c r="AS62" s="31">
        <f t="shared" si="9"/>
        <v>1.0719200496265493E-5</v>
      </c>
      <c r="AT62" s="31"/>
      <c r="AU62" s="31">
        <f t="shared" ca="1" si="20"/>
        <v>1.2658250536506547E-6</v>
      </c>
      <c r="AV62" s="31"/>
      <c r="AW62" s="31">
        <f t="shared" ca="1" si="21"/>
        <v>3.9812324010654691E-4</v>
      </c>
      <c r="AX62" s="31"/>
      <c r="AY62" s="31">
        <f t="shared" ca="1" si="22"/>
        <v>6.7708288253859686E-4</v>
      </c>
      <c r="AZ62" s="31"/>
      <c r="BA62" s="134">
        <f t="shared" ca="1" si="23"/>
        <v>2.7615626275119564E-4</v>
      </c>
    </row>
    <row r="63" spans="1:53">
      <c r="A63" s="78"/>
      <c r="B63">
        <v>65</v>
      </c>
      <c r="D63" s="78">
        <v>50</v>
      </c>
      <c r="E63" s="108"/>
      <c r="F63">
        <f>VLOOKUP(B63,[2]Parameters!E54:F144,2)</f>
        <v>0.17519999999999999</v>
      </c>
      <c r="H63">
        <f>VLOOKUP(B63,[2]Parameters!H54:I144,2)</f>
        <v>0.01</v>
      </c>
      <c r="J63">
        <f>VLOOKUP(B63,[2]Parameters!K54:L144,2)</f>
        <v>7.4999999999999997E-2</v>
      </c>
      <c r="L63">
        <f>VLOOKUP(B63,[2]Parameters!N54:O144,2)</f>
        <v>0.26</v>
      </c>
      <c r="N63">
        <f>VLOOKUP(B63,[2]Parameters!T54:U144,2)</f>
        <v>0.375</v>
      </c>
      <c r="P63">
        <f>VLOOKUP(B63,[2]Parameters!T54:U144,2)</f>
        <v>0.375</v>
      </c>
      <c r="R63" s="78">
        <f>VLOOKUP(B63,[2]Parameters!W54:X144,2)</f>
        <v>0.1</v>
      </c>
      <c r="S63" s="108"/>
      <c r="T63" s="102">
        <f t="shared" si="10"/>
        <v>6.4943442316927285E-5</v>
      </c>
      <c r="V63" s="94">
        <f t="shared" si="11"/>
        <v>9.8489593505268598E-6</v>
      </c>
      <c r="X63" s="34">
        <f t="shared" si="12"/>
        <v>3.4837401612862849E-6</v>
      </c>
      <c r="Z63" s="94">
        <f t="shared" si="13"/>
        <v>5.2711485153373212E-3</v>
      </c>
      <c r="AB63" s="94">
        <f t="shared" si="14"/>
        <v>5.2711485153373212E-3</v>
      </c>
      <c r="AD63" s="110">
        <f t="shared" si="15"/>
        <v>0.98938291056765704</v>
      </c>
      <c r="AE63" s="111"/>
      <c r="AF63" s="112">
        <f t="shared" si="8"/>
        <v>0.99999999999999911</v>
      </c>
      <c r="AG63" s="108"/>
      <c r="AH63" s="131">
        <f>('[2]Cost Summary'!$D$41/1000000)*(1-(F63+H63))</f>
        <v>0.75597516346000326</v>
      </c>
      <c r="AJ63" s="54">
        <f t="shared" ca="1" si="16"/>
        <v>3.9765073939213069</v>
      </c>
      <c r="AL63" s="138">
        <f t="shared" ca="1" si="17"/>
        <v>0.44700040454885881</v>
      </c>
      <c r="AO63" s="135">
        <f t="shared" ca="1" si="18"/>
        <v>32.412393337404062</v>
      </c>
      <c r="AP63" s="108"/>
      <c r="AQ63" s="31">
        <f t="shared" ca="1" si="19"/>
        <v>6.4758287527573425E-5</v>
      </c>
      <c r="AR63" s="31"/>
      <c r="AS63" s="31">
        <f t="shared" si="9"/>
        <v>7.8791674804214875E-6</v>
      </c>
      <c r="AT63" s="31"/>
      <c r="AU63" s="31">
        <f t="shared" ca="1" si="20"/>
        <v>9.3241607991608217E-7</v>
      </c>
      <c r="AV63" s="31"/>
      <c r="AW63" s="31">
        <f t="shared" ca="1" si="21"/>
        <v>3.5865279526693173E-4</v>
      </c>
      <c r="AX63" s="31"/>
      <c r="AY63" s="31">
        <f t="shared" ca="1" si="22"/>
        <v>6.0995602362944306E-4</v>
      </c>
      <c r="AZ63" s="31"/>
      <c r="BA63" s="134">
        <f t="shared" ca="1" si="23"/>
        <v>2.3772833759142675E-4</v>
      </c>
    </row>
    <row r="64" spans="1:53">
      <c r="A64" s="78"/>
      <c r="B64">
        <v>66</v>
      </c>
      <c r="D64" s="78">
        <v>51</v>
      </c>
      <c r="E64" s="108"/>
      <c r="F64">
        <f>VLOOKUP(B64,[2]Parameters!E55:F145,2)</f>
        <v>0.17519999999999999</v>
      </c>
      <c r="H64">
        <f>VLOOKUP(B64,[2]Parameters!H55:I145,2)</f>
        <v>0.01</v>
      </c>
      <c r="J64">
        <f>VLOOKUP(B64,[2]Parameters!K55:L145,2)</f>
        <v>7.4999999999999997E-2</v>
      </c>
      <c r="L64">
        <f>VLOOKUP(B64,[2]Parameters!N55:O145,2)</f>
        <v>0.26</v>
      </c>
      <c r="N64">
        <f>VLOOKUP(B64,[2]Parameters!T55:U145,2)</f>
        <v>0.375</v>
      </c>
      <c r="P64">
        <f>VLOOKUP(B64,[2]Parameters!T55:U145,2)</f>
        <v>0.375</v>
      </c>
      <c r="R64" s="78">
        <f>VLOOKUP(B64,[2]Parameters!W55:X145,2)</f>
        <v>0.1</v>
      </c>
      <c r="S64" s="108"/>
      <c r="T64" s="102">
        <f t="shared" si="10"/>
        <v>4.8694593049232076E-5</v>
      </c>
      <c r="V64" s="94">
        <f t="shared" si="11"/>
        <v>7.2345084178959926E-6</v>
      </c>
      <c r="X64" s="34">
        <f t="shared" si="12"/>
        <v>2.5607294311369835E-6</v>
      </c>
      <c r="Z64" s="94">
        <f t="shared" si="13"/>
        <v>4.7477270235600369E-3</v>
      </c>
      <c r="AB64" s="94">
        <f t="shared" si="14"/>
        <v>4.7477270235600369E-3</v>
      </c>
      <c r="AD64" s="110">
        <f t="shared" si="15"/>
        <v>0.99044861685141206</v>
      </c>
      <c r="AE64" s="111"/>
      <c r="AF64" s="112">
        <f t="shared" si="8"/>
        <v>0.99999999999999922</v>
      </c>
      <c r="AG64" s="108"/>
      <c r="AH64" s="131">
        <f>('[2]Cost Summary'!$D$41/1000000)*(1-(F64+H64))</f>
        <v>0.75597516346000326</v>
      </c>
      <c r="AJ64" s="54">
        <f t="shared" ca="1" si="16"/>
        <v>3.9765073939213069</v>
      </c>
      <c r="AL64" s="138">
        <f t="shared" ca="1" si="17"/>
        <v>0.40258188742706091</v>
      </c>
      <c r="AO64" s="135">
        <f t="shared" ca="1" si="18"/>
        <v>31.458505979781371</v>
      </c>
      <c r="AP64" s="108"/>
      <c r="AQ64" s="31">
        <f t="shared" ca="1" si="19"/>
        <v>4.8555763988174554E-5</v>
      </c>
      <c r="AR64" s="31"/>
      <c r="AS64" s="31">
        <f t="shared" si="9"/>
        <v>5.7876067343167941E-6</v>
      </c>
      <c r="AT64" s="31"/>
      <c r="AU64" s="31">
        <f t="shared" ca="1" si="20"/>
        <v>6.8537410580727663E-7</v>
      </c>
      <c r="AV64" s="31"/>
      <c r="AW64" s="31">
        <f t="shared" ca="1" si="21"/>
        <v>3.2303881463586294E-4</v>
      </c>
      <c r="AX64" s="31"/>
      <c r="AY64" s="31">
        <f t="shared" ca="1" si="22"/>
        <v>5.4938780194536236E-4</v>
      </c>
      <c r="AZ64" s="31"/>
      <c r="BA64" s="134">
        <f t="shared" ca="1" si="23"/>
        <v>2.0539721759852173E-4</v>
      </c>
    </row>
    <row r="65" spans="1:53">
      <c r="A65" s="78"/>
      <c r="B65">
        <v>67</v>
      </c>
      <c r="D65" s="78">
        <v>52</v>
      </c>
      <c r="E65" s="108"/>
      <c r="F65">
        <f>VLOOKUP(B65,[2]Parameters!E56:F146,2)</f>
        <v>0.17519999999999999</v>
      </c>
      <c r="H65">
        <f>VLOOKUP(B65,[2]Parameters!H56:I146,2)</f>
        <v>0.01</v>
      </c>
      <c r="J65">
        <f>VLOOKUP(B65,[2]Parameters!K56:L146,2)</f>
        <v>7.4999999999999997E-2</v>
      </c>
      <c r="L65">
        <f>VLOOKUP(B65,[2]Parameters!N56:O146,2)</f>
        <v>0.26</v>
      </c>
      <c r="N65">
        <f>VLOOKUP(B65,[2]Parameters!T56:U146,2)</f>
        <v>0.375</v>
      </c>
      <c r="P65">
        <f>VLOOKUP(B65,[2]Parameters!T56:U146,2)</f>
        <v>0.375</v>
      </c>
      <c r="R65" s="78">
        <f>VLOOKUP(B65,[2]Parameters!W56:X146,2)</f>
        <v>0.1</v>
      </c>
      <c r="S65" s="108"/>
      <c r="T65" s="102">
        <f t="shared" si="10"/>
        <v>3.6511205868314214E-5</v>
      </c>
      <c r="V65" s="94">
        <f t="shared" si="11"/>
        <v>5.3883764989874448E-6</v>
      </c>
      <c r="X65" s="34">
        <f t="shared" si="12"/>
        <v>1.8809721886529582E-6</v>
      </c>
      <c r="Z65" s="94">
        <f t="shared" si="13"/>
        <v>4.2756672618607435E-3</v>
      </c>
      <c r="AB65" s="94">
        <f t="shared" si="14"/>
        <v>4.2756672618607435E-3</v>
      </c>
      <c r="AD65" s="110">
        <f t="shared" si="15"/>
        <v>0.9914067658939103</v>
      </c>
      <c r="AE65" s="111"/>
      <c r="AF65" s="112">
        <f t="shared" si="8"/>
        <v>0.99999999999999911</v>
      </c>
      <c r="AG65" s="108"/>
      <c r="AH65" s="131">
        <f>('[2]Cost Summary'!$D$41/1000000)*(1-(F65+H65))</f>
        <v>0.75597516346000326</v>
      </c>
      <c r="AJ65" s="54">
        <f t="shared" ca="1" si="16"/>
        <v>3.9765073939213069</v>
      </c>
      <c r="AL65" s="138">
        <f t="shared" ca="1" si="17"/>
        <v>0.36253040322604257</v>
      </c>
      <c r="AO65" s="135">
        <f t="shared" ca="1" si="18"/>
        <v>30.533627233549325</v>
      </c>
      <c r="AP65" s="108"/>
      <c r="AQ65" s="31">
        <f t="shared" ca="1" si="19"/>
        <v>3.6407111838333284E-5</v>
      </c>
      <c r="AR65" s="31"/>
      <c r="AS65" s="31">
        <f t="shared" si="9"/>
        <v>4.3107011991899563E-6</v>
      </c>
      <c r="AT65" s="31"/>
      <c r="AU65" s="31">
        <f t="shared" ca="1" si="20"/>
        <v>5.0343844069225855E-7</v>
      </c>
      <c r="AV65" s="31"/>
      <c r="AW65" s="31">
        <f t="shared" ca="1" si="21"/>
        <v>2.9091952363621278E-4</v>
      </c>
      <c r="AX65" s="31"/>
      <c r="AY65" s="31">
        <f t="shared" ca="1" si="22"/>
        <v>4.9476295228996665E-4</v>
      </c>
      <c r="AZ65" s="31"/>
      <c r="BA65" s="134">
        <f t="shared" ca="1" si="23"/>
        <v>1.7779488596991166E-4</v>
      </c>
    </row>
    <row r="66" spans="1:53">
      <c r="A66" s="78"/>
      <c r="B66">
        <v>68</v>
      </c>
      <c r="D66" s="78">
        <v>53</v>
      </c>
      <c r="E66" s="108"/>
      <c r="F66">
        <f>VLOOKUP(B66,[2]Parameters!E57:F147,2)</f>
        <v>0.17519999999999999</v>
      </c>
      <c r="H66">
        <f>VLOOKUP(B66,[2]Parameters!H57:I147,2)</f>
        <v>0.01</v>
      </c>
      <c r="J66">
        <f>VLOOKUP(B66,[2]Parameters!K57:L147,2)</f>
        <v>7.4999999999999997E-2</v>
      </c>
      <c r="L66">
        <f>VLOOKUP(B66,[2]Parameters!N57:O147,2)</f>
        <v>0.26</v>
      </c>
      <c r="N66">
        <f>VLOOKUP(B66,[2]Parameters!T57:U147,2)</f>
        <v>0.375</v>
      </c>
      <c r="P66">
        <f>VLOOKUP(B66,[2]Parameters!T57:U147,2)</f>
        <v>0.375</v>
      </c>
      <c r="R66" s="78">
        <f>VLOOKUP(B66,[2]Parameters!W57:X147,2)</f>
        <v>0.1</v>
      </c>
      <c r="S66" s="108"/>
      <c r="T66" s="102">
        <f t="shared" si="10"/>
        <v>2.7376102160061996E-5</v>
      </c>
      <c r="V66" s="94">
        <f t="shared" si="11"/>
        <v>4.031550799880553E-6</v>
      </c>
      <c r="X66" s="34">
        <f t="shared" si="12"/>
        <v>1.4009778897367357E-6</v>
      </c>
      <c r="Z66" s="94">
        <f t="shared" si="13"/>
        <v>3.8501211768617893E-3</v>
      </c>
      <c r="AB66" s="94">
        <f t="shared" si="14"/>
        <v>3.8501211768617893E-3</v>
      </c>
      <c r="AD66" s="110">
        <f t="shared" si="15"/>
        <v>0.99226834999331548</v>
      </c>
      <c r="AE66" s="111"/>
      <c r="AF66" s="112">
        <f t="shared" si="8"/>
        <v>0.999999999999999</v>
      </c>
      <c r="AG66" s="108"/>
      <c r="AH66" s="131">
        <f>('[2]Cost Summary'!$D$41/1000000)*(1-(F66+H66))</f>
        <v>0.75597516346000326</v>
      </c>
      <c r="AJ66" s="54">
        <f t="shared" ca="1" si="16"/>
        <v>3.9765073939213069</v>
      </c>
      <c r="AL66" s="138">
        <f t="shared" ca="1" si="17"/>
        <v>0.32643261906150461</v>
      </c>
      <c r="AO66" s="135">
        <f t="shared" ca="1" si="18"/>
        <v>29.636762862032171</v>
      </c>
      <c r="AP66" s="108"/>
      <c r="AQ66" s="31">
        <f t="shared" ca="1" si="19"/>
        <v>2.7298052456382295E-5</v>
      </c>
      <c r="AR66" s="31"/>
      <c r="AS66" s="31">
        <f t="shared" si="9"/>
        <v>3.2252406399044425E-6</v>
      </c>
      <c r="AT66" s="31"/>
      <c r="AU66" s="31">
        <f t="shared" ca="1" si="20"/>
        <v>3.7496892750896653E-7</v>
      </c>
      <c r="AV66" s="31"/>
      <c r="AW66" s="31">
        <f t="shared" ca="1" si="21"/>
        <v>2.6196505717493017E-4</v>
      </c>
      <c r="AX66" s="31"/>
      <c r="AY66" s="31">
        <f t="shared" ca="1" si="22"/>
        <v>4.4552047750068849E-4</v>
      </c>
      <c r="AZ66" s="31"/>
      <c r="BA66" s="134">
        <f t="shared" ca="1" si="23"/>
        <v>1.5413783280652425E-4</v>
      </c>
    </row>
    <row r="67" spans="1:53">
      <c r="A67" s="78"/>
      <c r="B67">
        <v>69</v>
      </c>
      <c r="D67" s="78">
        <v>54</v>
      </c>
      <c r="E67" s="108"/>
      <c r="F67">
        <f>VLOOKUP(B67,[2]Parameters!E58:F148,2)</f>
        <v>0.17519999999999999</v>
      </c>
      <c r="H67">
        <f>VLOOKUP(B67,[2]Parameters!H58:I148,2)</f>
        <v>0.01</v>
      </c>
      <c r="J67">
        <f>VLOOKUP(B67,[2]Parameters!K58:L148,2)</f>
        <v>7.4999999999999997E-2</v>
      </c>
      <c r="L67">
        <f>VLOOKUP(B67,[2]Parameters!N58:O148,2)</f>
        <v>0.26</v>
      </c>
      <c r="N67">
        <f>VLOOKUP(B67,[2]Parameters!T58:U148,2)</f>
        <v>0.375</v>
      </c>
      <c r="P67">
        <f>VLOOKUP(B67,[2]Parameters!T58:U148,2)</f>
        <v>0.375</v>
      </c>
      <c r="R67" s="78">
        <f>VLOOKUP(B67,[2]Parameters!W58:X148,2)</f>
        <v>0.1</v>
      </c>
      <c r="S67" s="108"/>
      <c r="T67" s="102">
        <f t="shared" si="10"/>
        <v>2.0526601399614485E-5</v>
      </c>
      <c r="V67" s="94">
        <f t="shared" si="11"/>
        <v>3.0207798539759827E-6</v>
      </c>
      <c r="X67" s="34">
        <f t="shared" si="12"/>
        <v>1.0482032079689437E-6</v>
      </c>
      <c r="Z67" s="94">
        <f t="shared" si="13"/>
        <v>3.4666208907255655E-3</v>
      </c>
      <c r="AB67" s="94">
        <f t="shared" si="14"/>
        <v>3.4666208907255655E-3</v>
      </c>
      <c r="AD67" s="110">
        <f t="shared" si="15"/>
        <v>0.9930432108372943</v>
      </c>
      <c r="AE67" s="111"/>
      <c r="AF67" s="112">
        <f t="shared" si="8"/>
        <v>0.999999999999999</v>
      </c>
      <c r="AG67" s="108"/>
      <c r="AH67" s="131">
        <f>('[2]Cost Summary'!$D$41/1000000)*(1-(F67+H67))</f>
        <v>0.75597516346000326</v>
      </c>
      <c r="AJ67" s="54">
        <f t="shared" ca="1" si="16"/>
        <v>3.9765073939213069</v>
      </c>
      <c r="AL67" s="138">
        <f t="shared" ca="1" si="17"/>
        <v>0.29390583280492233</v>
      </c>
      <c r="AO67" s="135">
        <f t="shared" ca="1" si="18"/>
        <v>28.766963966911895</v>
      </c>
      <c r="AP67" s="108"/>
      <c r="AQ67" s="31">
        <f t="shared" ca="1" si="19"/>
        <v>2.0468079731795444E-5</v>
      </c>
      <c r="AR67" s="31"/>
      <c r="AS67" s="31">
        <f t="shared" si="9"/>
        <v>2.4166238831807863E-6</v>
      </c>
      <c r="AT67" s="31"/>
      <c r="AU67" s="31">
        <f t="shared" ca="1" si="20"/>
        <v>2.8054949016892173E-7</v>
      </c>
      <c r="AV67" s="31"/>
      <c r="AW67" s="31">
        <f t="shared" ca="1" si="21"/>
        <v>2.3587141758040568E-4</v>
      </c>
      <c r="AX67" s="31"/>
      <c r="AY67" s="31">
        <f t="shared" ca="1" si="22"/>
        <v>4.0114337279347357E-4</v>
      </c>
      <c r="AZ67" s="31"/>
      <c r="BA67" s="134">
        <f t="shared" ca="1" si="23"/>
        <v>1.337988121598738E-4</v>
      </c>
    </row>
    <row r="68" spans="1:53">
      <c r="A68" s="78"/>
      <c r="B68">
        <v>70</v>
      </c>
      <c r="D68" s="78">
        <v>55</v>
      </c>
      <c r="E68" s="108"/>
      <c r="F68">
        <f>VLOOKUP(B68,[2]Parameters!E59:F149,2)</f>
        <v>0.28660000000000002</v>
      </c>
      <c r="H68">
        <f>VLOOKUP(B68,[2]Parameters!H59:I149,2)</f>
        <v>0.01</v>
      </c>
      <c r="J68">
        <f>VLOOKUP(B68,[2]Parameters!K59:L149,2)</f>
        <v>7.4999999999999997E-2</v>
      </c>
      <c r="L68">
        <f>VLOOKUP(B68,[2]Parameters!N59:O149,2)</f>
        <v>0.26</v>
      </c>
      <c r="N68">
        <f>VLOOKUP(B68,[2]Parameters!T59:U149,2)</f>
        <v>0.375</v>
      </c>
      <c r="P68">
        <f>VLOOKUP(B68,[2]Parameters!T59:U149,2)</f>
        <v>0.375</v>
      </c>
      <c r="R68" s="78">
        <f>VLOOKUP(B68,[2]Parameters!W59:X149,2)</f>
        <v>0.1</v>
      </c>
      <c r="S68" s="108"/>
      <c r="T68" s="102">
        <f t="shared" si="10"/>
        <v>1.5390845729430942E-5</v>
      </c>
      <c r="V68" s="94">
        <f t="shared" si="11"/>
        <v>2.2644822699253217E-6</v>
      </c>
      <c r="X68" s="34">
        <f t="shared" si="12"/>
        <v>7.8540276203375553E-7</v>
      </c>
      <c r="Z68" s="94">
        <f t="shared" si="13"/>
        <v>3.1210915940982501E-3</v>
      </c>
      <c r="AB68" s="94">
        <f t="shared" si="14"/>
        <v>3.1210915940982501E-3</v>
      </c>
      <c r="AD68" s="110">
        <f t="shared" si="15"/>
        <v>0.99374016148380306</v>
      </c>
      <c r="AE68" s="111"/>
      <c r="AF68" s="112">
        <f t="shared" si="8"/>
        <v>0.99999999999999889</v>
      </c>
      <c r="AG68" s="108"/>
      <c r="AH68" s="131">
        <f>('[2]Cost Summary'!$D$41/1000000)*(1-(F68+H68))</f>
        <v>0.65261773438606563</v>
      </c>
      <c r="AJ68" s="54">
        <f t="shared" ca="1" si="16"/>
        <v>3.9765073939213069</v>
      </c>
      <c r="AL68" s="138">
        <f t="shared" ca="1" si="17"/>
        <v>0.26460259846621637</v>
      </c>
      <c r="AO68" s="135">
        <f t="shared" ca="1" si="18"/>
        <v>27.902987966594484</v>
      </c>
      <c r="AP68" s="108"/>
      <c r="AQ68" s="31">
        <f t="shared" ca="1" si="19"/>
        <v>1.5346966182900225E-5</v>
      </c>
      <c r="AR68" s="31"/>
      <c r="AS68" s="31">
        <f t="shared" si="9"/>
        <v>1.8115858159402574E-6</v>
      </c>
      <c r="AT68" s="31"/>
      <c r="AU68" s="31">
        <f t="shared" ca="1" si="20"/>
        <v>2.102114769261052E-7</v>
      </c>
      <c r="AV68" s="31"/>
      <c r="AW68" s="31">
        <f t="shared" ca="1" si="21"/>
        <v>2.1236135184778175E-4</v>
      </c>
      <c r="AX68" s="31"/>
      <c r="AY68" s="31">
        <f t="shared" ca="1" si="22"/>
        <v>3.6116011768217484E-4</v>
      </c>
      <c r="AZ68" s="31"/>
      <c r="BA68" s="134">
        <f t="shared" ca="1" si="23"/>
        <v>1.1626779940594312E-4</v>
      </c>
    </row>
    <row r="69" spans="1:53">
      <c r="A69" s="78"/>
      <c r="B69">
        <v>71</v>
      </c>
      <c r="D69" s="78">
        <v>56</v>
      </c>
      <c r="E69" s="108"/>
      <c r="F69">
        <f>VLOOKUP(B69,[2]Parameters!E60:F150,2)</f>
        <v>0.28660000000000002</v>
      </c>
      <c r="H69">
        <f>VLOOKUP(B69,[2]Parameters!H60:I150,2)</f>
        <v>0.01</v>
      </c>
      <c r="J69">
        <f>VLOOKUP(B69,[2]Parameters!K60:L150,2)</f>
        <v>7.4999999999999997E-2</v>
      </c>
      <c r="L69">
        <f>VLOOKUP(B69,[2]Parameters!N60:O150,2)</f>
        <v>0.26</v>
      </c>
      <c r="N69">
        <f>VLOOKUP(B69,[2]Parameters!T60:U150,2)</f>
        <v>0.375</v>
      </c>
      <c r="P69">
        <f>VLOOKUP(B69,[2]Parameters!T60:U150,2)</f>
        <v>0.375</v>
      </c>
      <c r="R69" s="78">
        <f>VLOOKUP(B69,[2]Parameters!W60:X150,2)</f>
        <v>0.1</v>
      </c>
      <c r="S69" s="108"/>
      <c r="T69" s="102">
        <f t="shared" si="10"/>
        <v>9.8255159136687111E-6</v>
      </c>
      <c r="V69" s="94">
        <f t="shared" si="11"/>
        <v>1.6977891744893974E-6</v>
      </c>
      <c r="X69" s="34">
        <f t="shared" si="12"/>
        <v>5.8876539018058362E-7</v>
      </c>
      <c r="Z69" s="94">
        <f t="shared" si="13"/>
        <v>2.8098316155396466E-3</v>
      </c>
      <c r="AB69" s="94">
        <f t="shared" si="14"/>
        <v>2.8098316155396466E-3</v>
      </c>
      <c r="AD69" s="110">
        <f t="shared" si="15"/>
        <v>0.99436881346383144</v>
      </c>
      <c r="AE69" s="111"/>
      <c r="AF69" s="112">
        <f t="shared" si="8"/>
        <v>0.99999999999999889</v>
      </c>
      <c r="AG69" s="108"/>
      <c r="AH69" s="131">
        <f>('[2]Cost Summary'!$D$41/1000000)*(1-(F69+H69))</f>
        <v>0.65261773438606563</v>
      </c>
      <c r="AJ69" s="54">
        <f t="shared" ca="1" si="16"/>
        <v>3.9765073939213069</v>
      </c>
      <c r="AL69" s="138">
        <f t="shared" ca="1" si="17"/>
        <v>0.23820783657608366</v>
      </c>
      <c r="AO69" s="135">
        <f t="shared" ca="1" si="18"/>
        <v>27.08523722715849</v>
      </c>
      <c r="AP69" s="108"/>
      <c r="AQ69" s="31">
        <f t="shared" ca="1" si="19"/>
        <v>9.7975032111635016E-6</v>
      </c>
      <c r="AR69" s="31"/>
      <c r="AS69" s="31">
        <f t="shared" si="9"/>
        <v>1.3582313395915181E-6</v>
      </c>
      <c r="AT69" s="31"/>
      <c r="AU69" s="31">
        <f t="shared" ca="1" si="20"/>
        <v>1.5758187800658107E-7</v>
      </c>
      <c r="AV69" s="31"/>
      <c r="AW69" s="31">
        <f t="shared" ca="1" si="21"/>
        <v>1.9118299554840047E-4</v>
      </c>
      <c r="AX69" s="31"/>
      <c r="AY69" s="31">
        <f t="shared" ca="1" si="22"/>
        <v>3.251423696934442E-4</v>
      </c>
      <c r="AZ69" s="31"/>
      <c r="BA69" s="134">
        <f t="shared" ca="1" si="23"/>
        <v>1.00798029709308E-4</v>
      </c>
    </row>
    <row r="70" spans="1:53">
      <c r="A70" s="78"/>
      <c r="B70">
        <v>72</v>
      </c>
      <c r="D70" s="78">
        <v>57</v>
      </c>
      <c r="E70" s="108"/>
      <c r="F70">
        <f>VLOOKUP(B70,[2]Parameters!E61:F151,2)</f>
        <v>0.28660000000000002</v>
      </c>
      <c r="H70">
        <f>VLOOKUP(B70,[2]Parameters!H61:I151,2)</f>
        <v>0.01</v>
      </c>
      <c r="J70">
        <f>VLOOKUP(B70,[2]Parameters!K61:L151,2)</f>
        <v>7.4999999999999997E-2</v>
      </c>
      <c r="L70">
        <f>VLOOKUP(B70,[2]Parameters!N61:O151,2)</f>
        <v>0.26</v>
      </c>
      <c r="N70">
        <f>VLOOKUP(B70,[2]Parameters!T61:U151,2)</f>
        <v>0.375</v>
      </c>
      <c r="P70">
        <f>VLOOKUP(B70,[2]Parameters!T61:U151,2)</f>
        <v>0.375</v>
      </c>
      <c r="R70" s="78">
        <f>VLOOKUP(B70,[2]Parameters!W61:X151,2)</f>
        <v>0.1</v>
      </c>
      <c r="S70" s="108"/>
      <c r="T70" s="102">
        <f t="shared" si="10"/>
        <v>6.2726093592861053E-6</v>
      </c>
      <c r="V70" s="94">
        <f t="shared" si="11"/>
        <v>1.1443830954026087E-6</v>
      </c>
      <c r="X70" s="34">
        <f t="shared" si="12"/>
        <v>4.4142518536724332E-7</v>
      </c>
      <c r="Z70" s="94">
        <f t="shared" si="13"/>
        <v>2.5294851249261156E-3</v>
      </c>
      <c r="AB70" s="94">
        <f t="shared" si="14"/>
        <v>2.5294851249261156E-3</v>
      </c>
      <c r="AD70" s="110">
        <f t="shared" si="15"/>
        <v>0.9949336127576921</v>
      </c>
      <c r="AE70" s="111"/>
      <c r="AF70" s="112">
        <f t="shared" si="8"/>
        <v>0.999999999999999</v>
      </c>
      <c r="AG70" s="108"/>
      <c r="AH70" s="131">
        <f>('[2]Cost Summary'!$D$41/1000000)*(1-(F70+H70))</f>
        <v>0.65261773438606563</v>
      </c>
      <c r="AJ70" s="54">
        <f t="shared" ca="1" si="16"/>
        <v>3.9765073939213069</v>
      </c>
      <c r="AL70" s="138">
        <f t="shared" ca="1" si="17"/>
        <v>0.21443616417903577</v>
      </c>
      <c r="AO70" s="135">
        <f t="shared" ca="1" si="18"/>
        <v>26.291937844519111</v>
      </c>
      <c r="AP70" s="108"/>
      <c r="AQ70" s="31">
        <f t="shared" ca="1" si="19"/>
        <v>6.2547260500067795E-6</v>
      </c>
      <c r="AR70" s="31"/>
      <c r="AS70" s="31">
        <f t="shared" si="9"/>
        <v>9.1550647632208698E-7</v>
      </c>
      <c r="AT70" s="31"/>
      <c r="AU70" s="31">
        <f t="shared" ca="1" si="20"/>
        <v>1.1814656715510745E-7</v>
      </c>
      <c r="AV70" s="31"/>
      <c r="AW70" s="31">
        <f t="shared" ca="1" si="21"/>
        <v>1.7210801554940055E-4</v>
      </c>
      <c r="AX70" s="31"/>
      <c r="AY70" s="31">
        <f t="shared" ca="1" si="22"/>
        <v>2.9270180571473118E-4</v>
      </c>
      <c r="AZ70" s="31"/>
      <c r="BA70" s="134">
        <f t="shared" ca="1" si="23"/>
        <v>8.7560964489941318E-5</v>
      </c>
    </row>
    <row r="71" spans="1:53">
      <c r="A71" s="78"/>
      <c r="B71">
        <v>73</v>
      </c>
      <c r="D71" s="78">
        <v>58</v>
      </c>
      <c r="E71" s="108"/>
      <c r="F71">
        <f>VLOOKUP(B71,[2]Parameters!E62:F152,2)</f>
        <v>0.28660000000000002</v>
      </c>
      <c r="H71">
        <f>VLOOKUP(B71,[2]Parameters!H62:I152,2)</f>
        <v>0.01</v>
      </c>
      <c r="J71">
        <f>VLOOKUP(B71,[2]Parameters!K62:L152,2)</f>
        <v>7.4999999999999997E-2</v>
      </c>
      <c r="L71">
        <f>VLOOKUP(B71,[2]Parameters!N62:O152,2)</f>
        <v>0.26</v>
      </c>
      <c r="N71">
        <f>VLOOKUP(B71,[2]Parameters!T62:U152,2)</f>
        <v>0.375</v>
      </c>
      <c r="P71">
        <f>VLOOKUP(B71,[2]Parameters!T62:U152,2)</f>
        <v>0.375</v>
      </c>
      <c r="R71" s="78">
        <f>VLOOKUP(B71,[2]Parameters!W62:X152,2)</f>
        <v>0.1</v>
      </c>
      <c r="S71" s="108"/>
      <c r="T71" s="102">
        <f t="shared" si="10"/>
        <v>4.0044338149682495E-6</v>
      </c>
      <c r="V71" s="94">
        <f t="shared" si="11"/>
        <v>7.4509764484308397E-7</v>
      </c>
      <c r="X71" s="34">
        <f t="shared" si="12"/>
        <v>2.9753960480467828E-7</v>
      </c>
      <c r="Z71" s="94">
        <f t="shared" si="13"/>
        <v>2.2769657560942802E-3</v>
      </c>
      <c r="AB71" s="94">
        <f t="shared" si="14"/>
        <v>2.2769657560942802E-3</v>
      </c>
      <c r="AD71" s="110">
        <f t="shared" si="15"/>
        <v>0.99544131895635057</v>
      </c>
      <c r="AE71" s="111"/>
      <c r="AF71" s="112">
        <f t="shared" si="8"/>
        <v>0.99999999999999889</v>
      </c>
      <c r="AG71" s="108"/>
      <c r="AH71" s="131">
        <f>('[2]Cost Summary'!$D$41/1000000)*(1-(F71+H71))</f>
        <v>0.65261773438606563</v>
      </c>
      <c r="AJ71" s="54">
        <f t="shared" ca="1" si="16"/>
        <v>3.9765073939213069</v>
      </c>
      <c r="AL71" s="138">
        <f t="shared" ca="1" si="17"/>
        <v>0.19302344878283895</v>
      </c>
      <c r="AO71" s="135">
        <f t="shared" ca="1" si="18"/>
        <v>25.522297462973388</v>
      </c>
      <c r="AP71" s="108"/>
      <c r="AQ71" s="31">
        <f t="shared" ca="1" si="19"/>
        <v>3.9930171103243282E-6</v>
      </c>
      <c r="AR71" s="31"/>
      <c r="AS71" s="31">
        <f t="shared" si="9"/>
        <v>5.960781158744672E-7</v>
      </c>
      <c r="AT71" s="31"/>
      <c r="AU71" s="31">
        <f t="shared" ca="1" si="20"/>
        <v>7.9635879568390074E-8</v>
      </c>
      <c r="AV71" s="31"/>
      <c r="AW71" s="31">
        <f t="shared" ca="1" si="21"/>
        <v>1.549264132426055E-4</v>
      </c>
      <c r="AX71" s="31"/>
      <c r="AY71" s="31">
        <f t="shared" ca="1" si="22"/>
        <v>2.6348128391499089E-4</v>
      </c>
      <c r="AZ71" s="31"/>
      <c r="BA71" s="134">
        <f t="shared" ca="1" si="23"/>
        <v>7.6183302713718999E-5</v>
      </c>
    </row>
    <row r="72" spans="1:53">
      <c r="A72" s="78"/>
      <c r="B72">
        <v>74</v>
      </c>
      <c r="D72" s="78">
        <v>59</v>
      </c>
      <c r="E72" s="108"/>
      <c r="F72">
        <f>VLOOKUP(B72,[2]Parameters!E63:F153,2)</f>
        <v>0.28660000000000002</v>
      </c>
      <c r="H72">
        <f>VLOOKUP(B72,[2]Parameters!H63:I153,2)</f>
        <v>0.01</v>
      </c>
      <c r="J72">
        <f>VLOOKUP(B72,[2]Parameters!K63:L153,2)</f>
        <v>7.4999999999999997E-2</v>
      </c>
      <c r="L72">
        <f>VLOOKUP(B72,[2]Parameters!N63:O153,2)</f>
        <v>0.26</v>
      </c>
      <c r="N72">
        <f>VLOOKUP(B72,[2]Parameters!T63:U153,2)</f>
        <v>0.375</v>
      </c>
      <c r="P72">
        <f>VLOOKUP(B72,[2]Parameters!T63:U153,2)</f>
        <v>0.375</v>
      </c>
      <c r="R72" s="78">
        <f>VLOOKUP(B72,[2]Parameters!W63:X153,2)</f>
        <v>0.1</v>
      </c>
      <c r="S72" s="108"/>
      <c r="T72" s="102">
        <f t="shared" si="10"/>
        <v>2.5564305474757303E-6</v>
      </c>
      <c r="V72" s="94">
        <f t="shared" si="11"/>
        <v>4.791559708849588E-7</v>
      </c>
      <c r="X72" s="34">
        <f t="shared" si="12"/>
        <v>1.9372538765920183E-7</v>
      </c>
      <c r="Z72" s="94">
        <f t="shared" si="13"/>
        <v>2.0495485921016685E-3</v>
      </c>
      <c r="AB72" s="94">
        <f t="shared" si="14"/>
        <v>2.0495485921016685E-3</v>
      </c>
      <c r="AD72" s="110">
        <f t="shared" si="15"/>
        <v>0.9958978672292772</v>
      </c>
      <c r="AE72" s="111"/>
      <c r="AF72" s="112">
        <f t="shared" si="8"/>
        <v>0.99999999999999889</v>
      </c>
      <c r="AG72" s="108"/>
      <c r="AH72" s="131">
        <f>('[2]Cost Summary'!$D$41/1000000)*(1-(F72+H72))</f>
        <v>0.65261773438606563</v>
      </c>
      <c r="AJ72" s="54">
        <f t="shared" ca="1" si="16"/>
        <v>3.9765073939213069</v>
      </c>
      <c r="AL72" s="138">
        <f t="shared" ca="1" si="17"/>
        <v>0.17374072273112429</v>
      </c>
      <c r="AO72" s="135">
        <f t="shared" ca="1" si="18"/>
        <v>24.775558471525322</v>
      </c>
      <c r="AP72" s="108"/>
      <c r="AQ72" s="31">
        <f t="shared" ca="1" si="19"/>
        <v>2.549142123231051E-6</v>
      </c>
      <c r="AR72" s="31"/>
      <c r="AS72" s="31">
        <f t="shared" si="9"/>
        <v>3.8332477670796706E-7</v>
      </c>
      <c r="AT72" s="31"/>
      <c r="AU72" s="31">
        <f t="shared" ca="1" si="20"/>
        <v>5.1850212179636894E-8</v>
      </c>
      <c r="AV72" s="31"/>
      <c r="AW72" s="31">
        <f t="shared" ca="1" si="21"/>
        <v>1.3945278328884791E-4</v>
      </c>
      <c r="AX72" s="31"/>
      <c r="AY72" s="31">
        <f t="shared" ca="1" si="22"/>
        <v>2.371654879076493E-4</v>
      </c>
      <c r="AZ72" s="31"/>
      <c r="BA72" s="134">
        <f t="shared" ca="1" si="23"/>
        <v>6.6364053900606977E-5</v>
      </c>
    </row>
    <row r="73" spans="1:53">
      <c r="A73" s="78"/>
      <c r="B73">
        <v>75</v>
      </c>
      <c r="D73" s="78">
        <v>60</v>
      </c>
      <c r="E73" s="108"/>
      <c r="F73">
        <f>VLOOKUP(B73,[2]Parameters!E64:F154,2)</f>
        <v>0.2903</v>
      </c>
      <c r="H73">
        <f>VLOOKUP(B73,[2]Parameters!H64:I154,2)</f>
        <v>0.01</v>
      </c>
      <c r="J73">
        <f>VLOOKUP(B73,[2]Parameters!K64:L154,2)</f>
        <v>7.4999999999999997E-2</v>
      </c>
      <c r="L73">
        <f>VLOOKUP(B73,[2]Parameters!N64:O154,2)</f>
        <v>0.26</v>
      </c>
      <c r="N73">
        <f>VLOOKUP(B73,[2]Parameters!T64:U154,2)</f>
        <v>0.375</v>
      </c>
      <c r="P73">
        <f>VLOOKUP(B73,[2]Parameters!T64:U154,2)</f>
        <v>0.375</v>
      </c>
      <c r="R73" s="78">
        <f>VLOOKUP(B73,[2]Parameters!W64:X154,2)</f>
        <v>0.1</v>
      </c>
      <c r="S73" s="108"/>
      <c r="T73" s="102">
        <f t="shared" si="10"/>
        <v>1.6320252615085061E-6</v>
      </c>
      <c r="V73" s="94">
        <f t="shared" si="11"/>
        <v>3.0672972407306983E-7</v>
      </c>
      <c r="X73" s="34">
        <f t="shared" si="12"/>
        <v>1.245805524300893E-7</v>
      </c>
      <c r="Z73" s="94">
        <f t="shared" si="13"/>
        <v>1.8447734163805837E-3</v>
      </c>
      <c r="AB73" s="94">
        <f t="shared" si="14"/>
        <v>1.8447734163805837E-3</v>
      </c>
      <c r="AD73" s="110">
        <f t="shared" si="15"/>
        <v>0.9963085144122521</v>
      </c>
      <c r="AE73" s="111"/>
      <c r="AF73" s="112">
        <f t="shared" si="8"/>
        <v>0.99999999999999889</v>
      </c>
      <c r="AG73" s="108"/>
      <c r="AH73" s="131">
        <f>('[2]Cost Summary'!$D$41/1000000)*(1-(F73+H73))</f>
        <v>0.64918485747786481</v>
      </c>
      <c r="AJ73" s="54">
        <f t="shared" ca="1" si="16"/>
        <v>3.9765073939213069</v>
      </c>
      <c r="AL73" s="138">
        <f t="shared" ca="1" si="17"/>
        <v>0.15637914910432846</v>
      </c>
      <c r="AO73" s="135">
        <f t="shared" ca="1" si="18"/>
        <v>24.050410757272321</v>
      </c>
      <c r="AP73" s="108"/>
      <c r="AQ73" s="31">
        <f t="shared" ca="1" si="19"/>
        <v>1.6273723314707028E-6</v>
      </c>
      <c r="AR73" s="31"/>
      <c r="AS73" s="31">
        <f t="shared" si="9"/>
        <v>2.4538377925845589E-7</v>
      </c>
      <c r="AT73" s="31"/>
      <c r="AU73" s="31">
        <f t="shared" ca="1" si="20"/>
        <v>3.3343735454642594E-8</v>
      </c>
      <c r="AV73" s="31"/>
      <c r="AW73" s="31">
        <f t="shared" ca="1" si="21"/>
        <v>1.2551973075580915E-4</v>
      </c>
      <c r="AX73" s="31"/>
      <c r="AY73" s="31">
        <f t="shared" ca="1" si="22"/>
        <v>2.1346973136475851E-4</v>
      </c>
      <c r="AZ73" s="31"/>
      <c r="BA73" s="134">
        <f t="shared" ca="1" si="23"/>
        <v>5.7861257105499929E-5</v>
      </c>
    </row>
    <row r="74" spans="1:53">
      <c r="A74" s="78"/>
      <c r="B74">
        <v>76</v>
      </c>
      <c r="D74" s="78">
        <v>61</v>
      </c>
      <c r="E74" s="108"/>
      <c r="F74">
        <f>VLOOKUP(B74,[2]Parameters!E65:F155,2)</f>
        <v>0.2903</v>
      </c>
      <c r="H74">
        <f>VLOOKUP(B74,[2]Parameters!H65:I155,2)</f>
        <v>0.01</v>
      </c>
      <c r="J74">
        <f>VLOOKUP(B74,[2]Parameters!K65:L155,2)</f>
        <v>7.4999999999999997E-2</v>
      </c>
      <c r="L74">
        <f>VLOOKUP(B74,[2]Parameters!N65:O155,2)</f>
        <v>0.26</v>
      </c>
      <c r="N74">
        <f>VLOOKUP(B74,[2]Parameters!T65:U155,2)</f>
        <v>0.375</v>
      </c>
      <c r="P74">
        <f>VLOOKUP(B74,[2]Parameters!T65:U155,2)</f>
        <v>0.375</v>
      </c>
      <c r="R74" s="78">
        <f>VLOOKUP(B74,[2]Parameters!W65:X155,2)</f>
        <v>0.1</v>
      </c>
      <c r="S74" s="108"/>
      <c r="T74" s="102">
        <f t="shared" si="10"/>
        <v>1.0358464334794489E-6</v>
      </c>
      <c r="V74" s="94">
        <f t="shared" si="11"/>
        <v>1.9601702839067473E-7</v>
      </c>
      <c r="X74" s="34">
        <f t="shared" si="12"/>
        <v>7.9749728258998153E-8</v>
      </c>
      <c r="Z74" s="94">
        <f t="shared" si="13"/>
        <v>1.6604110983890526E-3</v>
      </c>
      <c r="AB74" s="94">
        <f t="shared" si="14"/>
        <v>1.6604110983890526E-3</v>
      </c>
      <c r="AD74" s="110">
        <f t="shared" si="15"/>
        <v>0.99667794593975889</v>
      </c>
      <c r="AE74" s="111"/>
      <c r="AF74" s="112">
        <f t="shared" si="8"/>
        <v>0.99999999999999889</v>
      </c>
      <c r="AG74" s="108"/>
      <c r="AH74" s="131">
        <f>('[2]Cost Summary'!$D$41/1000000)*(1-(F74+H74))</f>
        <v>0.64918485747786481</v>
      </c>
      <c r="AJ74" s="54">
        <f t="shared" ca="1" si="16"/>
        <v>3.9765073939213069</v>
      </c>
      <c r="AL74" s="138">
        <f t="shared" si="17"/>
        <v>0</v>
      </c>
      <c r="AO74" s="135">
        <f t="shared" ca="1" si="18"/>
        <v>23.324143729204572</v>
      </c>
      <c r="AP74" s="108"/>
      <c r="AQ74" s="31">
        <f t="shared" ca="1" si="19"/>
        <v>1.0328932187844551E-6</v>
      </c>
      <c r="AR74" s="31"/>
      <c r="AS74" s="31">
        <f t="shared" si="9"/>
        <v>1.5681362271253978E-7</v>
      </c>
      <c r="AT74" s="31"/>
      <c r="AU74" s="31">
        <f t="shared" ca="1" si="20"/>
        <v>2.1344855114042802E-8</v>
      </c>
      <c r="AV74" s="31"/>
      <c r="AW74" s="31">
        <f t="shared" ca="1" si="21"/>
        <v>1.1297558397315638E-4</v>
      </c>
      <c r="AX74" s="31"/>
      <c r="AY74" s="31">
        <f t="shared" ca="1" si="22"/>
        <v>1.9213606830024421E-4</v>
      </c>
      <c r="AZ74" s="31"/>
      <c r="BA74" s="134">
        <f t="shared" ca="1" si="23"/>
        <v>5.0478736977683944E-5</v>
      </c>
    </row>
    <row r="75" spans="1:53">
      <c r="A75" s="78"/>
      <c r="B75">
        <v>77</v>
      </c>
      <c r="D75" s="78">
        <v>62</v>
      </c>
      <c r="E75" s="108"/>
      <c r="F75">
        <f>VLOOKUP(B75,[2]Parameters!E66:F156,2)</f>
        <v>0.2903</v>
      </c>
      <c r="H75">
        <f>VLOOKUP(B75,[2]Parameters!H66:I156,2)</f>
        <v>0.01</v>
      </c>
      <c r="J75">
        <f>VLOOKUP(B75,[2]Parameters!K66:L156,2)</f>
        <v>7.4999999999999997E-2</v>
      </c>
      <c r="L75">
        <f>VLOOKUP(B75,[2]Parameters!N66:O156,2)</f>
        <v>0.26</v>
      </c>
      <c r="N75">
        <f>VLOOKUP(B75,[2]Parameters!T66:U156,2)</f>
        <v>0.375</v>
      </c>
      <c r="P75">
        <f>VLOOKUP(B75,[2]Parameters!T66:U156,2)</f>
        <v>0.375</v>
      </c>
      <c r="R75" s="78">
        <f>VLOOKUP(B75,[2]Parameters!W66:X156,2)</f>
        <v>0.1</v>
      </c>
      <c r="S75" s="108"/>
      <c r="T75" s="102">
        <f t="shared" si="10"/>
        <v>6.5745173132940622E-7</v>
      </c>
      <c r="V75" s="94">
        <f t="shared" si="11"/>
        <v>1.247325693247206E-7</v>
      </c>
      <c r="X75" s="34">
        <f t="shared" si="12"/>
        <v>5.0964427381575432E-8</v>
      </c>
      <c r="Z75" s="94">
        <f t="shared" si="13"/>
        <v>1.4944434949357938E-3</v>
      </c>
      <c r="AB75" s="94">
        <f t="shared" si="14"/>
        <v>1.4944434949357938E-3</v>
      </c>
      <c r="AD75" s="110">
        <f t="shared" si="15"/>
        <v>0.99701033082582646</v>
      </c>
      <c r="AE75" s="111"/>
      <c r="AF75" s="112">
        <f t="shared" si="8"/>
        <v>0.99999999999999867</v>
      </c>
      <c r="AG75" s="108"/>
      <c r="AH75" s="131">
        <f>('[2]Cost Summary'!$D$41/1000000)*(1-(F75+H75))</f>
        <v>0.64918485747786481</v>
      </c>
      <c r="AJ75" s="54">
        <f t="shared" ca="1" si="16"/>
        <v>3.9765073939213069</v>
      </c>
      <c r="AL75" s="138">
        <f t="shared" si="17"/>
        <v>0</v>
      </c>
      <c r="AO75" s="135">
        <f t="shared" ca="1" si="18"/>
        <v>22.644799737091816</v>
      </c>
      <c r="AP75" s="108"/>
      <c r="AQ75" s="31">
        <f t="shared" ca="1" si="19"/>
        <v>6.5557732596249363E-7</v>
      </c>
      <c r="AR75" s="31"/>
      <c r="AS75" s="31">
        <f t="shared" si="9"/>
        <v>9.9786055459776477E-8</v>
      </c>
      <c r="AT75" s="31"/>
      <c r="AU75" s="31">
        <f t="shared" ca="1" si="20"/>
        <v>1.3640526960756683E-8</v>
      </c>
      <c r="AV75" s="31"/>
      <c r="AW75" s="31">
        <f t="shared" ca="1" si="21"/>
        <v>1.0168302700401248E-4</v>
      </c>
      <c r="AX75" s="31"/>
      <c r="AY75" s="31">
        <f t="shared" ca="1" si="22"/>
        <v>1.7293096733238052E-4</v>
      </c>
      <c r="AZ75" s="31"/>
      <c r="BA75" s="134">
        <f t="shared" ca="1" si="23"/>
        <v>4.4058447761402179E-5</v>
      </c>
    </row>
    <row r="76" spans="1:53">
      <c r="A76" s="78"/>
      <c r="B76">
        <v>78</v>
      </c>
      <c r="D76" s="78">
        <v>63</v>
      </c>
      <c r="E76" s="108"/>
      <c r="F76">
        <f>VLOOKUP(B76,[2]Parameters!E67:F157,2)</f>
        <v>0.2903</v>
      </c>
      <c r="H76">
        <f>VLOOKUP(B76,[2]Parameters!H67:I157,2)</f>
        <v>0.01</v>
      </c>
      <c r="J76">
        <f>VLOOKUP(B76,[2]Parameters!K67:L157,2)</f>
        <v>7.4999999999999997E-2</v>
      </c>
      <c r="L76">
        <f>VLOOKUP(B76,[2]Parameters!N67:O157,2)</f>
        <v>0.26</v>
      </c>
      <c r="N76">
        <f>VLOOKUP(B76,[2]Parameters!T67:U157,2)</f>
        <v>0.375</v>
      </c>
      <c r="P76">
        <f>VLOOKUP(B76,[2]Parameters!T67:U157,2)</f>
        <v>0.375</v>
      </c>
      <c r="R76" s="78">
        <f>VLOOKUP(B76,[2]Parameters!W67:X157,2)</f>
        <v>0.1</v>
      </c>
      <c r="S76" s="108"/>
      <c r="T76" s="102">
        <f t="shared" si="10"/>
        <v>4.1728461387477412E-7</v>
      </c>
      <c r="V76" s="94">
        <f t="shared" si="11"/>
        <v>7.9244696487638405E-8</v>
      </c>
      <c r="X76" s="34">
        <f t="shared" si="12"/>
        <v>3.2430468024427355E-8</v>
      </c>
      <c r="Z76" s="94">
        <f t="shared" si="13"/>
        <v>1.3450459201557112E-3</v>
      </c>
      <c r="AB76" s="94">
        <f t="shared" si="14"/>
        <v>1.3450459201557112E-3</v>
      </c>
      <c r="AD76" s="110">
        <f t="shared" si="15"/>
        <v>0.99730941163037701</v>
      </c>
      <c r="AE76" s="111"/>
      <c r="AF76" s="112">
        <f t="shared" si="8"/>
        <v>0.99999999999999878</v>
      </c>
      <c r="AG76" s="108"/>
      <c r="AH76" s="131">
        <f>('[2]Cost Summary'!$D$41/1000000)*(1-(F76+H76))</f>
        <v>0.64918485747786481</v>
      </c>
      <c r="AJ76" s="54">
        <f t="shared" ca="1" si="16"/>
        <v>3.9765073939213069</v>
      </c>
      <c r="AL76" s="138">
        <f t="shared" si="17"/>
        <v>0</v>
      </c>
      <c r="AO76" s="135">
        <f t="shared" ca="1" si="18"/>
        <v>21.985242463195934</v>
      </c>
      <c r="AP76" s="108"/>
      <c r="AQ76" s="31">
        <f t="shared" ca="1" si="19"/>
        <v>4.1609492878839471E-7</v>
      </c>
      <c r="AR76" s="31"/>
      <c r="AS76" s="31">
        <f t="shared" si="9"/>
        <v>6.3395757190110721E-8</v>
      </c>
      <c r="AT76" s="31"/>
      <c r="AU76" s="31">
        <f t="shared" ca="1" si="20"/>
        <v>8.6799498427619582E-9</v>
      </c>
      <c r="AV76" s="31"/>
      <c r="AW76" s="31">
        <f t="shared" ca="1" si="21"/>
        <v>9.1517906889283909E-5</v>
      </c>
      <c r="AX76" s="31"/>
      <c r="AY76" s="31">
        <f t="shared" ca="1" si="22"/>
        <v>1.5564328318013273E-4</v>
      </c>
      <c r="AZ76" s="31"/>
      <c r="BA76" s="134">
        <f t="shared" ca="1" si="23"/>
        <v>3.846733102878435E-5</v>
      </c>
    </row>
    <row r="77" spans="1:53">
      <c r="A77" s="78"/>
      <c r="B77">
        <v>79</v>
      </c>
      <c r="D77" s="78">
        <v>64</v>
      </c>
      <c r="E77" s="108"/>
      <c r="F77">
        <f>VLOOKUP(B77,[2]Parameters!E68:F158,2)</f>
        <v>0.2903</v>
      </c>
      <c r="H77">
        <f>VLOOKUP(B77,[2]Parameters!H68:I158,2)</f>
        <v>0.01</v>
      </c>
      <c r="J77">
        <f>VLOOKUP(B77,[2]Parameters!K68:L158,2)</f>
        <v>7.4999999999999997E-2</v>
      </c>
      <c r="L77">
        <f>VLOOKUP(B77,[2]Parameters!N68:O158,2)</f>
        <v>0.26</v>
      </c>
      <c r="N77">
        <f>VLOOKUP(B77,[2]Parameters!T68:U158,2)</f>
        <v>0.375</v>
      </c>
      <c r="P77">
        <f>VLOOKUP(B77,[2]Parameters!T68:U158,2)</f>
        <v>0.375</v>
      </c>
      <c r="R77" s="78">
        <f>VLOOKUP(B77,[2]Parameters!W68:X158,2)</f>
        <v>0.1</v>
      </c>
      <c r="S77" s="108"/>
      <c r="T77" s="102">
        <f t="shared" si="10"/>
        <v>2.6485054442631915E-7</v>
      </c>
      <c r="V77" s="94">
        <f t="shared" si="11"/>
        <v>5.0315073197641279E-8</v>
      </c>
      <c r="X77" s="34">
        <f t="shared" si="12"/>
        <v>2.0603621086785985E-8</v>
      </c>
      <c r="Z77" s="94">
        <f t="shared" si="13"/>
        <v>1.210571044901323E-3</v>
      </c>
      <c r="AB77" s="94">
        <f t="shared" si="14"/>
        <v>1.210571044901323E-3</v>
      </c>
      <c r="AD77" s="110">
        <f t="shared" si="15"/>
        <v>0.99757854274457858</v>
      </c>
      <c r="AE77" s="111"/>
      <c r="AF77" s="112">
        <f t="shared" si="8"/>
        <v>0.99999999999999889</v>
      </c>
      <c r="AG77" s="108"/>
      <c r="AH77" s="131">
        <f>('[2]Cost Summary'!$D$41/1000000)*(1-(F77+H77))</f>
        <v>0.64918485747786481</v>
      </c>
      <c r="AJ77" s="54">
        <f t="shared" ref="AJ77:AJ103" ca="1" si="24">(ccc_adl*L77)+(ccc_hydrocele*P77)+(ccc_le*N77)</f>
        <v>3.9765073939213069</v>
      </c>
      <c r="AL77" s="138">
        <f t="shared" ref="AL77:AL103" si="25">IF(study_perspective=1,0,IF(age&lt;15,0,IF(age&gt;75,0,min_daily_wage*adl_episode_duration*annual_adl_episodes*X77 + prod_loss_hydrocele*min_annual_wage*Z77+prod_loss_lymphedema*min_annual_wage*AB77)))</f>
        <v>0</v>
      </c>
      <c r="AO77" s="135">
        <f t="shared" ref="AO77:AO103" ca="1" si="26">IF(study_perspective=1,((AH77+AJ77)/(1+discount_cost)^cycle),((AH77+AJ77+AL77+hh_costs_adl+hh_costs_hydrocele+hh_costs_lymphedema)/(1+discount_cost)^cycle))</f>
        <v>21.344895595335863</v>
      </c>
      <c r="AP77" s="108"/>
      <c r="AQ77" s="31">
        <f t="shared" ref="AQ77:AQ103" ca="1" si="27">util_healthy*T77*1</f>
        <v>2.6409545130199414E-7</v>
      </c>
      <c r="AR77" s="31"/>
      <c r="AS77" s="31">
        <f t="shared" si="9"/>
        <v>4.0252058558113027E-8</v>
      </c>
      <c r="AT77" s="31"/>
      <c r="AU77" s="31">
        <f t="shared" ref="AU77:AU103" ca="1" si="28">util_adl*X77</f>
        <v>5.5145179365857405E-9</v>
      </c>
      <c r="AV77" s="31"/>
      <c r="AW77" s="31">
        <f t="shared" ref="AW77:AW103" ca="1" si="29">util_lymphedema*AB77</f>
        <v>8.2368138150492858E-5</v>
      </c>
      <c r="AX77" s="31"/>
      <c r="AY77" s="31">
        <f t="shared" ref="AY77:AY103" ca="1" si="30">util_hydrocele*Z77</f>
        <v>1.4008239356574041E-4</v>
      </c>
      <c r="AZ77" s="31"/>
      <c r="BA77" s="134">
        <f t="shared" ref="BA77:BA103" ca="1" si="31">(AQ77+AS77+AU77+AW77+AY77)/((1+discount_effects)^cycle)</f>
        <v>3.3593526436677198E-5</v>
      </c>
    </row>
    <row r="78" spans="1:53">
      <c r="A78" s="78"/>
      <c r="B78">
        <v>80</v>
      </c>
      <c r="D78" s="78">
        <v>65</v>
      </c>
      <c r="E78" s="108"/>
      <c r="F78">
        <f>VLOOKUP(B78,[2]Parameters!E69:F159,2)</f>
        <v>0.44719999999999999</v>
      </c>
      <c r="H78">
        <f>VLOOKUP(B78,[2]Parameters!H69:I159,2)</f>
        <v>0.01</v>
      </c>
      <c r="J78">
        <f>VLOOKUP(B78,[2]Parameters!K69:L159,2)</f>
        <v>7.4999999999999997E-2</v>
      </c>
      <c r="L78">
        <f>VLOOKUP(B78,[2]Parameters!N69:O159,2)</f>
        <v>0.26</v>
      </c>
      <c r="N78">
        <f>VLOOKUP(B78,[2]Parameters!T69:U159,2)</f>
        <v>0.375</v>
      </c>
      <c r="P78">
        <f>VLOOKUP(B78,[2]Parameters!T69:U159,2)</f>
        <v>0.375</v>
      </c>
      <c r="R78" s="78">
        <f>VLOOKUP(B78,[2]Parameters!W69:X159,2)</f>
        <v>0.1</v>
      </c>
      <c r="S78" s="108"/>
      <c r="T78" s="102">
        <f t="shared" si="10"/>
        <v>1.6810064054738479E-7</v>
      </c>
      <c r="V78" s="94">
        <f t="shared" si="11"/>
        <v>3.1939408399407841E-8</v>
      </c>
      <c r="X78" s="34">
        <f t="shared" si="12"/>
        <v>1.3081919031386733E-8</v>
      </c>
      <c r="Z78" s="94">
        <f t="shared" si="13"/>
        <v>1.0895328085636399E-3</v>
      </c>
      <c r="AB78" s="94">
        <f t="shared" si="14"/>
        <v>1.0895328085636399E-3</v>
      </c>
      <c r="AD78" s="110">
        <f t="shared" si="15"/>
        <v>0.9978207343428227</v>
      </c>
      <c r="AE78" s="111"/>
      <c r="AF78" s="112">
        <f t="shared" ref="AF78:AF103" si="32">T78+V78+Z78+AB78+AD78</f>
        <v>0.99999999999999889</v>
      </c>
      <c r="AG78" s="108"/>
      <c r="AH78" s="131">
        <f>('[2]Cost Summary'!$D$41/1000000)*(1-(F78+H78))</f>
        <v>0.50361232047875515</v>
      </c>
      <c r="AJ78" s="54">
        <f t="shared" ca="1" si="24"/>
        <v>3.9765073939213069</v>
      </c>
      <c r="AL78" s="138">
        <f t="shared" si="25"/>
        <v>0</v>
      </c>
      <c r="AO78" s="135">
        <f t="shared" ca="1" si="26"/>
        <v>20.701885858221786</v>
      </c>
      <c r="AP78" s="108"/>
      <c r="AQ78" s="31">
        <f t="shared" ca="1" si="27"/>
        <v>1.6762138294137571E-7</v>
      </c>
      <c r="AR78" s="31"/>
      <c r="AS78" s="31">
        <f t="shared" ref="AS78:AS103" si="33">0.8*V78*1</f>
        <v>2.5551526719526276E-8</v>
      </c>
      <c r="AT78" s="31"/>
      <c r="AU78" s="31">
        <f t="shared" ca="1" si="28"/>
        <v>3.5013494394833038E-9</v>
      </c>
      <c r="AV78" s="31"/>
      <c r="AW78" s="31">
        <f t="shared" ca="1" si="29"/>
        <v>7.4132608138318364E-5</v>
      </c>
      <c r="AX78" s="31"/>
      <c r="AY78" s="31">
        <f t="shared" ca="1" si="30"/>
        <v>1.2607633755558654E-4</v>
      </c>
      <c r="AZ78" s="31"/>
      <c r="BA78" s="134">
        <f t="shared" ca="1" si="31"/>
        <v>2.9342039027154881E-5</v>
      </c>
    </row>
    <row r="79" spans="1:53">
      <c r="A79" s="78"/>
      <c r="B79">
        <v>81</v>
      </c>
      <c r="D79" s="78">
        <v>66</v>
      </c>
      <c r="E79" s="108"/>
      <c r="F79">
        <f>VLOOKUP(B79,[2]Parameters!E70:F160,2)</f>
        <v>0.44719999999999999</v>
      </c>
      <c r="H79">
        <f>VLOOKUP(B79,[2]Parameters!H70:I160,2)</f>
        <v>0.01</v>
      </c>
      <c r="J79">
        <f>VLOOKUP(B79,[2]Parameters!K70:L160,2)</f>
        <v>7.4999999999999997E-2</v>
      </c>
      <c r="L79">
        <f>VLOOKUP(B79,[2]Parameters!N70:O160,2)</f>
        <v>0.26</v>
      </c>
      <c r="N79">
        <f>VLOOKUP(B79,[2]Parameters!T70:U160,2)</f>
        <v>0.375</v>
      </c>
      <c r="P79">
        <f>VLOOKUP(B79,[2]Parameters!T70:U160,2)</f>
        <v>0.375</v>
      </c>
      <c r="R79" s="78">
        <f>VLOOKUP(B79,[2]Parameters!W70:X160,2)</f>
        <v>0.1</v>
      </c>
      <c r="S79" s="108"/>
      <c r="T79" s="102">
        <f t="shared" ref="T79:T103" si="34">T78 -T78*F78 - T78*J78</f>
        <v>8.0318486053540457E-8</v>
      </c>
      <c r="V79" s="94">
        <f t="shared" ref="V79:V103" si="35">V78+T78*J78-V78*N78-V78*P78-V78*H78</f>
        <v>2.0273006056911738E-8</v>
      </c>
      <c r="X79" s="34">
        <f t="shared" ref="X79:X103" si="36">V78*L78</f>
        <v>8.3042461838460396E-9</v>
      </c>
      <c r="Z79" s="94">
        <f t="shared" ref="Z79:Z103" si="37">Z78+V78*P78-Z78*R78</f>
        <v>9.8059150498542571E-4</v>
      </c>
      <c r="AB79" s="94">
        <f t="shared" ref="AB79:AB103" si="38">AB78+V78*N78-AB78*R78</f>
        <v>9.8059150498542571E-4</v>
      </c>
      <c r="AD79" s="110">
        <f t="shared" ref="AD79:AD103" si="39">AD78+T78*F78+V78*H78+Z78*R78 +AB78*R78</f>
        <v>0.99803871639853592</v>
      </c>
      <c r="AE79" s="111"/>
      <c r="AF79" s="112">
        <f t="shared" si="32"/>
        <v>0.99999999999999889</v>
      </c>
      <c r="AG79" s="108"/>
      <c r="AH79" s="131">
        <f>('[2]Cost Summary'!$D$41/1000000)*(1-(F79+H79))</f>
        <v>0.50361232047875515</v>
      </c>
      <c r="AJ79" s="54">
        <f t="shared" ca="1" si="24"/>
        <v>3.9765073939213069</v>
      </c>
      <c r="AL79" s="138">
        <f t="shared" si="25"/>
        <v>0</v>
      </c>
      <c r="AO79" s="135">
        <f t="shared" ca="1" si="26"/>
        <v>20.098918308953191</v>
      </c>
      <c r="AP79" s="108"/>
      <c r="AQ79" s="31">
        <f t="shared" ca="1" si="27"/>
        <v>8.0089496769389311E-8</v>
      </c>
      <c r="AR79" s="31"/>
      <c r="AS79" s="31">
        <f t="shared" si="33"/>
        <v>1.6218404845529391E-8</v>
      </c>
      <c r="AT79" s="31"/>
      <c r="AU79" s="31">
        <f t="shared" ca="1" si="28"/>
        <v>2.2226148664718133E-9</v>
      </c>
      <c r="AV79" s="31"/>
      <c r="AW79" s="31">
        <f t="shared" ca="1" si="29"/>
        <v>6.6720162267240577E-5</v>
      </c>
      <c r="AX79" s="31"/>
      <c r="AY79" s="31">
        <f t="shared" ca="1" si="30"/>
        <v>1.1347008976229643E-4</v>
      </c>
      <c r="AZ79" s="31"/>
      <c r="BA79" s="134">
        <f t="shared" ca="1" si="31"/>
        <v>2.562783242056308E-5</v>
      </c>
    </row>
    <row r="80" spans="1:53">
      <c r="A80" s="78"/>
      <c r="B80">
        <v>82</v>
      </c>
      <c r="D80" s="78">
        <v>67</v>
      </c>
      <c r="E80" s="108"/>
      <c r="F80">
        <f>VLOOKUP(B80,[2]Parameters!E71:F161,2)</f>
        <v>0.44719999999999999</v>
      </c>
      <c r="H80">
        <f>VLOOKUP(B80,[2]Parameters!H71:I161,2)</f>
        <v>0.01</v>
      </c>
      <c r="J80">
        <f>VLOOKUP(B80,[2]Parameters!K71:L161,2)</f>
        <v>7.4999999999999997E-2</v>
      </c>
      <c r="L80">
        <f>VLOOKUP(B80,[2]Parameters!N71:O161,2)</f>
        <v>0.26</v>
      </c>
      <c r="N80">
        <f>VLOOKUP(B80,[2]Parameters!T71:U161,2)</f>
        <v>0.375</v>
      </c>
      <c r="P80">
        <f>VLOOKUP(B80,[2]Parameters!T71:U161,2)</f>
        <v>0.375</v>
      </c>
      <c r="R80" s="78">
        <f>VLOOKUP(B80,[2]Parameters!W71:X161,2)</f>
        <v>0.1</v>
      </c>
      <c r="S80" s="108"/>
      <c r="T80" s="102">
        <f t="shared" si="34"/>
        <v>3.8376172636381631E-8</v>
      </c>
      <c r="V80" s="94">
        <f t="shared" si="35"/>
        <v>1.0889407907674352E-8</v>
      </c>
      <c r="X80" s="34">
        <f t="shared" si="36"/>
        <v>5.2709815747970521E-9</v>
      </c>
      <c r="Z80" s="94">
        <f t="shared" si="37"/>
        <v>8.8253995686415443E-4</v>
      </c>
      <c r="AB80" s="94">
        <f t="shared" si="38"/>
        <v>8.8253995686415443E-4</v>
      </c>
      <c r="AD80" s="110">
        <f t="shared" si="39"/>
        <v>0.99823487082069007</v>
      </c>
      <c r="AE80" s="111"/>
      <c r="AF80" s="112">
        <f t="shared" si="32"/>
        <v>0.99999999999999889</v>
      </c>
      <c r="AG80" s="108"/>
      <c r="AH80" s="131">
        <f>('[2]Cost Summary'!$D$41/1000000)*(1-(F80+H80))</f>
        <v>0.50361232047875515</v>
      </c>
      <c r="AJ80" s="54">
        <f t="shared" ca="1" si="24"/>
        <v>3.9765073939213069</v>
      </c>
      <c r="AL80" s="138">
        <f t="shared" si="25"/>
        <v>0</v>
      </c>
      <c r="AO80" s="135">
        <f t="shared" ca="1" si="26"/>
        <v>19.513512921313776</v>
      </c>
      <c r="AP80" s="108"/>
      <c r="AQ80" s="31">
        <f t="shared" ca="1" si="27"/>
        <v>3.8266761556414217E-8</v>
      </c>
      <c r="AR80" s="31"/>
      <c r="AS80" s="31">
        <f t="shared" si="33"/>
        <v>8.7115263261394815E-9</v>
      </c>
      <c r="AT80" s="31"/>
      <c r="AU80" s="31">
        <f t="shared" ca="1" si="28"/>
        <v>1.4107676662852823E-9</v>
      </c>
      <c r="AV80" s="31"/>
      <c r="AW80" s="31">
        <f t="shared" ca="1" si="29"/>
        <v>6.0048663311819179E-5</v>
      </c>
      <c r="AX80" s="31"/>
      <c r="AY80" s="31">
        <f t="shared" ca="1" si="30"/>
        <v>1.0212396050246959E-4</v>
      </c>
      <c r="AZ80" s="31"/>
      <c r="BA80" s="134">
        <f t="shared" ca="1" si="31"/>
        <v>2.2387884281514242E-5</v>
      </c>
    </row>
    <row r="81" spans="1:53">
      <c r="A81" s="78"/>
      <c r="B81">
        <v>83</v>
      </c>
      <c r="D81" s="78">
        <v>68</v>
      </c>
      <c r="E81" s="108"/>
      <c r="F81">
        <f>VLOOKUP(B81,[2]Parameters!E72:F162,2)</f>
        <v>0.44719999999999999</v>
      </c>
      <c r="H81">
        <f>VLOOKUP(B81,[2]Parameters!H72:I162,2)</f>
        <v>0.01</v>
      </c>
      <c r="J81">
        <f>VLOOKUP(B81,[2]Parameters!K72:L162,2)</f>
        <v>7.4999999999999997E-2</v>
      </c>
      <c r="L81">
        <f>VLOOKUP(B81,[2]Parameters!N72:O162,2)</f>
        <v>0.26</v>
      </c>
      <c r="N81">
        <f>VLOOKUP(B81,[2]Parameters!T72:U162,2)</f>
        <v>0.375</v>
      </c>
      <c r="P81">
        <f>VLOOKUP(B81,[2]Parameters!T72:U162,2)</f>
        <v>0.375</v>
      </c>
      <c r="R81" s="78">
        <f>VLOOKUP(B81,[2]Parameters!W72:X162,2)</f>
        <v>0.1</v>
      </c>
      <c r="S81" s="108"/>
      <c r="T81" s="102">
        <f t="shared" si="34"/>
        <v>1.8336135285663142E-8</v>
      </c>
      <c r="V81" s="94">
        <f t="shared" si="35"/>
        <v>5.4916708455704674E-9</v>
      </c>
      <c r="X81" s="34">
        <f t="shared" si="36"/>
        <v>2.8312460559953316E-9</v>
      </c>
      <c r="Z81" s="94">
        <f t="shared" si="37"/>
        <v>7.9429004470570443E-4</v>
      </c>
      <c r="AB81" s="94">
        <f t="shared" si="38"/>
        <v>7.9429004470570443E-4</v>
      </c>
      <c r="AD81" s="110">
        <f t="shared" si="39"/>
        <v>0.99841139608278151</v>
      </c>
      <c r="AE81" s="111"/>
      <c r="AF81" s="112">
        <f t="shared" si="32"/>
        <v>0.999999999999999</v>
      </c>
      <c r="AG81" s="108"/>
      <c r="AH81" s="131">
        <f>('[2]Cost Summary'!$D$41/1000000)*(1-(F81+H81))</f>
        <v>0.50361232047875515</v>
      </c>
      <c r="AJ81" s="54">
        <f t="shared" ca="1" si="24"/>
        <v>3.9765073939213069</v>
      </c>
      <c r="AL81" s="138">
        <f t="shared" si="25"/>
        <v>0</v>
      </c>
      <c r="AO81" s="135">
        <f t="shared" ca="1" si="26"/>
        <v>18.945158176032795</v>
      </c>
      <c r="AP81" s="108"/>
      <c r="AQ81" s="31">
        <f t="shared" ca="1" si="27"/>
        <v>1.8283858671654711E-8</v>
      </c>
      <c r="AR81" s="31"/>
      <c r="AS81" s="31">
        <f t="shared" si="33"/>
        <v>4.3933366764563741E-9</v>
      </c>
      <c r="AT81" s="31"/>
      <c r="AU81" s="31">
        <f t="shared" ca="1" si="28"/>
        <v>7.5777733889151996E-10</v>
      </c>
      <c r="AV81" s="31"/>
      <c r="AW81" s="31">
        <f t="shared" ca="1" si="29"/>
        <v>5.4044074826862818E-5</v>
      </c>
      <c r="AX81" s="31"/>
      <c r="AY81" s="31">
        <f t="shared" ca="1" si="30"/>
        <v>9.1912036981591316E-5</v>
      </c>
      <c r="AZ81" s="31"/>
      <c r="BA81" s="134">
        <f t="shared" ca="1" si="31"/>
        <v>1.9559634315974712E-5</v>
      </c>
    </row>
    <row r="82" spans="1:53">
      <c r="A82" s="78"/>
      <c r="B82">
        <v>84</v>
      </c>
      <c r="D82" s="78">
        <v>69</v>
      </c>
      <c r="E82" s="108"/>
      <c r="F82">
        <f>VLOOKUP(B82,[2]Parameters!E73:F163,2)</f>
        <v>0.44719999999999999</v>
      </c>
      <c r="H82">
        <f>VLOOKUP(B82,[2]Parameters!H73:I163,2)</f>
        <v>0.01</v>
      </c>
      <c r="J82">
        <f>VLOOKUP(B82,[2]Parameters!K73:L163,2)</f>
        <v>7.4999999999999997E-2</v>
      </c>
      <c r="L82">
        <f>VLOOKUP(B82,[2]Parameters!N73:O163,2)</f>
        <v>0.26</v>
      </c>
      <c r="N82">
        <f>VLOOKUP(B82,[2]Parameters!T73:U163,2)</f>
        <v>0.375</v>
      </c>
      <c r="P82">
        <f>VLOOKUP(B82,[2]Parameters!T73:U163,2)</f>
        <v>0.375</v>
      </c>
      <c r="R82" s="78">
        <f>VLOOKUP(B82,[2]Parameters!W73:X163,2)</f>
        <v>0.1</v>
      </c>
      <c r="S82" s="108"/>
      <c r="T82" s="102">
        <f t="shared" si="34"/>
        <v>8.7610054394898488E-9</v>
      </c>
      <c r="V82" s="94">
        <f t="shared" si="35"/>
        <v>2.6932111493616474E-9</v>
      </c>
      <c r="X82" s="34">
        <f t="shared" si="36"/>
        <v>1.4278344198483216E-9</v>
      </c>
      <c r="Z82" s="94">
        <f t="shared" si="37"/>
        <v>7.1486309961170109E-4</v>
      </c>
      <c r="AB82" s="94">
        <f t="shared" si="38"/>
        <v>7.1486309961170109E-4</v>
      </c>
      <c r="AD82" s="110">
        <f t="shared" si="39"/>
        <v>0.9985702623465591</v>
      </c>
      <c r="AE82" s="111"/>
      <c r="AF82" s="112">
        <f t="shared" si="32"/>
        <v>0.99999999999999911</v>
      </c>
      <c r="AG82" s="108"/>
      <c r="AH82" s="131">
        <f>('[2]Cost Summary'!$D$41/1000000)*(1-(F82+H82))</f>
        <v>0.50361232047875515</v>
      </c>
      <c r="AJ82" s="54">
        <f t="shared" ca="1" si="24"/>
        <v>3.9765073939213069</v>
      </c>
      <c r="AL82" s="138">
        <f t="shared" si="25"/>
        <v>0</v>
      </c>
      <c r="AO82" s="135">
        <f t="shared" ca="1" si="26"/>
        <v>18.393357452459025</v>
      </c>
      <c r="AP82" s="108"/>
      <c r="AQ82" s="31">
        <f t="shared" ca="1" si="27"/>
        <v>8.736027673316621E-9</v>
      </c>
      <c r="AR82" s="31"/>
      <c r="AS82" s="31">
        <f t="shared" si="33"/>
        <v>2.1545689194893178E-9</v>
      </c>
      <c r="AT82" s="31"/>
      <c r="AU82" s="31">
        <f t="shared" ca="1" si="28"/>
        <v>3.8215702402806721E-10</v>
      </c>
      <c r="AV82" s="31"/>
      <c r="AW82" s="31">
        <f t="shared" ca="1" si="29"/>
        <v>4.8639807465662428E-5</v>
      </c>
      <c r="AX82" s="31"/>
      <c r="AY82" s="31">
        <f t="shared" ca="1" si="30"/>
        <v>8.2721071586173671E-5</v>
      </c>
      <c r="AZ82" s="31"/>
      <c r="BA82" s="134">
        <f t="shared" ca="1" si="31"/>
        <v>1.7089714552995904E-5</v>
      </c>
    </row>
    <row r="83" spans="1:53">
      <c r="A83" s="78"/>
      <c r="B83">
        <v>85</v>
      </c>
      <c r="D83" s="78">
        <v>70</v>
      </c>
      <c r="E83" s="108"/>
      <c r="F83">
        <f>VLOOKUP(B83,[2]Parameters!E74:F164,2)</f>
        <v>0.47620000000000001</v>
      </c>
      <c r="H83">
        <f>VLOOKUP(B83,[2]Parameters!H74:I164,2)</f>
        <v>0.01</v>
      </c>
      <c r="J83">
        <f>VLOOKUP(B83,[2]Parameters!K74:L164,2)</f>
        <v>7.4999999999999997E-2</v>
      </c>
      <c r="L83">
        <f>VLOOKUP(B83,[2]Parameters!N74:O164,2)</f>
        <v>0.26</v>
      </c>
      <c r="N83">
        <f>VLOOKUP(B83,[2]Parameters!T74:U164,2)</f>
        <v>0.375</v>
      </c>
      <c r="P83">
        <f>VLOOKUP(B83,[2]Parameters!T74:U164,2)</f>
        <v>0.375</v>
      </c>
      <c r="R83" s="78">
        <f>VLOOKUP(B83,[2]Parameters!W74:X164,2)</f>
        <v>0.1</v>
      </c>
      <c r="S83" s="108"/>
      <c r="T83" s="102">
        <f t="shared" si="34"/>
        <v>4.1860083989882493E-9</v>
      </c>
      <c r="V83" s="94">
        <f t="shared" si="35"/>
        <v>1.3034460838085345E-9</v>
      </c>
      <c r="X83" s="34">
        <f t="shared" si="36"/>
        <v>7.0023489883402832E-10</v>
      </c>
      <c r="Z83" s="94">
        <f t="shared" si="37"/>
        <v>6.4337779960471208E-4</v>
      </c>
      <c r="AB83" s="94">
        <f t="shared" si="38"/>
        <v>6.4337779960471208E-4</v>
      </c>
      <c r="AD83" s="110">
        <f t="shared" si="39"/>
        <v>0.99871323891133512</v>
      </c>
      <c r="AE83" s="111"/>
      <c r="AF83" s="112">
        <f t="shared" si="32"/>
        <v>0.999999999999999</v>
      </c>
      <c r="AG83" s="108"/>
      <c r="AH83" s="131">
        <f>('[2]Cost Summary'!$D$41/1000000)*(1-(F83+H83))</f>
        <v>0.47670598795501928</v>
      </c>
      <c r="AJ83" s="54">
        <f t="shared" ca="1" si="24"/>
        <v>3.9765073939213069</v>
      </c>
      <c r="AL83" s="138">
        <f t="shared" si="25"/>
        <v>0</v>
      </c>
      <c r="AO83" s="135">
        <f t="shared" ca="1" si="26"/>
        <v>17.854230395870509</v>
      </c>
      <c r="AP83" s="108"/>
      <c r="AQ83" s="31">
        <f t="shared" ca="1" si="27"/>
        <v>4.174074022310681E-9</v>
      </c>
      <c r="AR83" s="31"/>
      <c r="AS83" s="31">
        <f t="shared" si="33"/>
        <v>1.0427568670468276E-9</v>
      </c>
      <c r="AT83" s="31"/>
      <c r="AU83" s="31">
        <f t="shared" ca="1" si="28"/>
        <v>1.8741646884197819E-10</v>
      </c>
      <c r="AV83" s="31"/>
      <c r="AW83" s="31">
        <f t="shared" ca="1" si="29"/>
        <v>4.3775895437116382E-5</v>
      </c>
      <c r="AX83" s="31"/>
      <c r="AY83" s="31">
        <f t="shared" ca="1" si="30"/>
        <v>7.4449081295376401E-5</v>
      </c>
      <c r="AZ83" s="31"/>
      <c r="BA83" s="134">
        <f t="shared" ca="1" si="31"/>
        <v>1.4932184923084355E-5</v>
      </c>
    </row>
    <row r="84" spans="1:53">
      <c r="A84" s="78"/>
      <c r="B84">
        <v>86</v>
      </c>
      <c r="D84" s="78">
        <v>71</v>
      </c>
      <c r="E84" s="108"/>
      <c r="F84">
        <f>VLOOKUP(B84,[2]Parameters!E75:F165,2)</f>
        <v>0.47620000000000001</v>
      </c>
      <c r="H84">
        <f>VLOOKUP(B84,[2]Parameters!H75:I165,2)</f>
        <v>0.01</v>
      </c>
      <c r="J84">
        <f>VLOOKUP(B84,[2]Parameters!K75:L165,2)</f>
        <v>7.4999999999999997E-2</v>
      </c>
      <c r="L84">
        <f>VLOOKUP(B84,[2]Parameters!N75:O165,2)</f>
        <v>0.26</v>
      </c>
      <c r="N84">
        <f>VLOOKUP(B84,[2]Parameters!T75:U165,2)</f>
        <v>0.375</v>
      </c>
      <c r="P84">
        <f>VLOOKUP(B84,[2]Parameters!T75:U165,2)</f>
        <v>0.375</v>
      </c>
      <c r="R84" s="78">
        <f>VLOOKUP(B84,[2]Parameters!W75:X165,2)</f>
        <v>0.1</v>
      </c>
      <c r="S84" s="108"/>
      <c r="T84" s="102">
        <f t="shared" si="34"/>
        <v>1.8786805694659261E-9</v>
      </c>
      <c r="V84" s="94">
        <f t="shared" si="35"/>
        <v>6.2677769003816687E-10</v>
      </c>
      <c r="X84" s="34">
        <f t="shared" si="36"/>
        <v>3.3889598179021899E-10</v>
      </c>
      <c r="Z84" s="94">
        <f t="shared" si="37"/>
        <v>5.7904050843652223E-4</v>
      </c>
      <c r="AB84" s="94">
        <f t="shared" si="38"/>
        <v>5.7904050843652223E-4</v>
      </c>
      <c r="AD84" s="110">
        <f t="shared" si="39"/>
        <v>0.99884191647766785</v>
      </c>
      <c r="AE84" s="111"/>
      <c r="AF84" s="112">
        <f t="shared" si="32"/>
        <v>0.99999999999999911</v>
      </c>
      <c r="AG84" s="108"/>
      <c r="AH84" s="131">
        <f>('[2]Cost Summary'!$D$41/1000000)*(1-(F84+H84))</f>
        <v>0.47670598795501928</v>
      </c>
      <c r="AJ84" s="54">
        <f t="shared" ca="1" si="24"/>
        <v>3.9765073939213069</v>
      </c>
      <c r="AL84" s="138">
        <f t="shared" si="25"/>
        <v>0</v>
      </c>
      <c r="AO84" s="135">
        <f t="shared" ca="1" si="26"/>
        <v>17.334204267835446</v>
      </c>
      <c r="AP84" s="108"/>
      <c r="AQ84" s="31">
        <f t="shared" ca="1" si="27"/>
        <v>1.8733244212130332E-9</v>
      </c>
      <c r="AR84" s="31"/>
      <c r="AS84" s="31">
        <f t="shared" si="33"/>
        <v>5.0142215203053347E-10</v>
      </c>
      <c r="AT84" s="31"/>
      <c r="AU84" s="31">
        <f t="shared" ca="1" si="28"/>
        <v>9.070483107542548E-11</v>
      </c>
      <c r="AV84" s="31"/>
      <c r="AW84" s="31">
        <f t="shared" ca="1" si="29"/>
        <v>3.9398339151188603E-5</v>
      </c>
      <c r="AX84" s="31"/>
      <c r="AY84" s="31">
        <f t="shared" ca="1" si="30"/>
        <v>6.7004229726908026E-5</v>
      </c>
      <c r="AZ84" s="31"/>
      <c r="BA84" s="134">
        <f t="shared" ca="1" si="31"/>
        <v>1.3047257152143789E-5</v>
      </c>
    </row>
    <row r="85" spans="1:53">
      <c r="A85" s="78"/>
      <c r="B85">
        <v>87</v>
      </c>
      <c r="D85" s="78">
        <v>72</v>
      </c>
      <c r="E85" s="108"/>
      <c r="F85">
        <f>VLOOKUP(B85,[2]Parameters!E76:F166,2)</f>
        <v>0.47620000000000001</v>
      </c>
      <c r="H85">
        <f>VLOOKUP(B85,[2]Parameters!H76:I166,2)</f>
        <v>0.01</v>
      </c>
      <c r="J85">
        <f>VLOOKUP(B85,[2]Parameters!K76:L166,2)</f>
        <v>7.4999999999999997E-2</v>
      </c>
      <c r="L85">
        <f>VLOOKUP(B85,[2]Parameters!N76:O166,2)</f>
        <v>0.26</v>
      </c>
      <c r="N85">
        <f>VLOOKUP(B85,[2]Parameters!T76:U166,2)</f>
        <v>0.375</v>
      </c>
      <c r="P85">
        <f>VLOOKUP(B85,[2]Parameters!T76:U166,2)</f>
        <v>0.375</v>
      </c>
      <c r="R85" s="78">
        <f>VLOOKUP(B85,[2]Parameters!W76:X166,2)</f>
        <v>0.1</v>
      </c>
      <c r="S85" s="108"/>
      <c r="T85" s="102">
        <f t="shared" si="34"/>
        <v>8.431518395763076E-10</v>
      </c>
      <c r="V85" s="94">
        <f t="shared" si="35"/>
        <v>2.9132768831910449E-10</v>
      </c>
      <c r="X85" s="34">
        <f t="shared" si="36"/>
        <v>1.629621994099234E-10</v>
      </c>
      <c r="Z85" s="94">
        <f t="shared" si="37"/>
        <v>5.2113669263450374E-4</v>
      </c>
      <c r="AB85" s="94">
        <f t="shared" si="38"/>
        <v>5.2113669263450374E-4</v>
      </c>
      <c r="AD85" s="110">
        <f t="shared" si="39"/>
        <v>0.99895772548025052</v>
      </c>
      <c r="AE85" s="111"/>
      <c r="AF85" s="112">
        <f t="shared" si="32"/>
        <v>0.99999999999999911</v>
      </c>
      <c r="AG85" s="108"/>
      <c r="AH85" s="131">
        <f>('[2]Cost Summary'!$D$41/1000000)*(1-(F85+H85))</f>
        <v>0.47670598795501928</v>
      </c>
      <c r="AJ85" s="54">
        <f t="shared" ca="1" si="24"/>
        <v>3.9765073939213069</v>
      </c>
      <c r="AL85" s="138">
        <f t="shared" si="25"/>
        <v>0</v>
      </c>
      <c r="AO85" s="135">
        <f t="shared" ca="1" si="26"/>
        <v>16.829324531879074</v>
      </c>
      <c r="AP85" s="108"/>
      <c r="AQ85" s="31">
        <f t="shared" ca="1" si="27"/>
        <v>8.407480002404094E-10</v>
      </c>
      <c r="AR85" s="31"/>
      <c r="AS85" s="31">
        <f t="shared" si="33"/>
        <v>2.3306215065528362E-10</v>
      </c>
      <c r="AT85" s="31"/>
      <c r="AU85" s="31">
        <f t="shared" ca="1" si="28"/>
        <v>4.3616506430893057E-11</v>
      </c>
      <c r="AV85" s="31"/>
      <c r="AW85" s="31">
        <f t="shared" ca="1" si="29"/>
        <v>3.5458521228474185E-5</v>
      </c>
      <c r="AX85" s="31"/>
      <c r="AY85" s="31">
        <f t="shared" ca="1" si="30"/>
        <v>6.0303833952286088E-5</v>
      </c>
      <c r="AZ85" s="31"/>
      <c r="BA85" s="134">
        <f t="shared" ca="1" si="31"/>
        <v>1.1400389971641287E-5</v>
      </c>
    </row>
    <row r="86" spans="1:53">
      <c r="A86" s="78"/>
      <c r="B86">
        <v>88</v>
      </c>
      <c r="D86" s="78">
        <v>73</v>
      </c>
      <c r="E86" s="108"/>
      <c r="F86">
        <f>VLOOKUP(B86,[2]Parameters!E77:F167,2)</f>
        <v>0.47620000000000001</v>
      </c>
      <c r="H86">
        <f>VLOOKUP(B86,[2]Parameters!H77:I167,2)</f>
        <v>0.01</v>
      </c>
      <c r="J86">
        <f>VLOOKUP(B86,[2]Parameters!K77:L167,2)</f>
        <v>7.4999999999999997E-2</v>
      </c>
      <c r="L86">
        <f>VLOOKUP(B86,[2]Parameters!N77:O167,2)</f>
        <v>0.26</v>
      </c>
      <c r="N86">
        <f>VLOOKUP(B86,[2]Parameters!T77:U167,2)</f>
        <v>0.375</v>
      </c>
      <c r="P86">
        <f>VLOOKUP(B86,[2]Parameters!T77:U167,2)</f>
        <v>0.375</v>
      </c>
      <c r="R86" s="78">
        <f>VLOOKUP(B86,[2]Parameters!W77:X167,2)</f>
        <v>0.1</v>
      </c>
      <c r="S86" s="108"/>
      <c r="T86" s="102">
        <f t="shared" si="34"/>
        <v>3.7840654560184685E-10</v>
      </c>
      <c r="V86" s="94">
        <f t="shared" si="35"/>
        <v>1.3315503316480812E-10</v>
      </c>
      <c r="X86" s="34">
        <f t="shared" si="36"/>
        <v>7.5745198962967173E-11</v>
      </c>
      <c r="Z86" s="94">
        <f t="shared" si="37"/>
        <v>4.6902313261893645E-4</v>
      </c>
      <c r="AB86" s="94">
        <f t="shared" si="38"/>
        <v>4.6902313261893645E-4</v>
      </c>
      <c r="AD86" s="110">
        <f t="shared" si="39"/>
        <v>0.99906195322319968</v>
      </c>
      <c r="AE86" s="111"/>
      <c r="AF86" s="112">
        <f t="shared" si="32"/>
        <v>0.99999999999999911</v>
      </c>
      <c r="AG86" s="108"/>
      <c r="AH86" s="131">
        <f>('[2]Cost Summary'!$D$41/1000000)*(1-(F86+H86))</f>
        <v>0.47670598795501928</v>
      </c>
      <c r="AJ86" s="54">
        <f t="shared" ca="1" si="24"/>
        <v>3.9765073939213069</v>
      </c>
      <c r="AL86" s="138">
        <f t="shared" si="25"/>
        <v>0</v>
      </c>
      <c r="AO86" s="135">
        <f t="shared" ca="1" si="26"/>
        <v>16.339150030950556</v>
      </c>
      <c r="AP86" s="108"/>
      <c r="AQ86" s="31">
        <f t="shared" ca="1" si="27"/>
        <v>3.7732770250789573E-10</v>
      </c>
      <c r="AR86" s="31"/>
      <c r="AS86" s="31">
        <f t="shared" si="33"/>
        <v>1.065240265318465E-10</v>
      </c>
      <c r="AT86" s="31"/>
      <c r="AU86" s="31">
        <f t="shared" ca="1" si="28"/>
        <v>2.0273050864802911E-11</v>
      </c>
      <c r="AV86" s="31"/>
      <c r="AW86" s="31">
        <f t="shared" ca="1" si="29"/>
        <v>3.191267653893253E-5</v>
      </c>
      <c r="AX86" s="31"/>
      <c r="AY86" s="31">
        <f t="shared" ca="1" si="30"/>
        <v>5.4273463198781414E-5</v>
      </c>
      <c r="AZ86" s="31"/>
      <c r="BA86" s="134">
        <f t="shared" ca="1" si="31"/>
        <v>9.9614501505335004E-6</v>
      </c>
    </row>
    <row r="87" spans="1:53">
      <c r="A87" s="78"/>
      <c r="B87">
        <v>89</v>
      </c>
      <c r="D87" s="78">
        <v>74</v>
      </c>
      <c r="E87" s="108"/>
      <c r="F87">
        <f>VLOOKUP(B87,[2]Parameters!E78:F168,2)</f>
        <v>0.47620000000000001</v>
      </c>
      <c r="H87">
        <f>VLOOKUP(B87,[2]Parameters!H78:I168,2)</f>
        <v>0.01</v>
      </c>
      <c r="J87">
        <f>VLOOKUP(B87,[2]Parameters!K78:L168,2)</f>
        <v>7.4999999999999997E-2</v>
      </c>
      <c r="L87">
        <f>VLOOKUP(B87,[2]Parameters!N78:O168,2)</f>
        <v>0.26</v>
      </c>
      <c r="N87">
        <f>VLOOKUP(B87,[2]Parameters!T78:U168,2)</f>
        <v>0.375</v>
      </c>
      <c r="P87">
        <f>VLOOKUP(B87,[2]Parameters!T78:U168,2)</f>
        <v>0.375</v>
      </c>
      <c r="R87" s="78">
        <f>VLOOKUP(B87,[2]Parameters!W78:X168,2)</f>
        <v>0.1</v>
      </c>
      <c r="S87" s="108"/>
      <c r="T87" s="102">
        <f t="shared" si="34"/>
        <v>1.6982885766610885E-10</v>
      </c>
      <c r="V87" s="94">
        <f t="shared" si="35"/>
        <v>6.0337698879692465E-11</v>
      </c>
      <c r="X87" s="34">
        <f t="shared" si="36"/>
        <v>3.4620308622850111E-11</v>
      </c>
      <c r="Z87" s="94">
        <f t="shared" si="37"/>
        <v>4.2212086929018021E-4</v>
      </c>
      <c r="AB87" s="94">
        <f t="shared" si="38"/>
        <v>4.2212086929018021E-4</v>
      </c>
      <c r="AD87" s="110">
        <f t="shared" si="39"/>
        <v>0.99915575803125223</v>
      </c>
      <c r="AE87" s="111"/>
      <c r="AF87" s="112">
        <f t="shared" si="32"/>
        <v>0.99999999999999911</v>
      </c>
      <c r="AG87" s="108"/>
      <c r="AH87" s="131">
        <f>('[2]Cost Summary'!$D$41/1000000)*(1-(F87+H87))</f>
        <v>0.47670598795501928</v>
      </c>
      <c r="AJ87" s="54">
        <f t="shared" ca="1" si="24"/>
        <v>3.9765073939213069</v>
      </c>
      <c r="AL87" s="138">
        <f t="shared" si="25"/>
        <v>0</v>
      </c>
      <c r="AO87" s="135">
        <f t="shared" ca="1" si="26"/>
        <v>15.863252457233552</v>
      </c>
      <c r="AP87" s="108"/>
      <c r="AQ87" s="31">
        <f t="shared" ca="1" si="27"/>
        <v>1.6934467288554357E-10</v>
      </c>
      <c r="AR87" s="31"/>
      <c r="AS87" s="31">
        <f t="shared" si="33"/>
        <v>4.8270159103753975E-11</v>
      </c>
      <c r="AT87" s="31"/>
      <c r="AU87" s="31">
        <f t="shared" ca="1" si="28"/>
        <v>9.2660562949918888E-12</v>
      </c>
      <c r="AV87" s="31"/>
      <c r="AW87" s="31">
        <f t="shared" ca="1" si="29"/>
        <v>2.8721412282526422E-5</v>
      </c>
      <c r="AX87" s="31"/>
      <c r="AY87" s="31">
        <f t="shared" ca="1" si="30"/>
        <v>4.8846122656964324E-5</v>
      </c>
      <c r="AZ87" s="31"/>
      <c r="BA87" s="134">
        <f t="shared" ca="1" si="31"/>
        <v>8.7041553192433473E-6</v>
      </c>
    </row>
    <row r="88" spans="1:53">
      <c r="A88" s="78"/>
      <c r="B88">
        <v>90</v>
      </c>
      <c r="D88" s="78">
        <v>75</v>
      </c>
      <c r="E88" s="108"/>
      <c r="F88">
        <f>VLOOKUP(B88,[2]Parameters!E79:F169,2)</f>
        <v>0.47620000000000001</v>
      </c>
      <c r="H88">
        <f>VLOOKUP(B88,[2]Parameters!H79:I169,2)</f>
        <v>0.01</v>
      </c>
      <c r="J88">
        <f>VLOOKUP(B88,[2]Parameters!K79:L169,2)</f>
        <v>7.4999999999999997E-2</v>
      </c>
      <c r="L88">
        <f>VLOOKUP(B88,[2]Parameters!N79:O169,2)</f>
        <v>0.26</v>
      </c>
      <c r="N88">
        <f>VLOOKUP(B88,[2]Parameters!T79:U169,2)</f>
        <v>0.375</v>
      </c>
      <c r="P88">
        <f>VLOOKUP(B88,[2]Parameters!T79:U169,2)</f>
        <v>0.375</v>
      </c>
      <c r="R88" s="78">
        <f>VLOOKUP(B88,[2]Parameters!W79:X169,2)</f>
        <v>0.1</v>
      </c>
      <c r="S88" s="108"/>
      <c r="T88" s="102">
        <f t="shared" si="34"/>
        <v>7.6219191320549652E-11</v>
      </c>
      <c r="V88" s="94">
        <f t="shared" si="35"/>
        <v>2.7218212056084354E-11</v>
      </c>
      <c r="X88" s="34">
        <f t="shared" si="36"/>
        <v>1.5687801708720042E-11</v>
      </c>
      <c r="Z88" s="94">
        <f t="shared" si="37"/>
        <v>3.7990880498779922E-4</v>
      </c>
      <c r="AB88" s="94">
        <f t="shared" si="38"/>
        <v>3.7990880498779922E-4</v>
      </c>
      <c r="AD88" s="110">
        <f t="shared" si="39"/>
        <v>0.99924018228658618</v>
      </c>
      <c r="AE88" s="111"/>
      <c r="AF88" s="112">
        <f t="shared" si="32"/>
        <v>0.99999999999999922</v>
      </c>
      <c r="AG88" s="108"/>
      <c r="AH88" s="131">
        <f>('[2]Cost Summary'!$D$41/1000000)*(1-(F88+H88))</f>
        <v>0.47670598795501928</v>
      </c>
      <c r="AJ88" s="54">
        <f t="shared" ca="1" si="24"/>
        <v>3.9765073939213069</v>
      </c>
      <c r="AL88" s="138">
        <f t="shared" si="25"/>
        <v>0</v>
      </c>
      <c r="AO88" s="135">
        <f t="shared" ca="1" si="26"/>
        <v>15.401215977896651</v>
      </c>
      <c r="AP88" s="108"/>
      <c r="AQ88" s="31">
        <f t="shared" ca="1" si="27"/>
        <v>7.6001889191031954E-11</v>
      </c>
      <c r="AR88" s="31"/>
      <c r="AS88" s="31">
        <f t="shared" si="33"/>
        <v>2.1774569644867486E-11</v>
      </c>
      <c r="AT88" s="31"/>
      <c r="AU88" s="31">
        <f t="shared" ca="1" si="28"/>
        <v>4.1988087212407634E-12</v>
      </c>
      <c r="AV88" s="31"/>
      <c r="AW88" s="31">
        <f t="shared" ca="1" si="29"/>
        <v>2.5849272593806691E-5</v>
      </c>
      <c r="AX88" s="31"/>
      <c r="AY88" s="31">
        <f t="shared" ca="1" si="30"/>
        <v>4.3961513009530975E-5</v>
      </c>
      <c r="AZ88" s="31"/>
      <c r="BA88" s="134">
        <f t="shared" ca="1" si="31"/>
        <v>7.6055619259088972E-6</v>
      </c>
    </row>
    <row r="89" spans="1:53">
      <c r="A89" s="78"/>
      <c r="B89">
        <v>91</v>
      </c>
      <c r="D89" s="78">
        <v>76</v>
      </c>
      <c r="E89" s="108"/>
      <c r="F89">
        <f>VLOOKUP(B89,[2]Parameters!E80:F170,2)</f>
        <v>0.47620000000000001</v>
      </c>
      <c r="H89">
        <f>VLOOKUP(B89,[2]Parameters!H80:I170,2)</f>
        <v>0.01</v>
      </c>
      <c r="J89">
        <f>VLOOKUP(B89,[2]Parameters!K80:L170,2)</f>
        <v>7.4999999999999997E-2</v>
      </c>
      <c r="L89">
        <f>VLOOKUP(B89,[2]Parameters!N80:O170,2)</f>
        <v>0.26</v>
      </c>
      <c r="N89">
        <f>VLOOKUP(B89,[2]Parameters!T80:U170,2)</f>
        <v>0.375</v>
      </c>
      <c r="P89">
        <f>VLOOKUP(B89,[2]Parameters!T80:U170,2)</f>
        <v>0.375</v>
      </c>
      <c r="R89" s="78">
        <f>VLOOKUP(B89,[2]Parameters!W80:X170,2)</f>
        <v>0.1</v>
      </c>
      <c r="S89" s="108"/>
      <c r="T89" s="102">
        <f t="shared" si="34"/>
        <v>3.4207173064662686E-11</v>
      </c>
      <c r="V89" s="94">
        <f t="shared" si="35"/>
        <v>1.224881024250147E-11</v>
      </c>
      <c r="X89" s="34">
        <f t="shared" si="36"/>
        <v>7.0767351345819322E-12</v>
      </c>
      <c r="Z89" s="94">
        <f t="shared" si="37"/>
        <v>3.4191793469584884E-4</v>
      </c>
      <c r="AB89" s="94">
        <f t="shared" si="38"/>
        <v>3.4191793469584884E-4</v>
      </c>
      <c r="AD89" s="110">
        <f t="shared" si="39"/>
        <v>0.99931616408415169</v>
      </c>
      <c r="AE89" s="111"/>
      <c r="AF89" s="112">
        <f t="shared" si="32"/>
        <v>0.99999999999999933</v>
      </c>
      <c r="AG89" s="108"/>
      <c r="AH89" s="131">
        <f>('[2]Cost Summary'!$D$41/1000000)*(1-(F89+H89))</f>
        <v>0.47670598795501928</v>
      </c>
      <c r="AJ89" s="54">
        <f t="shared" ca="1" si="24"/>
        <v>3.9765073939213069</v>
      </c>
      <c r="AL89" s="138">
        <f t="shared" si="25"/>
        <v>0</v>
      </c>
      <c r="AO89" s="135">
        <f t="shared" ca="1" si="26"/>
        <v>14.952636871744323</v>
      </c>
      <c r="AP89" s="108"/>
      <c r="AQ89" s="31">
        <f t="shared" ca="1" si="27"/>
        <v>3.4109647868935147E-11</v>
      </c>
      <c r="AR89" s="31"/>
      <c r="AS89" s="31">
        <f t="shared" si="33"/>
        <v>9.7990481940011773E-12</v>
      </c>
      <c r="AT89" s="31"/>
      <c r="AU89" s="31">
        <f t="shared" ca="1" si="28"/>
        <v>1.894073991544471E-12</v>
      </c>
      <c r="AV89" s="31"/>
      <c r="AW89" s="31">
        <f t="shared" ca="1" si="29"/>
        <v>2.3264346028906157E-5</v>
      </c>
      <c r="AX89" s="31"/>
      <c r="AY89" s="31">
        <f t="shared" ca="1" si="30"/>
        <v>3.9565362889670982E-5</v>
      </c>
      <c r="AZ89" s="31"/>
      <c r="BA89" s="134">
        <f t="shared" ca="1" si="31"/>
        <v>6.6456319698056416E-6</v>
      </c>
    </row>
    <row r="90" spans="1:53">
      <c r="A90" s="78"/>
      <c r="B90">
        <v>92</v>
      </c>
      <c r="D90" s="78">
        <v>77</v>
      </c>
      <c r="E90" s="108"/>
      <c r="F90">
        <f>VLOOKUP(B90,[2]Parameters!E81:F171,2)</f>
        <v>0.47620000000000001</v>
      </c>
      <c r="H90">
        <f>VLOOKUP(B90,[2]Parameters!H81:I171,2)</f>
        <v>0.01</v>
      </c>
      <c r="J90">
        <f>VLOOKUP(B90,[2]Parameters!K81:L171,2)</f>
        <v>7.4999999999999997E-2</v>
      </c>
      <c r="L90">
        <f>VLOOKUP(B90,[2]Parameters!N81:O171,2)</f>
        <v>0.26</v>
      </c>
      <c r="N90">
        <f>VLOOKUP(B90,[2]Parameters!T81:U171,2)</f>
        <v>0.375</v>
      </c>
      <c r="P90">
        <f>VLOOKUP(B90,[2]Parameters!T81:U171,2)</f>
        <v>0.375</v>
      </c>
      <c r="R90" s="78">
        <f>VLOOKUP(B90,[2]Parameters!W81:X171,2)</f>
        <v>0.1</v>
      </c>
      <c r="S90" s="108"/>
      <c r="T90" s="102">
        <f t="shared" si="34"/>
        <v>1.5352179271420611E-11</v>
      </c>
      <c r="V90" s="94">
        <f t="shared" si="35"/>
        <v>5.5052524380500537E-12</v>
      </c>
      <c r="X90" s="34">
        <f t="shared" si="36"/>
        <v>3.1846906630503823E-12</v>
      </c>
      <c r="Z90" s="94">
        <f t="shared" si="37"/>
        <v>3.0772614581956777E-4</v>
      </c>
      <c r="AB90" s="94">
        <f t="shared" si="38"/>
        <v>3.0772614581956777E-4</v>
      </c>
      <c r="AD90" s="110">
        <f t="shared" si="39"/>
        <v>0.99938454768750284</v>
      </c>
      <c r="AE90" s="111"/>
      <c r="AF90" s="112">
        <f t="shared" si="32"/>
        <v>0.99999999999999944</v>
      </c>
      <c r="AG90" s="108"/>
      <c r="AH90" s="131">
        <f>('[2]Cost Summary'!$D$41/1000000)*(1-(F90+H90))</f>
        <v>0.47670598795501928</v>
      </c>
      <c r="AJ90" s="54">
        <f t="shared" ca="1" si="24"/>
        <v>3.9765073939213069</v>
      </c>
      <c r="AL90" s="138">
        <f t="shared" si="25"/>
        <v>0</v>
      </c>
      <c r="AO90" s="135">
        <f t="shared" ca="1" si="26"/>
        <v>14.5171231764508</v>
      </c>
      <c r="AP90" s="108"/>
      <c r="AQ90" s="31">
        <f t="shared" ca="1" si="27"/>
        <v>1.530840996357809E-11</v>
      </c>
      <c r="AR90" s="31"/>
      <c r="AS90" s="31">
        <f t="shared" si="33"/>
        <v>4.4042019504400436E-12</v>
      </c>
      <c r="AT90" s="31"/>
      <c r="AU90" s="31">
        <f t="shared" ca="1" si="28"/>
        <v>8.5237608039354677E-13</v>
      </c>
      <c r="AV90" s="31"/>
      <c r="AW90" s="31">
        <f t="shared" ca="1" si="29"/>
        <v>2.093791173854729E-5</v>
      </c>
      <c r="AX90" s="31"/>
      <c r="AY90" s="31">
        <f t="shared" ca="1" si="30"/>
        <v>3.560882713222245E-5</v>
      </c>
      <c r="AZ90" s="31"/>
      <c r="BA90" s="134">
        <f t="shared" ca="1" si="31"/>
        <v>5.8068608515683005E-6</v>
      </c>
    </row>
    <row r="91" spans="1:53">
      <c r="A91" s="78"/>
      <c r="B91">
        <v>93</v>
      </c>
      <c r="D91" s="78">
        <v>78</v>
      </c>
      <c r="E91" s="108"/>
      <c r="F91">
        <f>VLOOKUP(B91,[2]Parameters!E82:F172,2)</f>
        <v>0.47620000000000001</v>
      </c>
      <c r="H91">
        <f>VLOOKUP(B91,[2]Parameters!H82:I172,2)</f>
        <v>0.01</v>
      </c>
      <c r="J91">
        <f>VLOOKUP(B91,[2]Parameters!K82:L172,2)</f>
        <v>7.4999999999999997E-2</v>
      </c>
      <c r="L91">
        <f>VLOOKUP(B91,[2]Parameters!N82:O172,2)</f>
        <v>0.26</v>
      </c>
      <c r="N91">
        <f>VLOOKUP(B91,[2]Parameters!T82:U172,2)</f>
        <v>0.375</v>
      </c>
      <c r="P91">
        <f>VLOOKUP(B91,[2]Parameters!T82:U172,2)</f>
        <v>0.375</v>
      </c>
      <c r="R91" s="78">
        <f>VLOOKUP(B91,[2]Parameters!W82:X172,2)</f>
        <v>0.1</v>
      </c>
      <c r="S91" s="108"/>
      <c r="T91" s="102">
        <f t="shared" si="34"/>
        <v>6.890058057013571E-12</v>
      </c>
      <c r="V91" s="94">
        <f t="shared" si="35"/>
        <v>2.4726740304885587E-12</v>
      </c>
      <c r="X91" s="34">
        <f t="shared" si="36"/>
        <v>1.431365633893014E-12</v>
      </c>
      <c r="Z91" s="94">
        <f t="shared" si="37"/>
        <v>2.7695353330208069E-4</v>
      </c>
      <c r="AB91" s="94">
        <f t="shared" si="38"/>
        <v>2.7695353330208069E-4</v>
      </c>
      <c r="AD91" s="110">
        <f t="shared" si="39"/>
        <v>0.99944609292403253</v>
      </c>
      <c r="AE91" s="111"/>
      <c r="AF91" s="112">
        <f t="shared" si="32"/>
        <v>0.99999999999999944</v>
      </c>
      <c r="AG91" s="108"/>
      <c r="AH91" s="131">
        <f>('[2]Cost Summary'!$D$41/1000000)*(1-(F91+H91))</f>
        <v>0.47670598795501928</v>
      </c>
      <c r="AJ91" s="54">
        <f t="shared" ca="1" si="24"/>
        <v>3.9765073939213069</v>
      </c>
      <c r="AL91" s="138">
        <f t="shared" si="25"/>
        <v>0</v>
      </c>
      <c r="AO91" s="135">
        <f t="shared" ca="1" si="26"/>
        <v>14.094294346068736</v>
      </c>
      <c r="AP91" s="108"/>
      <c r="AQ91" s="31">
        <f t="shared" ca="1" si="27"/>
        <v>6.8704143916538483E-12</v>
      </c>
      <c r="AR91" s="31"/>
      <c r="AS91" s="31">
        <f t="shared" si="33"/>
        <v>1.9781392243908472E-12</v>
      </c>
      <c r="AT91" s="31"/>
      <c r="AU91" s="31">
        <f t="shared" ca="1" si="28"/>
        <v>3.8310214639783688E-13</v>
      </c>
      <c r="AV91" s="31"/>
      <c r="AW91" s="31">
        <f t="shared" ca="1" si="29"/>
        <v>1.8844120705160586E-5</v>
      </c>
      <c r="AX91" s="31"/>
      <c r="AY91" s="31">
        <f t="shared" ca="1" si="30"/>
        <v>3.2047944657892308E-5</v>
      </c>
      <c r="AZ91" s="31"/>
      <c r="BA91" s="134">
        <f t="shared" ca="1" si="31"/>
        <v>5.0739551968138561E-6</v>
      </c>
    </row>
    <row r="92" spans="1:53">
      <c r="A92" s="78"/>
      <c r="B92">
        <v>94</v>
      </c>
      <c r="D92" s="78">
        <v>79</v>
      </c>
      <c r="E92" s="108"/>
      <c r="F92">
        <f>VLOOKUP(B92,[2]Parameters!E83:F173,2)</f>
        <v>0.47620000000000001</v>
      </c>
      <c r="H92">
        <f>VLOOKUP(B92,[2]Parameters!H83:I173,2)</f>
        <v>0.01</v>
      </c>
      <c r="J92">
        <f>VLOOKUP(B92,[2]Parameters!K83:L173,2)</f>
        <v>7.4999999999999997E-2</v>
      </c>
      <c r="L92">
        <f>VLOOKUP(B92,[2]Parameters!N83:O173,2)</f>
        <v>0.26</v>
      </c>
      <c r="N92">
        <f>VLOOKUP(B92,[2]Parameters!T83:U173,2)</f>
        <v>0.375</v>
      </c>
      <c r="P92">
        <f>VLOOKUP(B92,[2]Parameters!T83:U173,2)</f>
        <v>0.375</v>
      </c>
      <c r="R92" s="78">
        <f>VLOOKUP(B92,[2]Parameters!W83:X173,2)</f>
        <v>0.1</v>
      </c>
      <c r="S92" s="108"/>
      <c r="T92" s="102">
        <f t="shared" si="34"/>
        <v>3.0922580559876903E-12</v>
      </c>
      <c r="V92" s="94">
        <f t="shared" si="35"/>
        <v>1.1101961215932718E-12</v>
      </c>
      <c r="X92" s="34">
        <f t="shared" si="36"/>
        <v>6.4289524792702531E-13</v>
      </c>
      <c r="Z92" s="94">
        <f t="shared" si="37"/>
        <v>2.4925818089912536E-4</v>
      </c>
      <c r="AB92" s="94">
        <f t="shared" si="38"/>
        <v>2.4925818089912536E-4</v>
      </c>
      <c r="AD92" s="110">
        <f t="shared" si="39"/>
        <v>0.99950148363399882</v>
      </c>
      <c r="AE92" s="111"/>
      <c r="AF92" s="112">
        <f t="shared" si="32"/>
        <v>0.99999999999999956</v>
      </c>
      <c r="AG92" s="108"/>
      <c r="AH92" s="131">
        <f>('[2]Cost Summary'!$D$41/1000000)*(1-(F92+H92))</f>
        <v>0.47670598795501928</v>
      </c>
      <c r="AJ92" s="54">
        <f t="shared" ca="1" si="24"/>
        <v>3.9765073939213069</v>
      </c>
      <c r="AL92" s="138">
        <f t="shared" si="25"/>
        <v>0</v>
      </c>
      <c r="AO92" s="135">
        <f t="shared" ca="1" si="26"/>
        <v>13.683780918513335</v>
      </c>
      <c r="AP92" s="108"/>
      <c r="AQ92" s="31">
        <f t="shared" ca="1" si="27"/>
        <v>3.0834419789742466E-12</v>
      </c>
      <c r="AR92" s="31"/>
      <c r="AS92" s="31">
        <f t="shared" si="33"/>
        <v>8.8815689727461755E-13</v>
      </c>
      <c r="AT92" s="31"/>
      <c r="AU92" s="31">
        <f t="shared" ca="1" si="28"/>
        <v>1.7206962606748035E-13</v>
      </c>
      <c r="AV92" s="31"/>
      <c r="AW92" s="31">
        <f t="shared" ca="1" si="29"/>
        <v>1.6959708697735481E-5</v>
      </c>
      <c r="AX92" s="31"/>
      <c r="AY92" s="31">
        <f t="shared" ca="1" si="30"/>
        <v>2.8843150299401019E-5</v>
      </c>
      <c r="AZ92" s="31"/>
      <c r="BA92" s="134">
        <f t="shared" ca="1" si="31"/>
        <v>4.433552697947879E-6</v>
      </c>
    </row>
    <row r="93" spans="1:53">
      <c r="A93" s="78"/>
      <c r="B93">
        <v>95</v>
      </c>
      <c r="D93" s="78">
        <v>80</v>
      </c>
      <c r="E93" s="108"/>
      <c r="F93">
        <f>VLOOKUP(B93,[2]Parameters!E84:F174,2)</f>
        <v>0.47620000000000001</v>
      </c>
      <c r="H93">
        <f>VLOOKUP(B93,[2]Parameters!H84:I174,2)</f>
        <v>0.01</v>
      </c>
      <c r="J93">
        <f>VLOOKUP(B93,[2]Parameters!K84:L174,2)</f>
        <v>7.4999999999999997E-2</v>
      </c>
      <c r="L93">
        <f>VLOOKUP(B93,[2]Parameters!N84:O174,2)</f>
        <v>0.26</v>
      </c>
      <c r="N93">
        <f>VLOOKUP(B93,[2]Parameters!T84:U174,2)</f>
        <v>0.375</v>
      </c>
      <c r="P93">
        <f>VLOOKUP(B93,[2]Parameters!T84:U174,2)</f>
        <v>0.375</v>
      </c>
      <c r="R93" s="78">
        <f>VLOOKUP(B93,[2]Parameters!W84:X174,2)</f>
        <v>0.1</v>
      </c>
      <c r="S93" s="108"/>
      <c r="T93" s="102">
        <f t="shared" si="34"/>
        <v>1.3878054155272756E-12</v>
      </c>
      <c r="V93" s="94">
        <f t="shared" si="35"/>
        <v>4.9836642338146208E-13</v>
      </c>
      <c r="X93" s="34">
        <f t="shared" si="36"/>
        <v>2.8865099161425066E-13</v>
      </c>
      <c r="Z93" s="94">
        <f t="shared" si="37"/>
        <v>2.2433236322553637E-4</v>
      </c>
      <c r="AB93" s="94">
        <f t="shared" si="38"/>
        <v>2.2433236322553637E-4</v>
      </c>
      <c r="AD93" s="110">
        <f t="shared" si="39"/>
        <v>0.99955133527166218</v>
      </c>
      <c r="AE93" s="111"/>
      <c r="AF93" s="112">
        <f t="shared" si="32"/>
        <v>0.99999999999999944</v>
      </c>
      <c r="AG93" s="108"/>
      <c r="AH93" s="131">
        <f>('[2]Cost Summary'!$D$41/1000000)*(1-(F93+H93))</f>
        <v>0.47670598795501928</v>
      </c>
      <c r="AJ93" s="54">
        <f t="shared" ca="1" si="24"/>
        <v>3.9765073939213069</v>
      </c>
      <c r="AL93" s="138">
        <f t="shared" si="25"/>
        <v>0</v>
      </c>
      <c r="AO93" s="135">
        <f t="shared" ca="1" si="26"/>
        <v>13.285224192731397</v>
      </c>
      <c r="AP93" s="108"/>
      <c r="AQ93" s="31">
        <f t="shared" ca="1" si="27"/>
        <v>1.383848760163642E-12</v>
      </c>
      <c r="AR93" s="31"/>
      <c r="AS93" s="31">
        <f t="shared" si="33"/>
        <v>3.9869313870516967E-13</v>
      </c>
      <c r="AT93" s="31"/>
      <c r="AU93" s="31">
        <f t="shared" ca="1" si="28"/>
        <v>7.7256860042476639E-14</v>
      </c>
      <c r="AV93" s="31"/>
      <c r="AW93" s="31">
        <f t="shared" ca="1" si="29"/>
        <v>1.5263737856288892E-5</v>
      </c>
      <c r="AX93" s="31"/>
      <c r="AY93" s="31">
        <f t="shared" ca="1" si="30"/>
        <v>2.5958835317636195E-5</v>
      </c>
      <c r="AZ93" s="31"/>
      <c r="BA93" s="134">
        <f t="shared" ca="1" si="31"/>
        <v>3.8739779170845313E-6</v>
      </c>
    </row>
    <row r="94" spans="1:53">
      <c r="A94" s="78"/>
      <c r="B94">
        <v>96</v>
      </c>
      <c r="D94" s="78">
        <v>81</v>
      </c>
      <c r="E94" s="108"/>
      <c r="F94">
        <f>VLOOKUP(B94,[2]Parameters!E85:F175,2)</f>
        <v>0.47620000000000001</v>
      </c>
      <c r="H94">
        <f>VLOOKUP(B94,[2]Parameters!H85:I175,2)</f>
        <v>0.01</v>
      </c>
      <c r="J94">
        <f>VLOOKUP(B94,[2]Parameters!K85:L175,2)</f>
        <v>7.4999999999999997E-2</v>
      </c>
      <c r="L94">
        <f>VLOOKUP(B94,[2]Parameters!N85:O175,2)</f>
        <v>0.26</v>
      </c>
      <c r="N94">
        <f>VLOOKUP(B94,[2]Parameters!T85:U175,2)</f>
        <v>0.375</v>
      </c>
      <c r="P94">
        <f>VLOOKUP(B94,[2]Parameters!T85:U175,2)</f>
        <v>0.375</v>
      </c>
      <c r="R94" s="78">
        <f>VLOOKUP(B94,[2]Parameters!W85:X175,2)</f>
        <v>0.1</v>
      </c>
      <c r="S94" s="108"/>
      <c r="T94" s="102">
        <f t="shared" si="34"/>
        <v>6.228470704886413E-13</v>
      </c>
      <c r="V94" s="94">
        <f t="shared" si="35"/>
        <v>2.2369334777609649E-13</v>
      </c>
      <c r="X94" s="34">
        <f t="shared" si="36"/>
        <v>1.2957527007918015E-13</v>
      </c>
      <c r="Z94" s="94">
        <f t="shared" si="37"/>
        <v>2.0189912708987013E-4</v>
      </c>
      <c r="AB94" s="94">
        <f t="shared" si="38"/>
        <v>2.0189912708987013E-4</v>
      </c>
      <c r="AD94" s="110">
        <f t="shared" si="39"/>
        <v>0.99959620174497321</v>
      </c>
      <c r="AE94" s="111"/>
      <c r="AF94" s="112">
        <f t="shared" si="32"/>
        <v>0.99999999999999944</v>
      </c>
      <c r="AG94" s="108"/>
      <c r="AH94" s="131">
        <f>('[2]Cost Summary'!$D$41/1000000)*(1-(F94+H94))</f>
        <v>0.47670598795501928</v>
      </c>
      <c r="AJ94" s="54">
        <f t="shared" ca="1" si="24"/>
        <v>3.9765073939213069</v>
      </c>
      <c r="AL94" s="138">
        <f t="shared" si="25"/>
        <v>0</v>
      </c>
      <c r="AO94" s="135">
        <f t="shared" ca="1" si="26"/>
        <v>12.898275915273199</v>
      </c>
      <c r="AP94" s="108"/>
      <c r="AQ94" s="31">
        <f t="shared" ca="1" si="27"/>
        <v>6.210713235614426E-13</v>
      </c>
      <c r="AR94" s="31"/>
      <c r="AS94" s="31">
        <f t="shared" si="33"/>
        <v>1.789546782208772E-13</v>
      </c>
      <c r="AT94" s="31"/>
      <c r="AU94" s="31">
        <f t="shared" ca="1" si="28"/>
        <v>3.468056163427748E-14</v>
      </c>
      <c r="AV94" s="31"/>
      <c r="AW94" s="31">
        <f t="shared" ca="1" si="29"/>
        <v>1.3737364083375958E-5</v>
      </c>
      <c r="AX94" s="31"/>
      <c r="AY94" s="31">
        <f t="shared" ca="1" si="30"/>
        <v>2.3362951807498432E-5</v>
      </c>
      <c r="AZ94" s="31"/>
      <c r="BA94" s="134">
        <f t="shared" ca="1" si="31"/>
        <v>3.3850291745107587E-6</v>
      </c>
    </row>
    <row r="95" spans="1:53">
      <c r="A95" s="78"/>
      <c r="B95">
        <v>97</v>
      </c>
      <c r="D95" s="78">
        <v>82</v>
      </c>
      <c r="E95" s="108"/>
      <c r="F95">
        <f>VLOOKUP(B95,[2]Parameters!E86:F176,2)</f>
        <v>0.47620000000000001</v>
      </c>
      <c r="H95">
        <f>VLOOKUP(B95,[2]Parameters!H86:I176,2)</f>
        <v>0.01</v>
      </c>
      <c r="J95">
        <f>VLOOKUP(B95,[2]Parameters!K86:L176,2)</f>
        <v>7.4999999999999997E-2</v>
      </c>
      <c r="L95">
        <f>VLOOKUP(B95,[2]Parameters!N86:O176,2)</f>
        <v>0.26</v>
      </c>
      <c r="N95">
        <f>VLOOKUP(B95,[2]Parameters!T86:U176,2)</f>
        <v>0.375</v>
      </c>
      <c r="P95">
        <f>VLOOKUP(B95,[2]Parameters!T86:U176,2)</f>
        <v>0.375</v>
      </c>
      <c r="R95" s="78">
        <f>VLOOKUP(B95,[2]Parameters!W86:X176,2)</f>
        <v>0.1</v>
      </c>
      <c r="S95" s="108"/>
      <c r="T95" s="102">
        <f t="shared" si="34"/>
        <v>2.7953376523530223E-13</v>
      </c>
      <c r="V95" s="94">
        <f t="shared" si="35"/>
        <v>1.0039993375291124E-13</v>
      </c>
      <c r="X95" s="34">
        <f t="shared" si="36"/>
        <v>5.8160270421785085E-14</v>
      </c>
      <c r="Z95" s="94">
        <f t="shared" si="37"/>
        <v>1.8170921446476811E-4</v>
      </c>
      <c r="AB95" s="94">
        <f t="shared" si="38"/>
        <v>1.8170921446476811E-4</v>
      </c>
      <c r="AD95" s="110">
        <f t="shared" si="39"/>
        <v>0.99963658157069013</v>
      </c>
      <c r="AE95" s="111"/>
      <c r="AF95" s="112">
        <f t="shared" si="32"/>
        <v>0.99999999999999956</v>
      </c>
      <c r="AG95" s="108"/>
      <c r="AH95" s="131">
        <f>('[2]Cost Summary'!$D$41/1000000)*(1-(F95+H95))</f>
        <v>0.47670598795501928</v>
      </c>
      <c r="AJ95" s="54">
        <f t="shared" ca="1" si="24"/>
        <v>3.9765073939213069</v>
      </c>
      <c r="AL95" s="138">
        <f t="shared" si="25"/>
        <v>0</v>
      </c>
      <c r="AO95" s="135">
        <f t="shared" ca="1" si="26"/>
        <v>12.522597975993397</v>
      </c>
      <c r="AP95" s="108"/>
      <c r="AQ95" s="31">
        <f t="shared" ca="1" si="27"/>
        <v>2.7873681001437543E-13</v>
      </c>
      <c r="AR95" s="31"/>
      <c r="AS95" s="31">
        <f t="shared" si="33"/>
        <v>8.0319947002328991E-14</v>
      </c>
      <c r="AT95" s="31"/>
      <c r="AU95" s="31">
        <f t="shared" ca="1" si="28"/>
        <v>1.5566479944795075E-14</v>
      </c>
      <c r="AV95" s="31"/>
      <c r="AW95" s="31">
        <f t="shared" ca="1" si="29"/>
        <v>1.2363627680745958E-5</v>
      </c>
      <c r="AX95" s="31"/>
      <c r="AY95" s="31">
        <f t="shared" ca="1" si="30"/>
        <v>2.102665663645542E-5</v>
      </c>
      <c r="AZ95" s="31"/>
      <c r="BA95" s="134">
        <f t="shared" ca="1" si="31"/>
        <v>2.9577924505863994E-6</v>
      </c>
    </row>
    <row r="96" spans="1:53">
      <c r="A96" s="78"/>
      <c r="B96">
        <v>98</v>
      </c>
      <c r="D96" s="78">
        <v>83</v>
      </c>
      <c r="E96" s="108"/>
      <c r="F96">
        <f>VLOOKUP(B96,[2]Parameters!E87:F177,2)</f>
        <v>0.47620000000000001</v>
      </c>
      <c r="H96">
        <f>VLOOKUP(B96,[2]Parameters!H87:I177,2)</f>
        <v>0.01</v>
      </c>
      <c r="J96">
        <f>VLOOKUP(B96,[2]Parameters!K87:L177,2)</f>
        <v>7.4999999999999997E-2</v>
      </c>
      <c r="L96">
        <f>VLOOKUP(B96,[2]Parameters!N87:O177,2)</f>
        <v>0.26</v>
      </c>
      <c r="N96">
        <f>VLOOKUP(B96,[2]Parameters!T87:U177,2)</f>
        <v>0.375</v>
      </c>
      <c r="P96">
        <f>VLOOKUP(B96,[2]Parameters!T87:U177,2)</f>
        <v>0.375</v>
      </c>
      <c r="R96" s="78">
        <f>VLOOKUP(B96,[2]Parameters!W87:X177,2)</f>
        <v>0.1</v>
      </c>
      <c r="S96" s="108"/>
      <c r="T96" s="102">
        <f t="shared" si="34"/>
        <v>1.2545475383760363E-13</v>
      </c>
      <c r="V96" s="94">
        <f t="shared" si="35"/>
        <v>4.5061016493346358E-14</v>
      </c>
      <c r="X96" s="34">
        <f t="shared" si="36"/>
        <v>2.6103982775756922E-14</v>
      </c>
      <c r="Z96" s="94">
        <f t="shared" si="37"/>
        <v>1.6353829305594127E-4</v>
      </c>
      <c r="AB96" s="94">
        <f t="shared" si="38"/>
        <v>1.6353829305594127E-4</v>
      </c>
      <c r="AD96" s="110">
        <f t="shared" si="39"/>
        <v>0.99967292341371727</v>
      </c>
      <c r="AE96" s="111"/>
      <c r="AF96" s="112">
        <f t="shared" si="32"/>
        <v>0.99999999999999967</v>
      </c>
      <c r="AG96" s="108"/>
      <c r="AH96" s="131">
        <f>('[2]Cost Summary'!$D$41/1000000)*(1-(F96+H96))</f>
        <v>0.47670598795501928</v>
      </c>
      <c r="AJ96" s="54">
        <f t="shared" ca="1" si="24"/>
        <v>3.9765073939213069</v>
      </c>
      <c r="AL96" s="138">
        <f t="shared" si="25"/>
        <v>0</v>
      </c>
      <c r="AO96" s="135">
        <f t="shared" ca="1" si="26"/>
        <v>12.15786211261495</v>
      </c>
      <c r="AP96" s="108"/>
      <c r="AQ96" s="31">
        <f t="shared" ca="1" si="27"/>
        <v>1.2509708033445169E-13</v>
      </c>
      <c r="AR96" s="31"/>
      <c r="AS96" s="31">
        <f t="shared" si="33"/>
        <v>3.6048813194677089E-14</v>
      </c>
      <c r="AT96" s="31"/>
      <c r="AU96" s="31">
        <f t="shared" ca="1" si="28"/>
        <v>6.9866787312235536E-15</v>
      </c>
      <c r="AV96" s="31"/>
      <c r="AW96" s="31">
        <f t="shared" ca="1" si="29"/>
        <v>1.1127264915233093E-5</v>
      </c>
      <c r="AX96" s="31"/>
      <c r="AY96" s="31">
        <f t="shared" ca="1" si="30"/>
        <v>1.8923990977166583E-5</v>
      </c>
      <c r="AZ96" s="31"/>
      <c r="BA96" s="134">
        <f t="shared" ca="1" si="31"/>
        <v>2.5844788263763796E-6</v>
      </c>
    </row>
    <row r="97" spans="1:53">
      <c r="A97" s="78"/>
      <c r="B97">
        <v>99</v>
      </c>
      <c r="D97" s="78">
        <v>84</v>
      </c>
      <c r="E97" s="108"/>
      <c r="F97">
        <f>VLOOKUP(B97,[2]Parameters!E88:F178,2)</f>
        <v>0.47620000000000001</v>
      </c>
      <c r="H97">
        <f>VLOOKUP(B97,[2]Parameters!H88:I178,2)</f>
        <v>0.01</v>
      </c>
      <c r="J97">
        <f>VLOOKUP(B97,[2]Parameters!K88:L178,2)</f>
        <v>7.4999999999999997E-2</v>
      </c>
      <c r="L97">
        <f>VLOOKUP(B97,[2]Parameters!N88:O178,2)</f>
        <v>0.26</v>
      </c>
      <c r="N97">
        <f>VLOOKUP(B97,[2]Parameters!T88:U178,2)</f>
        <v>0.375</v>
      </c>
      <c r="P97">
        <f>VLOOKUP(B97,[2]Parameters!T88:U178,2)</f>
        <v>0.375</v>
      </c>
      <c r="R97" s="78">
        <f>VLOOKUP(B97,[2]Parameters!W88:X178,2)</f>
        <v>0.1</v>
      </c>
      <c r="S97" s="108"/>
      <c r="T97" s="102">
        <f t="shared" si="34"/>
        <v>5.6304093522316511E-14</v>
      </c>
      <c r="V97" s="94">
        <f t="shared" si="35"/>
        <v>2.0223750496223399E-14</v>
      </c>
      <c r="X97" s="34">
        <f t="shared" si="36"/>
        <v>1.1715864288270054E-14</v>
      </c>
      <c r="Z97" s="94">
        <f t="shared" si="37"/>
        <v>1.4718446376724503E-4</v>
      </c>
      <c r="AB97" s="94">
        <f t="shared" si="38"/>
        <v>1.4718446376724503E-4</v>
      </c>
      <c r="AD97" s="110">
        <f t="shared" si="39"/>
        <v>0.99970563107238875</v>
      </c>
      <c r="AE97" s="111"/>
      <c r="AF97" s="112">
        <f t="shared" si="32"/>
        <v>0.99999999999999978</v>
      </c>
      <c r="AG97" s="108"/>
      <c r="AH97" s="131">
        <f>('[2]Cost Summary'!$D$41/1000000)*(1-(F97+H97))</f>
        <v>0.47670598795501928</v>
      </c>
      <c r="AJ97" s="54">
        <f t="shared" ca="1" si="24"/>
        <v>3.9765073939213069</v>
      </c>
      <c r="AL97" s="138">
        <f t="shared" si="25"/>
        <v>0</v>
      </c>
      <c r="AO97" s="135">
        <f t="shared" ca="1" si="26"/>
        <v>11.803749623898009</v>
      </c>
      <c r="AP97" s="108"/>
      <c r="AQ97" s="31">
        <f t="shared" ca="1" si="27"/>
        <v>5.6143569654101919E-14</v>
      </c>
      <c r="AR97" s="31"/>
      <c r="AS97" s="31">
        <f t="shared" si="33"/>
        <v>1.617900039697872E-14</v>
      </c>
      <c r="AT97" s="31"/>
      <c r="AU97" s="31">
        <f t="shared" ca="1" si="28"/>
        <v>3.1357276222530169E-15</v>
      </c>
      <c r="AV97" s="31"/>
      <c r="AW97" s="31">
        <f t="shared" ca="1" si="29"/>
        <v>1.0014538424859528E-5</v>
      </c>
      <c r="AX97" s="31"/>
      <c r="AY97" s="31">
        <f t="shared" ca="1" si="30"/>
        <v>1.703159188140528E-5</v>
      </c>
      <c r="AZ97" s="31"/>
      <c r="BA97" s="134">
        <f t="shared" ca="1" si="31"/>
        <v>2.2582824635743312E-6</v>
      </c>
    </row>
    <row r="98" spans="1:53">
      <c r="A98" s="78"/>
      <c r="B98">
        <v>100</v>
      </c>
      <c r="D98" s="78">
        <v>85</v>
      </c>
      <c r="E98" s="108"/>
      <c r="F98">
        <f>VLOOKUP(B98,[2]Parameters!E89:F179,2)</f>
        <v>0.47620000000000001</v>
      </c>
      <c r="H98">
        <f>VLOOKUP(B98,[2]Parameters!H89:I179,2)</f>
        <v>0.01</v>
      </c>
      <c r="J98">
        <f>VLOOKUP(B98,[2]Parameters!K89:L179,2)</f>
        <v>7.4999999999999997E-2</v>
      </c>
      <c r="L98">
        <f>VLOOKUP(B98,[2]Parameters!N89:O179,2)</f>
        <v>0.26</v>
      </c>
      <c r="N98">
        <f>VLOOKUP(B98,[2]Parameters!T89:U179,2)</f>
        <v>0.375</v>
      </c>
      <c r="P98">
        <f>VLOOKUP(B98,[2]Parameters!T89:U179,2)</f>
        <v>0.375</v>
      </c>
      <c r="R98" s="78">
        <f>VLOOKUP(B98,[2]Parameters!W89:X179,2)</f>
        <v>0.1</v>
      </c>
      <c r="S98" s="108"/>
      <c r="T98" s="102">
        <f t="shared" si="34"/>
        <v>2.5269277172815654E-14</v>
      </c>
      <c r="V98" s="94">
        <f t="shared" si="35"/>
        <v>9.0765071332673548E-15</v>
      </c>
      <c r="X98" s="34">
        <f t="shared" si="36"/>
        <v>5.2581751290180842E-15</v>
      </c>
      <c r="Z98" s="94">
        <f t="shared" si="37"/>
        <v>1.3246601739810444E-4</v>
      </c>
      <c r="AB98" s="94">
        <f t="shared" si="38"/>
        <v>1.3246601739810444E-4</v>
      </c>
      <c r="AD98" s="110">
        <f t="shared" si="39"/>
        <v>0.9997350679651692</v>
      </c>
      <c r="AE98" s="111"/>
      <c r="AF98" s="112">
        <f t="shared" si="32"/>
        <v>0.99999999999999978</v>
      </c>
      <c r="AG98" s="108"/>
      <c r="AH98" s="131">
        <f>('[2]Cost Summary'!$D$41/1000000)*(1-(F98+H98))</f>
        <v>0.47670598795501928</v>
      </c>
      <c r="AJ98" s="54">
        <f t="shared" ca="1" si="24"/>
        <v>3.9765073939213069</v>
      </c>
      <c r="AL98" s="138">
        <f t="shared" si="25"/>
        <v>0</v>
      </c>
      <c r="AO98" s="135">
        <f t="shared" ca="1" si="26"/>
        <v>11.459951091163118</v>
      </c>
      <c r="AP98" s="108"/>
      <c r="AQ98" s="31">
        <f t="shared" ca="1" si="27"/>
        <v>2.5197234060760947E-14</v>
      </c>
      <c r="AR98" s="31"/>
      <c r="AS98" s="31">
        <f t="shared" si="33"/>
        <v>7.2612057066138835E-15</v>
      </c>
      <c r="AT98" s="31"/>
      <c r="AU98" s="31">
        <f t="shared" ca="1" si="28"/>
        <v>1.4073400467103269E-15</v>
      </c>
      <c r="AV98" s="31"/>
      <c r="AW98" s="31">
        <f t="shared" ca="1" si="29"/>
        <v>9.0130845828895916E-6</v>
      </c>
      <c r="AX98" s="31"/>
      <c r="AY98" s="31">
        <f t="shared" ca="1" si="30"/>
        <v>1.5328432694142333E-5</v>
      </c>
      <c r="AZ98" s="31"/>
      <c r="BA98" s="134">
        <f t="shared" ca="1" si="31"/>
        <v>1.973256518922766E-6</v>
      </c>
    </row>
    <row r="99" spans="1:53">
      <c r="A99" s="78"/>
      <c r="B99">
        <v>101</v>
      </c>
      <c r="D99" s="78">
        <v>86</v>
      </c>
      <c r="E99" s="108"/>
      <c r="F99">
        <f>VLOOKUP(B99,[2]Parameters!E90:F180,2)</f>
        <v>0.47620000000000001</v>
      </c>
      <c r="H99">
        <f>VLOOKUP(B99,[2]Parameters!H90:I180,2)</f>
        <v>0.01</v>
      </c>
      <c r="J99">
        <f>VLOOKUP(B99,[2]Parameters!K90:L180,2)</f>
        <v>7.4999999999999997E-2</v>
      </c>
      <c r="L99">
        <f>VLOOKUP(B99,[2]Parameters!N90:O180,2)</f>
        <v>0.26</v>
      </c>
      <c r="N99">
        <f>VLOOKUP(B99,[2]Parameters!T90:U180,2)</f>
        <v>0.375</v>
      </c>
      <c r="P99">
        <f>VLOOKUP(B99,[2]Parameters!T90:U180,2)</f>
        <v>0.375</v>
      </c>
      <c r="R99" s="78">
        <f>VLOOKUP(B99,[2]Parameters!W90:X180,2)</f>
        <v>0.1</v>
      </c>
      <c r="S99" s="108"/>
      <c r="T99" s="102">
        <f t="shared" si="34"/>
        <v>1.1340851595159666E-14</v>
      </c>
      <c r="V99" s="94">
        <f t="shared" si="35"/>
        <v>4.0735574999453378E-15</v>
      </c>
      <c r="X99" s="34">
        <f t="shared" si="36"/>
        <v>2.3598918546495125E-15</v>
      </c>
      <c r="Z99" s="94">
        <f t="shared" si="37"/>
        <v>1.1921941566169769E-4</v>
      </c>
      <c r="AB99" s="94">
        <f t="shared" si="38"/>
        <v>1.1921941566169769E-4</v>
      </c>
      <c r="AD99" s="110">
        <f t="shared" si="39"/>
        <v>0.99976156116866099</v>
      </c>
      <c r="AE99" s="111"/>
      <c r="AF99" s="112">
        <f t="shared" si="32"/>
        <v>0.99999999999999978</v>
      </c>
      <c r="AG99" s="108"/>
      <c r="AH99" s="131">
        <f>('[2]Cost Summary'!$D$41/1000000)*(1-(F99+H99))</f>
        <v>0.47670598795501928</v>
      </c>
      <c r="AJ99" s="54">
        <f t="shared" ca="1" si="24"/>
        <v>3.9765073939213069</v>
      </c>
      <c r="AL99" s="138">
        <f t="shared" si="25"/>
        <v>0</v>
      </c>
      <c r="AO99" s="135">
        <f t="shared" ca="1" si="26"/>
        <v>11.126166107925357</v>
      </c>
      <c r="AP99" s="108"/>
      <c r="AQ99" s="31">
        <f t="shared" ca="1" si="27"/>
        <v>1.1308518646469513E-14</v>
      </c>
      <c r="AR99" s="31"/>
      <c r="AS99" s="31">
        <f t="shared" si="33"/>
        <v>3.2588459999562703E-15</v>
      </c>
      <c r="AT99" s="31"/>
      <c r="AU99" s="31">
        <f t="shared" ca="1" si="28"/>
        <v>6.3162033052595618E-16</v>
      </c>
      <c r="AV99" s="31"/>
      <c r="AW99" s="31">
        <f t="shared" ca="1" si="29"/>
        <v>8.1117761248322211E-6</v>
      </c>
      <c r="AX99" s="31"/>
      <c r="AY99" s="31">
        <f t="shared" ca="1" si="30"/>
        <v>1.3795589425121959E-5</v>
      </c>
      <c r="AZ99" s="31"/>
      <c r="BA99" s="134">
        <f t="shared" ca="1" si="31"/>
        <v>1.7242047241189261E-6</v>
      </c>
    </row>
    <row r="100" spans="1:53">
      <c r="A100" s="78"/>
      <c r="B100">
        <v>102</v>
      </c>
      <c r="D100" s="78">
        <v>87</v>
      </c>
      <c r="E100" s="108"/>
      <c r="F100">
        <f>VLOOKUP(B100,[2]Parameters!E91:F181,2)</f>
        <v>0.47620000000000001</v>
      </c>
      <c r="H100">
        <f>VLOOKUP(B100,[2]Parameters!H91:I181,2)</f>
        <v>0.01</v>
      </c>
      <c r="J100">
        <f>VLOOKUP(B100,[2]Parameters!K91:L181,2)</f>
        <v>7.4999999999999997E-2</v>
      </c>
      <c r="L100">
        <f>VLOOKUP(B100,[2]Parameters!N91:O181,2)</f>
        <v>0.26</v>
      </c>
      <c r="N100">
        <f>VLOOKUP(B100,[2]Parameters!T91:U181,2)</f>
        <v>0.375</v>
      </c>
      <c r="P100">
        <f>VLOOKUP(B100,[2]Parameters!T91:U181,2)</f>
        <v>0.375</v>
      </c>
      <c r="R100" s="78">
        <f>VLOOKUP(B100,[2]Parameters!W91:X181,2)</f>
        <v>0.1</v>
      </c>
      <c r="S100" s="108"/>
      <c r="T100" s="102">
        <f t="shared" si="34"/>
        <v>5.0897741959076577E-15</v>
      </c>
      <c r="V100" s="94">
        <f t="shared" si="35"/>
        <v>1.8282176696238561E-15</v>
      </c>
      <c r="X100" s="34">
        <f t="shared" si="36"/>
        <v>1.0591249499857879E-15</v>
      </c>
      <c r="Z100" s="94">
        <f t="shared" si="37"/>
        <v>1.072974740970555E-4</v>
      </c>
      <c r="AB100" s="94">
        <f t="shared" si="38"/>
        <v>1.072974740970555E-4</v>
      </c>
      <c r="AD100" s="110">
        <f t="shared" si="39"/>
        <v>0.9997854050517988</v>
      </c>
      <c r="AE100" s="111"/>
      <c r="AF100" s="112">
        <f t="shared" si="32"/>
        <v>0.99999999999999978</v>
      </c>
      <c r="AG100" s="108"/>
      <c r="AH100" s="131">
        <f>('[2]Cost Summary'!$D$41/1000000)*(1-(F100+H100))</f>
        <v>0.47670598795501928</v>
      </c>
      <c r="AJ100" s="54">
        <f t="shared" ca="1" si="24"/>
        <v>3.9765073939213069</v>
      </c>
      <c r="AL100" s="138">
        <f t="shared" si="25"/>
        <v>0</v>
      </c>
      <c r="AO100" s="135">
        <f t="shared" ca="1" si="26"/>
        <v>10.802103017403256</v>
      </c>
      <c r="AP100" s="108"/>
      <c r="AQ100" s="31">
        <f t="shared" ca="1" si="27"/>
        <v>5.0752631685355166E-15</v>
      </c>
      <c r="AR100" s="31"/>
      <c r="AS100" s="31">
        <f t="shared" si="33"/>
        <v>1.462574135699085E-15</v>
      </c>
      <c r="AT100" s="31"/>
      <c r="AU100" s="31">
        <f t="shared" ca="1" si="28"/>
        <v>2.8347267255501581E-16</v>
      </c>
      <c r="AV100" s="31"/>
      <c r="AW100" s="31">
        <f t="shared" ca="1" si="29"/>
        <v>7.300598512452937E-6</v>
      </c>
      <c r="AX100" s="31"/>
      <c r="AY100" s="31">
        <f t="shared" ca="1" si="30"/>
        <v>1.241603048278653E-5</v>
      </c>
      <c r="AZ100" s="31"/>
      <c r="BA100" s="134">
        <f t="shared" ca="1" si="31"/>
        <v>1.5065866516401836E-6</v>
      </c>
    </row>
    <row r="101" spans="1:53">
      <c r="A101" s="78"/>
      <c r="B101">
        <v>103</v>
      </c>
      <c r="D101" s="78">
        <v>88</v>
      </c>
      <c r="E101" s="108"/>
      <c r="F101">
        <f>VLOOKUP(B101,[2]Parameters!E92:F182,2)</f>
        <v>0.47620000000000001</v>
      </c>
      <c r="H101">
        <f>VLOOKUP(B101,[2]Parameters!H92:I182,2)</f>
        <v>0.01</v>
      </c>
      <c r="J101">
        <f>VLOOKUP(B101,[2]Parameters!K92:L182,2)</f>
        <v>7.4999999999999997E-2</v>
      </c>
      <c r="L101">
        <f>VLOOKUP(B101,[2]Parameters!N92:O182,2)</f>
        <v>0.26</v>
      </c>
      <c r="N101">
        <f>VLOOKUP(B101,[2]Parameters!T92:U182,2)</f>
        <v>0.375</v>
      </c>
      <c r="P101">
        <f>VLOOKUP(B101,[2]Parameters!T92:U182,2)</f>
        <v>0.375</v>
      </c>
      <c r="R101" s="78">
        <f>VLOOKUP(B101,[2]Parameters!W92:X182,2)</f>
        <v>0.1</v>
      </c>
      <c r="S101" s="108"/>
      <c r="T101" s="102">
        <f t="shared" si="34"/>
        <v>2.2842906591233568E-15</v>
      </c>
      <c r="V101" s="94">
        <f t="shared" si="35"/>
        <v>8.2050530540279963E-16</v>
      </c>
      <c r="X101" s="34">
        <f t="shared" si="36"/>
        <v>4.753365941022026E-16</v>
      </c>
      <c r="Z101" s="94">
        <f t="shared" si="37"/>
        <v>9.6567726688035537E-5</v>
      </c>
      <c r="AB101" s="94">
        <f t="shared" si="38"/>
        <v>9.6567726688035537E-5</v>
      </c>
      <c r="AD101" s="110">
        <f t="shared" si="39"/>
        <v>0.9998068645466206</v>
      </c>
      <c r="AE101" s="111"/>
      <c r="AF101" s="112">
        <f t="shared" si="32"/>
        <v>0.99999999999999978</v>
      </c>
      <c r="AG101" s="108"/>
      <c r="AH101" s="131">
        <f>('[2]Cost Summary'!$D$41/1000000)*(1-(F101+H101))</f>
        <v>0.47670598795501928</v>
      </c>
      <c r="AJ101" s="54">
        <f t="shared" ca="1" si="24"/>
        <v>3.9765073939213069</v>
      </c>
      <c r="AL101" s="138">
        <f t="shared" si="25"/>
        <v>0</v>
      </c>
      <c r="AO101" s="135">
        <f t="shared" ca="1" si="26"/>
        <v>10.487478657673067</v>
      </c>
      <c r="AP101" s="108"/>
      <c r="AQ101" s="31">
        <f t="shared" ca="1" si="27"/>
        <v>2.2777781100387398E-15</v>
      </c>
      <c r="AR101" s="31"/>
      <c r="AS101" s="31">
        <f t="shared" si="33"/>
        <v>6.564042443222397E-16</v>
      </c>
      <c r="AT101" s="31"/>
      <c r="AU101" s="31">
        <f t="shared" ca="1" si="28"/>
        <v>1.2722288781428314E-16</v>
      </c>
      <c r="AV101" s="31"/>
      <c r="AW101" s="31">
        <f t="shared" ca="1" si="29"/>
        <v>6.5705386612542916E-6</v>
      </c>
      <c r="AX101" s="31"/>
      <c r="AY101" s="31">
        <f t="shared" ca="1" si="30"/>
        <v>1.1174427434587209E-5</v>
      </c>
      <c r="AZ101" s="31"/>
      <c r="BA101" s="134">
        <f t="shared" ca="1" si="31"/>
        <v>1.3164349381073914E-6</v>
      </c>
    </row>
    <row r="102" spans="1:53">
      <c r="A102" s="78"/>
      <c r="B102">
        <v>104</v>
      </c>
      <c r="D102" s="78">
        <v>89</v>
      </c>
      <c r="E102" s="108"/>
      <c r="F102">
        <f>VLOOKUP(B102,[2]Parameters!E93:F183,2)</f>
        <v>0.47620000000000001</v>
      </c>
      <c r="H102">
        <f>VLOOKUP(B102,[2]Parameters!H93:I183,2)</f>
        <v>0.01</v>
      </c>
      <c r="J102">
        <f>VLOOKUP(B102,[2]Parameters!K93:L183,2)</f>
        <v>7.4999999999999997E-2</v>
      </c>
      <c r="L102">
        <f>VLOOKUP(B102,[2]Parameters!N93:O183,2)</f>
        <v>0.26</v>
      </c>
      <c r="N102">
        <f>VLOOKUP(B102,[2]Parameters!T93:U183,2)</f>
        <v>0.375</v>
      </c>
      <c r="P102">
        <f>VLOOKUP(B102,[2]Parameters!T93:U183,2)</f>
        <v>0.375</v>
      </c>
      <c r="R102" s="78">
        <f>VLOOKUP(B102,[2]Parameters!W93:X183,2)</f>
        <v>0.1</v>
      </c>
      <c r="S102" s="108"/>
      <c r="T102" s="102">
        <f t="shared" si="34"/>
        <v>1.0251896478145625E-15</v>
      </c>
      <c r="V102" s="94">
        <f t="shared" si="35"/>
        <v>3.6824307273092368E-16</v>
      </c>
      <c r="X102" s="34">
        <f t="shared" si="36"/>
        <v>2.1333137940472791E-16</v>
      </c>
      <c r="Z102" s="94">
        <f t="shared" si="37"/>
        <v>8.691095401953967E-5</v>
      </c>
      <c r="AB102" s="94">
        <f t="shared" si="38"/>
        <v>8.691095401953967E-5</v>
      </c>
      <c r="AD102" s="110">
        <f t="shared" si="39"/>
        <v>0.99982617809195939</v>
      </c>
      <c r="AE102" s="111"/>
      <c r="AF102" s="112">
        <f t="shared" si="32"/>
        <v>0.99999999999999989</v>
      </c>
      <c r="AG102" s="108"/>
      <c r="AH102" s="131">
        <f>('[2]Cost Summary'!$D$41/1000000)*(1-(F102+H102))</f>
        <v>0.47670598795501928</v>
      </c>
      <c r="AJ102" s="54">
        <f t="shared" ca="1" si="24"/>
        <v>3.9765073939213069</v>
      </c>
      <c r="AL102" s="138">
        <f t="shared" si="25"/>
        <v>0</v>
      </c>
      <c r="AO102" s="135">
        <f t="shared" ca="1" si="26"/>
        <v>10.182018114245697</v>
      </c>
      <c r="AP102" s="108"/>
      <c r="AQ102" s="31">
        <f t="shared" ca="1" si="27"/>
        <v>1.0222668157853865E-15</v>
      </c>
      <c r="AR102" s="31"/>
      <c r="AS102" s="31">
        <f t="shared" si="33"/>
        <v>2.9459445818473896E-16</v>
      </c>
      <c r="AT102" s="31"/>
      <c r="AU102" s="31">
        <f t="shared" ca="1" si="28"/>
        <v>5.7097716620232352E-17</v>
      </c>
      <c r="AV102" s="31"/>
      <c r="AW102" s="31">
        <f t="shared" ca="1" si="29"/>
        <v>5.9134847951497972E-6</v>
      </c>
      <c r="AX102" s="31"/>
      <c r="AY102" s="31">
        <f t="shared" ca="1" si="30"/>
        <v>1.0056984691164092E-5</v>
      </c>
      <c r="AZ102" s="31"/>
      <c r="BA102" s="134">
        <f t="shared" ca="1" si="31"/>
        <v>1.1502829555324006E-6</v>
      </c>
    </row>
    <row r="103" spans="1:53" ht="15" thickBot="1">
      <c r="A103" s="78"/>
      <c r="B103">
        <v>105</v>
      </c>
      <c r="D103" s="78">
        <v>90</v>
      </c>
      <c r="E103" s="108"/>
      <c r="F103">
        <f>VLOOKUP(B103,[2]Parameters!E94:F184,2)</f>
        <v>0.47620000000000001</v>
      </c>
      <c r="H103">
        <f>VLOOKUP(B103,[2]Parameters!H94:I184,2)</f>
        <v>0.01</v>
      </c>
      <c r="J103">
        <f>VLOOKUP(B103,[2]Parameters!K94:L184,2)</f>
        <v>7.4999999999999997E-2</v>
      </c>
      <c r="L103">
        <f>VLOOKUP(B103,[2]Parameters!N94:O184,2)</f>
        <v>0.26</v>
      </c>
      <c r="N103">
        <f>VLOOKUP(B103,[2]Parameters!T94:U184,2)</f>
        <v>0.375</v>
      </c>
      <c r="P103">
        <f>VLOOKUP(B103,[2]Parameters!T94:U184,2)</f>
        <v>0.375</v>
      </c>
      <c r="R103" s="78">
        <f>VLOOKUP(B103,[2]Parameters!W94:X184,2)</f>
        <v>0.1</v>
      </c>
      <c r="S103" s="108"/>
      <c r="T103" s="102">
        <f t="shared" si="34"/>
        <v>4.6010511393917564E-16</v>
      </c>
      <c r="V103" s="94">
        <f t="shared" si="35"/>
        <v>1.6526756104151387E-16</v>
      </c>
      <c r="X103" s="34">
        <f t="shared" si="36"/>
        <v>9.5743198910040163E-17</v>
      </c>
      <c r="Z103" s="94">
        <f t="shared" si="37"/>
        <v>7.8219858617723786E-5</v>
      </c>
      <c r="AB103" s="94">
        <f t="shared" si="38"/>
        <v>7.8219858617723786E-5</v>
      </c>
      <c r="AD103" s="110">
        <f t="shared" si="39"/>
        <v>0.99984356028276367</v>
      </c>
      <c r="AE103" s="111"/>
      <c r="AF103" s="112">
        <f t="shared" si="32"/>
        <v>0.99999999999999978</v>
      </c>
      <c r="AG103" s="115"/>
      <c r="AH103" s="131">
        <f>('[2]Cost Summary'!$D$41/1000000)*(1-(F103+H103))</f>
        <v>0.47670598795501928</v>
      </c>
      <c r="AJ103" s="54">
        <f t="shared" ca="1" si="24"/>
        <v>3.9765073939213069</v>
      </c>
      <c r="AL103" s="138">
        <f t="shared" si="25"/>
        <v>0</v>
      </c>
      <c r="AO103" s="135">
        <f t="shared" ca="1" si="26"/>
        <v>9.8854544798501891</v>
      </c>
      <c r="AP103" s="108"/>
      <c r="AQ103" s="31">
        <f t="shared" ca="1" si="27"/>
        <v>4.5879334692448139E-16</v>
      </c>
      <c r="AR103" s="31"/>
      <c r="AS103" s="31">
        <f t="shared" si="33"/>
        <v>1.3221404883321109E-16</v>
      </c>
      <c r="AT103" s="31"/>
      <c r="AU103" s="31">
        <f t="shared" ca="1" si="28"/>
        <v>2.5625475515763982E-17</v>
      </c>
      <c r="AV103" s="31"/>
      <c r="AW103" s="31">
        <f t="shared" ca="1" si="29"/>
        <v>5.3221363156442126E-6</v>
      </c>
      <c r="AX103" s="31"/>
      <c r="AY103" s="31">
        <f t="shared" ca="1" si="30"/>
        <v>9.0512862220636624E-6</v>
      </c>
      <c r="AZ103" s="31"/>
      <c r="BA103" s="134">
        <f t="shared" ca="1" si="31"/>
        <v>1.0051016115886768E-6</v>
      </c>
    </row>
    <row r="104" spans="1:53">
      <c r="E104" s="105"/>
      <c r="S104" s="105"/>
      <c r="AG104" s="105"/>
    </row>
  </sheetData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theme="4"/>
  </sheetPr>
  <dimension ref="A2:G43"/>
  <sheetViews>
    <sheetView topLeftCell="A8" workbookViewId="0">
      <selection activeCell="B31" sqref="B31"/>
    </sheetView>
  </sheetViews>
  <sheetFormatPr baseColWidth="10" defaultColWidth="8.83203125" defaultRowHeight="14"/>
  <cols>
    <col min="2" max="2" width="30.33203125" customWidth="1"/>
    <col min="3" max="3" width="18.1640625" customWidth="1"/>
    <col min="4" max="4" width="24.5" customWidth="1"/>
    <col min="5" max="5" width="32.33203125" customWidth="1"/>
    <col min="9" max="9" width="21.6640625" customWidth="1"/>
  </cols>
  <sheetData>
    <row r="2" spans="2:7" ht="25">
      <c r="B2" s="504" t="s">
        <v>33</v>
      </c>
      <c r="C2" s="504"/>
      <c r="D2" s="504"/>
      <c r="E2" s="504"/>
    </row>
    <row r="4" spans="2:7">
      <c r="B4" s="19" t="s">
        <v>38</v>
      </c>
      <c r="C4" s="18" t="s">
        <v>41</v>
      </c>
      <c r="D4" s="18" t="s">
        <v>42</v>
      </c>
      <c r="E4" s="26" t="s">
        <v>43</v>
      </c>
    </row>
    <row r="5" spans="2:7">
      <c r="B5" s="10" t="s">
        <v>39</v>
      </c>
      <c r="E5" s="9"/>
    </row>
    <row r="6" spans="2:7">
      <c r="B6" s="11" t="s">
        <v>40</v>
      </c>
      <c r="C6" s="1"/>
      <c r="D6" s="1"/>
      <c r="E6" s="12"/>
    </row>
    <row r="8" spans="2:7">
      <c r="G8" s="4"/>
    </row>
    <row r="12" spans="2:7">
      <c r="B12" s="19"/>
      <c r="C12" s="18" t="s">
        <v>37</v>
      </c>
      <c r="D12" s="18" t="s">
        <v>34</v>
      </c>
      <c r="E12" s="26" t="s">
        <v>35</v>
      </c>
    </row>
    <row r="13" spans="2:7">
      <c r="B13" s="10" t="s">
        <v>292</v>
      </c>
      <c r="E13" s="9"/>
    </row>
    <row r="14" spans="2:7">
      <c r="B14" s="27" t="s">
        <v>290</v>
      </c>
      <c r="C14" s="13"/>
      <c r="D14" s="13"/>
      <c r="E14" s="17"/>
    </row>
    <row r="15" spans="2:7">
      <c r="B15" s="27" t="s">
        <v>291</v>
      </c>
      <c r="C15" s="13"/>
      <c r="D15" s="13"/>
      <c r="E15" s="17"/>
    </row>
    <row r="19" spans="1:2">
      <c r="B19" t="s">
        <v>25</v>
      </c>
    </row>
    <row r="20" spans="1:2">
      <c r="B20" t="s">
        <v>36</v>
      </c>
    </row>
    <row r="22" spans="1:2">
      <c r="B22" t="s">
        <v>280</v>
      </c>
    </row>
    <row r="23" spans="1:2">
      <c r="A23">
        <v>1</v>
      </c>
      <c r="B23" t="s">
        <v>281</v>
      </c>
    </row>
    <row r="24" spans="1:2">
      <c r="B24" t="s">
        <v>282</v>
      </c>
    </row>
    <row r="25" spans="1:2">
      <c r="A25">
        <v>2</v>
      </c>
      <c r="B25" t="s">
        <v>283</v>
      </c>
    </row>
    <row r="26" spans="1:2">
      <c r="A26">
        <v>3</v>
      </c>
      <c r="B26" t="s">
        <v>284</v>
      </c>
    </row>
    <row r="27" spans="1:2">
      <c r="A27">
        <v>4</v>
      </c>
      <c r="B27" t="s">
        <v>285</v>
      </c>
    </row>
    <row r="28" spans="1:2">
      <c r="A28">
        <v>5</v>
      </c>
      <c r="B28" t="s">
        <v>286</v>
      </c>
    </row>
    <row r="31" spans="1:2">
      <c r="B31" t="s">
        <v>287</v>
      </c>
    </row>
    <row r="32" spans="1:2">
      <c r="A32">
        <v>6</v>
      </c>
      <c r="B32" t="s">
        <v>288</v>
      </c>
    </row>
    <row r="33" spans="1:3">
      <c r="A33">
        <v>7</v>
      </c>
      <c r="B33" t="s">
        <v>289</v>
      </c>
    </row>
    <row r="35" spans="1:3">
      <c r="B35" t="s">
        <v>354</v>
      </c>
    </row>
    <row r="36" spans="1:3">
      <c r="A36">
        <v>8</v>
      </c>
      <c r="B36" t="s">
        <v>355</v>
      </c>
    </row>
    <row r="37" spans="1:3">
      <c r="A37">
        <v>9</v>
      </c>
      <c r="B37" t="s">
        <v>356</v>
      </c>
    </row>
    <row r="39" spans="1:3">
      <c r="B39" t="s">
        <v>363</v>
      </c>
      <c r="C39" t="s">
        <v>362</v>
      </c>
    </row>
    <row r="40" spans="1:3">
      <c r="A40">
        <v>10</v>
      </c>
      <c r="B40" t="s">
        <v>361</v>
      </c>
    </row>
    <row r="42" spans="1:3">
      <c r="B42" t="s">
        <v>364</v>
      </c>
    </row>
    <row r="43" spans="1:3">
      <c r="A43">
        <v>11</v>
      </c>
      <c r="B43" t="s">
        <v>365</v>
      </c>
    </row>
  </sheetData>
  <mergeCells count="1">
    <mergeCell ref="B2:E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6AEF1-5B1C-E645-9BC7-2D4828917DE1}">
  <sheetPr codeName="Sheet16">
    <tabColor theme="7"/>
  </sheetPr>
  <dimension ref="A1:H166"/>
  <sheetViews>
    <sheetView showGridLines="0" workbookViewId="0">
      <selection activeCell="K25" sqref="K25"/>
    </sheetView>
  </sheetViews>
  <sheetFormatPr baseColWidth="10" defaultRowHeight="14"/>
  <cols>
    <col min="2" max="2" width="16" customWidth="1"/>
    <col min="3" max="3" width="15.83203125" style="58" customWidth="1"/>
    <col min="4" max="8" width="10.83203125" style="58"/>
  </cols>
  <sheetData>
    <row r="1" spans="1:8" ht="16">
      <c r="A1" s="55" t="s">
        <v>12</v>
      </c>
      <c r="B1" s="55" t="s">
        <v>265</v>
      </c>
      <c r="C1" s="55" t="s">
        <v>267</v>
      </c>
      <c r="D1" s="5">
        <v>2016</v>
      </c>
      <c r="E1" s="5">
        <v>2017</v>
      </c>
      <c r="F1" s="5">
        <v>2018</v>
      </c>
      <c r="G1" s="5">
        <v>2019</v>
      </c>
      <c r="H1" s="5">
        <v>2020</v>
      </c>
    </row>
    <row r="2" spans="1:8">
      <c r="A2" s="3" t="s">
        <v>13</v>
      </c>
      <c r="B2" s="2" t="s">
        <v>100</v>
      </c>
      <c r="C2" s="59">
        <v>13414</v>
      </c>
      <c r="D2" s="60">
        <f>C2*1.029</f>
        <v>13803.005999999999</v>
      </c>
      <c r="E2" s="60">
        <f>D2*1.029</f>
        <v>14203.293173999999</v>
      </c>
      <c r="F2" s="60">
        <f>E2*1.029</f>
        <v>14615.188676045997</v>
      </c>
      <c r="G2" s="60">
        <f>F2*1.029</f>
        <v>15039.029147651328</v>
      </c>
      <c r="H2" s="60">
        <f>G2*1.029</f>
        <v>15475.160992933215</v>
      </c>
    </row>
    <row r="3" spans="1:8">
      <c r="A3" s="3"/>
      <c r="B3" s="2" t="s">
        <v>101</v>
      </c>
      <c r="C3" s="61">
        <v>50951</v>
      </c>
      <c r="D3" s="60">
        <f t="shared" ref="D3:H18" si="0">C3*1.029</f>
        <v>52428.578999999998</v>
      </c>
      <c r="E3" s="60">
        <f t="shared" si="0"/>
        <v>53949.007790999996</v>
      </c>
      <c r="F3" s="60">
        <f t="shared" si="0"/>
        <v>55513.529016938992</v>
      </c>
      <c r="G3" s="60">
        <f t="shared" si="0"/>
        <v>57123.42135843022</v>
      </c>
      <c r="H3" s="60">
        <f t="shared" si="0"/>
        <v>58780.000577824692</v>
      </c>
    </row>
    <row r="4" spans="1:8">
      <c r="A4" s="3"/>
      <c r="B4" s="2" t="s">
        <v>102</v>
      </c>
      <c r="C4" s="61">
        <v>20421</v>
      </c>
      <c r="D4" s="60">
        <f t="shared" si="0"/>
        <v>21013.208999999999</v>
      </c>
      <c r="E4" s="60">
        <f t="shared" si="0"/>
        <v>21622.592060999996</v>
      </c>
      <c r="F4" s="60">
        <f t="shared" si="0"/>
        <v>22249.647230768995</v>
      </c>
      <c r="G4" s="60">
        <f t="shared" si="0"/>
        <v>22894.887000461295</v>
      </c>
      <c r="H4" s="60">
        <f t="shared" si="0"/>
        <v>23558.83872347467</v>
      </c>
    </row>
    <row r="5" spans="1:8">
      <c r="A5" s="3"/>
      <c r="B5" s="2" t="s">
        <v>103</v>
      </c>
      <c r="C5" s="61">
        <v>45149</v>
      </c>
      <c r="D5" s="60">
        <f t="shared" si="0"/>
        <v>46458.320999999996</v>
      </c>
      <c r="E5" s="60">
        <f t="shared" si="0"/>
        <v>47805.612308999989</v>
      </c>
      <c r="F5" s="60">
        <f t="shared" si="0"/>
        <v>49191.975065960985</v>
      </c>
      <c r="G5" s="60">
        <f t="shared" si="0"/>
        <v>50618.54234287385</v>
      </c>
      <c r="H5" s="60">
        <f t="shared" si="0"/>
        <v>52086.48007081719</v>
      </c>
    </row>
    <row r="6" spans="1:8">
      <c r="A6" s="3"/>
      <c r="B6" s="2" t="s">
        <v>104</v>
      </c>
      <c r="C6" s="61">
        <v>50950</v>
      </c>
      <c r="D6" s="60">
        <f t="shared" si="0"/>
        <v>52427.549999999996</v>
      </c>
      <c r="E6" s="60">
        <f t="shared" si="0"/>
        <v>53947.948949999991</v>
      </c>
      <c r="F6" s="60">
        <f t="shared" si="0"/>
        <v>55512.439469549987</v>
      </c>
      <c r="G6" s="60">
        <f t="shared" si="0"/>
        <v>57122.300214166935</v>
      </c>
      <c r="H6" s="60">
        <f t="shared" si="0"/>
        <v>58778.846920377771</v>
      </c>
    </row>
    <row r="7" spans="1:8">
      <c r="A7" s="3"/>
      <c r="B7" s="2" t="s">
        <v>105</v>
      </c>
      <c r="C7" s="61">
        <v>25169</v>
      </c>
      <c r="D7" s="60">
        <f t="shared" si="0"/>
        <v>25898.900999999998</v>
      </c>
      <c r="E7" s="60">
        <f t="shared" si="0"/>
        <v>26649.969128999997</v>
      </c>
      <c r="F7" s="60">
        <f t="shared" si="0"/>
        <v>27422.818233740996</v>
      </c>
      <c r="G7" s="60">
        <f t="shared" si="0"/>
        <v>28218.079962519481</v>
      </c>
      <c r="H7" s="60">
        <f t="shared" si="0"/>
        <v>29036.404281432544</v>
      </c>
    </row>
    <row r="8" spans="1:8">
      <c r="A8" s="3"/>
      <c r="B8" s="2" t="s">
        <v>106</v>
      </c>
      <c r="C8" s="61">
        <v>27544</v>
      </c>
      <c r="D8" s="60">
        <f t="shared" si="0"/>
        <v>28342.775999999998</v>
      </c>
      <c r="E8" s="60">
        <f t="shared" si="0"/>
        <v>29164.716503999996</v>
      </c>
      <c r="F8" s="60">
        <f t="shared" si="0"/>
        <v>30010.493282615993</v>
      </c>
      <c r="G8" s="60">
        <f t="shared" si="0"/>
        <v>30880.797587811856</v>
      </c>
      <c r="H8" s="60">
        <f t="shared" si="0"/>
        <v>31776.340717858398</v>
      </c>
    </row>
    <row r="9" spans="1:8">
      <c r="A9" s="3"/>
      <c r="B9" s="2" t="s">
        <v>107</v>
      </c>
      <c r="C9" s="61">
        <v>81044</v>
      </c>
      <c r="D9" s="60">
        <f t="shared" si="0"/>
        <v>83394.275999999998</v>
      </c>
      <c r="E9" s="60">
        <f t="shared" si="0"/>
        <v>85812.710003999993</v>
      </c>
      <c r="F9" s="60">
        <f t="shared" si="0"/>
        <v>88301.278594115982</v>
      </c>
      <c r="G9" s="60">
        <f t="shared" si="0"/>
        <v>90862.015673345333</v>
      </c>
      <c r="H9" s="60">
        <f t="shared" si="0"/>
        <v>93497.014127872346</v>
      </c>
    </row>
    <row r="10" spans="1:8">
      <c r="A10" s="3"/>
      <c r="B10" s="2" t="s">
        <v>108</v>
      </c>
      <c r="C10" s="59">
        <v>37095</v>
      </c>
      <c r="D10" s="60">
        <f t="shared" si="0"/>
        <v>38170.754999999997</v>
      </c>
      <c r="E10" s="60">
        <f t="shared" si="0"/>
        <v>39277.706894999996</v>
      </c>
      <c r="F10" s="60">
        <f t="shared" si="0"/>
        <v>40416.760394954996</v>
      </c>
      <c r="G10" s="60">
        <f t="shared" si="0"/>
        <v>41588.846446408686</v>
      </c>
      <c r="H10" s="60">
        <f t="shared" si="0"/>
        <v>42794.922993354536</v>
      </c>
    </row>
    <row r="11" spans="1:8">
      <c r="A11" s="3"/>
      <c r="B11" s="2" t="s">
        <v>109</v>
      </c>
      <c r="C11" s="61">
        <v>30984</v>
      </c>
      <c r="D11" s="60">
        <f t="shared" si="0"/>
        <v>31882.535999999996</v>
      </c>
      <c r="E11" s="60">
        <f t="shared" si="0"/>
        <v>32807.129543999996</v>
      </c>
      <c r="F11" s="60">
        <f t="shared" si="0"/>
        <v>33758.536300775995</v>
      </c>
      <c r="G11" s="60">
        <f t="shared" si="0"/>
        <v>34737.533853498499</v>
      </c>
      <c r="H11" s="60">
        <f t="shared" si="0"/>
        <v>35744.922335249954</v>
      </c>
    </row>
    <row r="12" spans="1:8">
      <c r="A12" s="3"/>
      <c r="B12" s="2" t="s">
        <v>110</v>
      </c>
      <c r="C12" s="61">
        <v>61216</v>
      </c>
      <c r="D12" s="60">
        <f t="shared" si="0"/>
        <v>62991.263999999996</v>
      </c>
      <c r="E12" s="60">
        <f t="shared" si="0"/>
        <v>64818.010655999991</v>
      </c>
      <c r="F12" s="60">
        <f t="shared" si="0"/>
        <v>66697.732965023984</v>
      </c>
      <c r="G12" s="60">
        <f t="shared" si="0"/>
        <v>68631.967221009676</v>
      </c>
      <c r="H12" s="60">
        <f t="shared" si="0"/>
        <v>70622.294270418948</v>
      </c>
    </row>
    <row r="13" spans="1:8">
      <c r="A13" s="3"/>
      <c r="B13" s="2" t="s">
        <v>111</v>
      </c>
      <c r="C13" s="61">
        <v>26272</v>
      </c>
      <c r="D13" s="60">
        <f t="shared" si="0"/>
        <v>27033.887999999999</v>
      </c>
      <c r="E13" s="60">
        <f t="shared" si="0"/>
        <v>27817.870751999995</v>
      </c>
      <c r="F13" s="60">
        <f t="shared" si="0"/>
        <v>28624.589003807992</v>
      </c>
      <c r="G13" s="60">
        <f t="shared" si="0"/>
        <v>29454.702084918423</v>
      </c>
      <c r="H13" s="60">
        <f t="shared" si="0"/>
        <v>30308.888445381053</v>
      </c>
    </row>
    <row r="14" spans="1:8">
      <c r="A14" s="3"/>
      <c r="B14" s="2" t="s">
        <v>112</v>
      </c>
      <c r="C14" s="61">
        <v>26848</v>
      </c>
      <c r="D14" s="60">
        <f t="shared" si="0"/>
        <v>27626.591999999997</v>
      </c>
      <c r="E14" s="60">
        <f t="shared" si="0"/>
        <v>28427.763167999994</v>
      </c>
      <c r="F14" s="60">
        <f t="shared" si="0"/>
        <v>29252.168299871992</v>
      </c>
      <c r="G14" s="60">
        <f t="shared" si="0"/>
        <v>30100.481180568277</v>
      </c>
      <c r="H14" s="60">
        <f t="shared" si="0"/>
        <v>30973.395134804756</v>
      </c>
    </row>
    <row r="15" spans="1:8">
      <c r="A15" s="3"/>
      <c r="B15" s="2" t="s">
        <v>113</v>
      </c>
      <c r="C15" s="61">
        <v>29322</v>
      </c>
      <c r="D15" s="60">
        <f t="shared" si="0"/>
        <v>30172.337999999996</v>
      </c>
      <c r="E15" s="60">
        <f t="shared" si="0"/>
        <v>31047.335801999994</v>
      </c>
      <c r="F15" s="60">
        <f t="shared" si="0"/>
        <v>31947.708540257991</v>
      </c>
      <c r="G15" s="60">
        <f t="shared" si="0"/>
        <v>32874.192087925469</v>
      </c>
      <c r="H15" s="60">
        <f t="shared" si="0"/>
        <v>33827.543658475304</v>
      </c>
    </row>
    <row r="16" spans="1:8">
      <c r="A16" s="3" t="s">
        <v>14</v>
      </c>
      <c r="B16" s="2" t="s">
        <v>114</v>
      </c>
      <c r="C16" s="61">
        <v>30751</v>
      </c>
      <c r="D16" s="60">
        <f t="shared" si="0"/>
        <v>31642.778999999999</v>
      </c>
      <c r="E16" s="60">
        <f t="shared" si="0"/>
        <v>32560.419590999994</v>
      </c>
      <c r="F16" s="60">
        <f t="shared" si="0"/>
        <v>33504.67175913899</v>
      </c>
      <c r="G16" s="60">
        <f t="shared" si="0"/>
        <v>34476.307240154019</v>
      </c>
      <c r="H16" s="60">
        <f t="shared" si="0"/>
        <v>35476.120150118484</v>
      </c>
    </row>
    <row r="17" spans="1:8">
      <c r="A17" s="3"/>
      <c r="B17" s="2" t="s">
        <v>115</v>
      </c>
      <c r="C17" s="61">
        <v>22858</v>
      </c>
      <c r="D17" s="60">
        <f t="shared" si="0"/>
        <v>23520.881999999998</v>
      </c>
      <c r="E17" s="60">
        <f t="shared" si="0"/>
        <v>24202.987577999997</v>
      </c>
      <c r="F17" s="60">
        <f t="shared" si="0"/>
        <v>24904.874217761993</v>
      </c>
      <c r="G17" s="60">
        <f t="shared" si="0"/>
        <v>25627.115570077091</v>
      </c>
      <c r="H17" s="60">
        <f t="shared" si="0"/>
        <v>26370.301921609323</v>
      </c>
    </row>
    <row r="18" spans="1:8">
      <c r="A18" s="3"/>
      <c r="B18" s="2" t="s">
        <v>116</v>
      </c>
      <c r="C18" s="61">
        <v>18217</v>
      </c>
      <c r="D18" s="60">
        <f t="shared" si="0"/>
        <v>18745.292999999998</v>
      </c>
      <c r="E18" s="60">
        <f t="shared" si="0"/>
        <v>19288.906496999996</v>
      </c>
      <c r="F18" s="60">
        <f t="shared" si="0"/>
        <v>19848.284785412994</v>
      </c>
      <c r="G18" s="60">
        <f t="shared" si="0"/>
        <v>20423.88504418997</v>
      </c>
      <c r="H18" s="60">
        <f t="shared" si="0"/>
        <v>21016.177710471478</v>
      </c>
    </row>
    <row r="19" spans="1:8">
      <c r="A19" s="3"/>
      <c r="B19" s="2" t="s">
        <v>117</v>
      </c>
      <c r="C19" s="61">
        <v>43359</v>
      </c>
      <c r="D19" s="60">
        <f t="shared" ref="D19:H34" si="1">C19*1.029</f>
        <v>44616.410999999993</v>
      </c>
      <c r="E19" s="60">
        <f t="shared" si="1"/>
        <v>45910.286918999991</v>
      </c>
      <c r="F19" s="60">
        <f t="shared" si="1"/>
        <v>47241.685239650986</v>
      </c>
      <c r="G19" s="60">
        <f t="shared" si="1"/>
        <v>48611.69411160086</v>
      </c>
      <c r="H19" s="60">
        <f t="shared" si="1"/>
        <v>50021.433240837279</v>
      </c>
    </row>
    <row r="20" spans="1:8">
      <c r="A20" s="3"/>
      <c r="B20" s="2" t="s">
        <v>118</v>
      </c>
      <c r="C20" s="61">
        <v>18229</v>
      </c>
      <c r="D20" s="60">
        <f t="shared" si="1"/>
        <v>18757.641</v>
      </c>
      <c r="E20" s="60">
        <f t="shared" si="1"/>
        <v>19301.612588999997</v>
      </c>
      <c r="F20" s="60">
        <f t="shared" si="1"/>
        <v>19861.359354080996</v>
      </c>
      <c r="G20" s="60">
        <f t="shared" si="1"/>
        <v>20437.338775349344</v>
      </c>
      <c r="H20" s="60">
        <f t="shared" si="1"/>
        <v>21030.021599834472</v>
      </c>
    </row>
    <row r="21" spans="1:8">
      <c r="A21" s="3"/>
      <c r="B21" s="2" t="s">
        <v>119</v>
      </c>
      <c r="C21" s="61">
        <v>13482</v>
      </c>
      <c r="D21" s="60">
        <f t="shared" si="1"/>
        <v>13872.977999999999</v>
      </c>
      <c r="E21" s="60">
        <f t="shared" si="1"/>
        <v>14275.294361999999</v>
      </c>
      <c r="F21" s="60">
        <f t="shared" si="1"/>
        <v>14689.277898497998</v>
      </c>
      <c r="G21" s="60">
        <f t="shared" si="1"/>
        <v>15115.266957554439</v>
      </c>
      <c r="H21" s="60">
        <f t="shared" si="1"/>
        <v>15553.609699323517</v>
      </c>
    </row>
    <row r="22" spans="1:8">
      <c r="A22" s="3"/>
      <c r="B22" s="2" t="s">
        <v>120</v>
      </c>
      <c r="C22" s="61">
        <v>3584</v>
      </c>
      <c r="D22" s="60">
        <f t="shared" si="1"/>
        <v>3687.9359999999997</v>
      </c>
      <c r="E22" s="60">
        <f t="shared" si="1"/>
        <v>3794.8861439999991</v>
      </c>
      <c r="F22" s="60">
        <f t="shared" si="1"/>
        <v>3904.9378421759989</v>
      </c>
      <c r="G22" s="60">
        <f t="shared" si="1"/>
        <v>4018.1810395991024</v>
      </c>
      <c r="H22" s="60">
        <f t="shared" si="1"/>
        <v>4134.7082897474756</v>
      </c>
    </row>
    <row r="23" spans="1:8">
      <c r="A23" s="3"/>
      <c r="B23" s="2" t="s">
        <v>121</v>
      </c>
      <c r="C23" s="61">
        <v>76281</v>
      </c>
      <c r="D23" s="60">
        <f t="shared" si="1"/>
        <v>78493.14899999999</v>
      </c>
      <c r="E23" s="60">
        <f t="shared" si="1"/>
        <v>80769.450320999982</v>
      </c>
      <c r="F23" s="60">
        <f t="shared" si="1"/>
        <v>83111.764380308974</v>
      </c>
      <c r="G23" s="60">
        <f t="shared" si="1"/>
        <v>85522.005547337933</v>
      </c>
      <c r="H23" s="60">
        <f t="shared" si="1"/>
        <v>88002.14370821073</v>
      </c>
    </row>
    <row r="24" spans="1:8">
      <c r="A24" s="3"/>
      <c r="B24" s="2" t="s">
        <v>122</v>
      </c>
      <c r="C24" s="61">
        <v>20544</v>
      </c>
      <c r="D24" s="60">
        <f t="shared" si="1"/>
        <v>21139.775999999998</v>
      </c>
      <c r="E24" s="60">
        <f t="shared" si="1"/>
        <v>21752.829503999998</v>
      </c>
      <c r="F24" s="60">
        <f t="shared" si="1"/>
        <v>22383.661559615997</v>
      </c>
      <c r="G24" s="60">
        <f t="shared" si="1"/>
        <v>23032.78774484486</v>
      </c>
      <c r="H24" s="60">
        <f t="shared" si="1"/>
        <v>23700.738589445358</v>
      </c>
    </row>
    <row r="25" spans="1:8">
      <c r="A25" s="3"/>
      <c r="B25" s="2" t="s">
        <v>123</v>
      </c>
      <c r="C25" s="61">
        <v>7815</v>
      </c>
      <c r="D25" s="60">
        <f t="shared" si="1"/>
        <v>8041.6349999999993</v>
      </c>
      <c r="E25" s="60">
        <f t="shared" si="1"/>
        <v>8274.8424149999992</v>
      </c>
      <c r="F25" s="60">
        <f t="shared" si="1"/>
        <v>8514.8128450349977</v>
      </c>
      <c r="G25" s="60">
        <f t="shared" si="1"/>
        <v>8761.7424175410124</v>
      </c>
      <c r="H25" s="60">
        <f t="shared" si="1"/>
        <v>9015.8329476497001</v>
      </c>
    </row>
    <row r="26" spans="1:8">
      <c r="A26" s="3"/>
      <c r="B26" s="2" t="s">
        <v>124</v>
      </c>
      <c r="C26" s="61">
        <v>5491</v>
      </c>
      <c r="D26" s="60">
        <f t="shared" si="1"/>
        <v>5650.2389999999996</v>
      </c>
      <c r="E26" s="60">
        <f t="shared" si="1"/>
        <v>5814.0959309999989</v>
      </c>
      <c r="F26" s="60">
        <f t="shared" si="1"/>
        <v>5982.7047129989987</v>
      </c>
      <c r="G26" s="60">
        <f t="shared" si="1"/>
        <v>6156.2031496759691</v>
      </c>
      <c r="H26" s="60">
        <f t="shared" si="1"/>
        <v>6334.7330410165714</v>
      </c>
    </row>
    <row r="27" spans="1:8">
      <c r="A27" s="3"/>
      <c r="B27" s="2" t="s">
        <v>125</v>
      </c>
      <c r="C27" s="61">
        <v>45562</v>
      </c>
      <c r="D27" s="60">
        <f t="shared" si="1"/>
        <v>46883.297999999995</v>
      </c>
      <c r="E27" s="60">
        <f t="shared" si="1"/>
        <v>48242.913641999992</v>
      </c>
      <c r="F27" s="60">
        <f t="shared" si="1"/>
        <v>49641.958137617985</v>
      </c>
      <c r="G27" s="60">
        <f t="shared" si="1"/>
        <v>51081.574923608903</v>
      </c>
      <c r="H27" s="60">
        <f t="shared" si="1"/>
        <v>52562.940596393557</v>
      </c>
    </row>
    <row r="28" spans="1:8">
      <c r="A28" s="3"/>
      <c r="B28" s="2" t="s">
        <v>126</v>
      </c>
      <c r="C28" s="61">
        <v>17397</v>
      </c>
      <c r="D28" s="60">
        <f t="shared" si="1"/>
        <v>17901.512999999999</v>
      </c>
      <c r="E28" s="60">
        <f t="shared" si="1"/>
        <v>18420.656876999998</v>
      </c>
      <c r="F28" s="60">
        <f t="shared" si="1"/>
        <v>18954.855926432996</v>
      </c>
      <c r="G28" s="60">
        <f t="shared" si="1"/>
        <v>19504.546748299552</v>
      </c>
      <c r="H28" s="60">
        <f t="shared" si="1"/>
        <v>20070.178604000237</v>
      </c>
    </row>
    <row r="29" spans="1:8">
      <c r="A29" s="3"/>
      <c r="B29" s="2" t="s">
        <v>127</v>
      </c>
      <c r="C29" s="61">
        <v>29498</v>
      </c>
      <c r="D29" s="60">
        <f t="shared" si="1"/>
        <v>30353.441999999999</v>
      </c>
      <c r="E29" s="60">
        <f t="shared" si="1"/>
        <v>31233.691817999996</v>
      </c>
      <c r="F29" s="60">
        <f t="shared" si="1"/>
        <v>32139.468880721994</v>
      </c>
      <c r="G29" s="60">
        <f t="shared" si="1"/>
        <v>33071.513478262932</v>
      </c>
      <c r="H29" s="60">
        <f t="shared" si="1"/>
        <v>34030.587369132554</v>
      </c>
    </row>
    <row r="30" spans="1:8">
      <c r="A30" s="3"/>
      <c r="B30" s="2" t="s">
        <v>128</v>
      </c>
      <c r="C30" s="61">
        <v>36054</v>
      </c>
      <c r="D30" s="60">
        <f t="shared" si="1"/>
        <v>37099.565999999999</v>
      </c>
      <c r="E30" s="60">
        <f t="shared" si="1"/>
        <v>38175.453413999996</v>
      </c>
      <c r="F30" s="60">
        <f t="shared" si="1"/>
        <v>39282.541563005994</v>
      </c>
      <c r="G30" s="60">
        <f t="shared" si="1"/>
        <v>40421.735268333163</v>
      </c>
      <c r="H30" s="60">
        <f t="shared" si="1"/>
        <v>41593.965591114822</v>
      </c>
    </row>
    <row r="31" spans="1:8">
      <c r="A31" s="3"/>
      <c r="B31" s="2" t="s">
        <v>129</v>
      </c>
      <c r="C31" s="61">
        <v>20326</v>
      </c>
      <c r="D31" s="60">
        <f t="shared" si="1"/>
        <v>20915.453999999998</v>
      </c>
      <c r="E31" s="60">
        <f t="shared" si="1"/>
        <v>21522.002165999995</v>
      </c>
      <c r="F31" s="60">
        <f t="shared" si="1"/>
        <v>22146.140228813994</v>
      </c>
      <c r="G31" s="60">
        <f t="shared" si="1"/>
        <v>22788.378295449598</v>
      </c>
      <c r="H31" s="60">
        <f t="shared" si="1"/>
        <v>23449.241266017634</v>
      </c>
    </row>
    <row r="32" spans="1:8">
      <c r="A32" s="3"/>
      <c r="B32" s="2" t="s">
        <v>130</v>
      </c>
      <c r="C32" s="61">
        <v>200443</v>
      </c>
      <c r="D32" s="60">
        <f t="shared" si="1"/>
        <v>206255.84699999998</v>
      </c>
      <c r="E32" s="60">
        <f t="shared" si="1"/>
        <v>212237.26656299995</v>
      </c>
      <c r="F32" s="60">
        <f t="shared" si="1"/>
        <v>218392.14729332694</v>
      </c>
      <c r="G32" s="60">
        <f t="shared" si="1"/>
        <v>224725.5195648334</v>
      </c>
      <c r="H32" s="60">
        <f t="shared" si="1"/>
        <v>231242.55963221355</v>
      </c>
    </row>
    <row r="33" spans="1:8">
      <c r="A33" s="3" t="s">
        <v>15</v>
      </c>
      <c r="B33" s="2" t="s">
        <v>131</v>
      </c>
      <c r="C33" s="61">
        <v>15455</v>
      </c>
      <c r="D33" s="60">
        <f t="shared" si="1"/>
        <v>15903.194999999998</v>
      </c>
      <c r="E33" s="60">
        <f t="shared" si="1"/>
        <v>16364.387654999997</v>
      </c>
      <c r="F33" s="60">
        <f t="shared" si="1"/>
        <v>16838.954896994994</v>
      </c>
      <c r="G33" s="60">
        <f t="shared" si="1"/>
        <v>17327.284589007846</v>
      </c>
      <c r="H33" s="60">
        <f t="shared" si="1"/>
        <v>17829.775842089071</v>
      </c>
    </row>
    <row r="34" spans="1:8">
      <c r="A34" s="3"/>
      <c r="B34" s="2" t="s">
        <v>132</v>
      </c>
      <c r="C34" s="61">
        <v>24404</v>
      </c>
      <c r="D34" s="60">
        <f t="shared" si="1"/>
        <v>25111.715999999997</v>
      </c>
      <c r="E34" s="60">
        <f t="shared" si="1"/>
        <v>25839.955763999995</v>
      </c>
      <c r="F34" s="60">
        <f t="shared" si="1"/>
        <v>26589.314481155994</v>
      </c>
      <c r="G34" s="60">
        <f t="shared" si="1"/>
        <v>27360.404601109516</v>
      </c>
      <c r="H34" s="60">
        <f t="shared" si="1"/>
        <v>28153.856334541691</v>
      </c>
    </row>
    <row r="35" spans="1:8">
      <c r="A35" s="3"/>
      <c r="B35" s="2" t="s">
        <v>133</v>
      </c>
      <c r="C35" s="61">
        <v>11903</v>
      </c>
      <c r="D35" s="60">
        <f t="shared" ref="D35:H47" si="2">C35*1.029</f>
        <v>12248.186999999998</v>
      </c>
      <c r="E35" s="60">
        <f t="shared" si="2"/>
        <v>12603.384422999998</v>
      </c>
      <c r="F35" s="60">
        <f t="shared" si="2"/>
        <v>12968.882571266997</v>
      </c>
      <c r="G35" s="60">
        <f t="shared" si="2"/>
        <v>13344.980165833738</v>
      </c>
      <c r="H35" s="60">
        <f t="shared" si="2"/>
        <v>13731.984590642916</v>
      </c>
    </row>
    <row r="36" spans="1:8">
      <c r="A36" s="3"/>
      <c r="B36" s="2" t="s">
        <v>134</v>
      </c>
      <c r="C36" s="61">
        <v>15864</v>
      </c>
      <c r="D36" s="60">
        <f t="shared" si="2"/>
        <v>16324.055999999999</v>
      </c>
      <c r="E36" s="60">
        <f t="shared" si="2"/>
        <v>16797.453623999998</v>
      </c>
      <c r="F36" s="60">
        <f t="shared" si="2"/>
        <v>17284.579779095995</v>
      </c>
      <c r="G36" s="60">
        <f t="shared" si="2"/>
        <v>17785.832592689778</v>
      </c>
      <c r="H36" s="60">
        <f t="shared" si="2"/>
        <v>18301.62173787778</v>
      </c>
    </row>
    <row r="37" spans="1:8">
      <c r="A37" s="3"/>
      <c r="B37" s="2" t="s">
        <v>135</v>
      </c>
      <c r="C37" s="61">
        <v>18294</v>
      </c>
      <c r="D37" s="60">
        <f t="shared" si="2"/>
        <v>18824.525999999998</v>
      </c>
      <c r="E37" s="60">
        <f t="shared" si="2"/>
        <v>19370.437253999997</v>
      </c>
      <c r="F37" s="60">
        <f t="shared" si="2"/>
        <v>19932.179934365995</v>
      </c>
      <c r="G37" s="60">
        <f t="shared" si="2"/>
        <v>20510.213152462606</v>
      </c>
      <c r="H37" s="60">
        <f t="shared" si="2"/>
        <v>21105.00933388402</v>
      </c>
    </row>
    <row r="38" spans="1:8">
      <c r="A38" s="3"/>
      <c r="B38" s="2" t="s">
        <v>136</v>
      </c>
      <c r="C38" s="61">
        <v>19412</v>
      </c>
      <c r="D38" s="60">
        <f t="shared" si="2"/>
        <v>19974.947999999997</v>
      </c>
      <c r="E38" s="60">
        <f t="shared" si="2"/>
        <v>20554.221491999993</v>
      </c>
      <c r="F38" s="60">
        <f t="shared" si="2"/>
        <v>21150.29391526799</v>
      </c>
      <c r="G38" s="60">
        <f t="shared" si="2"/>
        <v>21763.652438810761</v>
      </c>
      <c r="H38" s="60">
        <f t="shared" si="2"/>
        <v>22394.798359536271</v>
      </c>
    </row>
    <row r="39" spans="1:8">
      <c r="A39" s="3"/>
      <c r="B39" s="2" t="s">
        <v>137</v>
      </c>
      <c r="C39" s="61">
        <v>26966</v>
      </c>
      <c r="D39" s="60">
        <f t="shared" si="2"/>
        <v>27748.013999999999</v>
      </c>
      <c r="E39" s="60">
        <f t="shared" si="2"/>
        <v>28552.706405999998</v>
      </c>
      <c r="F39" s="60">
        <f t="shared" si="2"/>
        <v>29380.734891773995</v>
      </c>
      <c r="G39" s="60">
        <f t="shared" si="2"/>
        <v>30232.77620363544</v>
      </c>
      <c r="H39" s="60">
        <f t="shared" si="2"/>
        <v>31109.526713540865</v>
      </c>
    </row>
    <row r="40" spans="1:8">
      <c r="A40" s="3"/>
      <c r="B40" s="2" t="s">
        <v>138</v>
      </c>
      <c r="C40" s="61">
        <v>13703</v>
      </c>
      <c r="D40" s="60">
        <f t="shared" si="2"/>
        <v>14100.386999999999</v>
      </c>
      <c r="E40" s="60">
        <f t="shared" si="2"/>
        <v>14509.298222999998</v>
      </c>
      <c r="F40" s="60">
        <f t="shared" si="2"/>
        <v>14930.067871466998</v>
      </c>
      <c r="G40" s="60">
        <f t="shared" si="2"/>
        <v>15363.039839739538</v>
      </c>
      <c r="H40" s="60">
        <f t="shared" si="2"/>
        <v>15808.567995091984</v>
      </c>
    </row>
    <row r="41" spans="1:8">
      <c r="A41" s="3"/>
      <c r="B41" s="2" t="s">
        <v>139</v>
      </c>
      <c r="C41" s="61">
        <v>61225</v>
      </c>
      <c r="D41" s="60">
        <f t="shared" si="2"/>
        <v>63000.524999999994</v>
      </c>
      <c r="E41" s="60">
        <f t="shared" si="2"/>
        <v>64827.54022499999</v>
      </c>
      <c r="F41" s="60">
        <f t="shared" si="2"/>
        <v>66707.538891524979</v>
      </c>
      <c r="G41" s="60">
        <f t="shared" si="2"/>
        <v>68642.057519379203</v>
      </c>
      <c r="H41" s="60">
        <f t="shared" si="2"/>
        <v>70632.677187441193</v>
      </c>
    </row>
    <row r="42" spans="1:8">
      <c r="A42" s="3"/>
      <c r="B42" s="2" t="s">
        <v>140</v>
      </c>
      <c r="C42" s="61">
        <v>28168</v>
      </c>
      <c r="D42" s="60">
        <f t="shared" si="2"/>
        <v>28984.871999999999</v>
      </c>
      <c r="E42" s="60">
        <f t="shared" si="2"/>
        <v>29825.433287999997</v>
      </c>
      <c r="F42" s="60">
        <f t="shared" si="2"/>
        <v>30690.370853351993</v>
      </c>
      <c r="G42" s="60">
        <f t="shared" si="2"/>
        <v>31580.391608099198</v>
      </c>
      <c r="H42" s="60">
        <f t="shared" si="2"/>
        <v>32496.222964734072</v>
      </c>
    </row>
    <row r="43" spans="1:8">
      <c r="A43" s="3"/>
      <c r="B43" s="2" t="s">
        <v>141</v>
      </c>
      <c r="C43" s="61">
        <v>89879</v>
      </c>
      <c r="D43" s="60">
        <f t="shared" si="2"/>
        <v>92485.490999999995</v>
      </c>
      <c r="E43" s="60">
        <f t="shared" si="2"/>
        <v>95167.570238999993</v>
      </c>
      <c r="F43" s="60">
        <f t="shared" si="2"/>
        <v>97927.429775930985</v>
      </c>
      <c r="G43" s="60">
        <f t="shared" si="2"/>
        <v>100767.32523943298</v>
      </c>
      <c r="H43" s="60">
        <f t="shared" si="2"/>
        <v>103689.57767137652</v>
      </c>
    </row>
    <row r="44" spans="1:8">
      <c r="A44" s="3"/>
      <c r="B44" s="2" t="s">
        <v>142</v>
      </c>
      <c r="C44" s="61">
        <v>39250</v>
      </c>
      <c r="D44" s="60">
        <f t="shared" si="2"/>
        <v>40388.25</v>
      </c>
      <c r="E44" s="60">
        <f t="shared" si="2"/>
        <v>41559.509249999996</v>
      </c>
      <c r="F44" s="60">
        <f t="shared" si="2"/>
        <v>42764.735018249994</v>
      </c>
      <c r="G44" s="60">
        <f t="shared" si="2"/>
        <v>44004.912333779241</v>
      </c>
      <c r="H44" s="60">
        <f t="shared" si="2"/>
        <v>45281.054791458831</v>
      </c>
    </row>
    <row r="45" spans="1:8">
      <c r="A45" s="3"/>
      <c r="B45" s="2" t="s">
        <v>143</v>
      </c>
      <c r="C45" s="61">
        <v>8501</v>
      </c>
      <c r="D45" s="60">
        <f t="shared" si="2"/>
        <v>8747.5289999999986</v>
      </c>
      <c r="E45" s="60">
        <f t="shared" si="2"/>
        <v>9001.2073409999975</v>
      </c>
      <c r="F45" s="60">
        <f t="shared" si="2"/>
        <v>9262.2423538889961</v>
      </c>
      <c r="G45" s="60">
        <f t="shared" si="2"/>
        <v>9530.8473821517764</v>
      </c>
      <c r="H45" s="60">
        <f t="shared" si="2"/>
        <v>9807.2419562341765</v>
      </c>
    </row>
    <row r="46" spans="1:8">
      <c r="A46" s="3"/>
      <c r="B46" s="2" t="s">
        <v>144</v>
      </c>
      <c r="C46" s="61">
        <v>5046</v>
      </c>
      <c r="D46" s="60">
        <f t="shared" si="2"/>
        <v>5192.3339999999998</v>
      </c>
      <c r="E46" s="60">
        <f t="shared" si="2"/>
        <v>5342.9116859999995</v>
      </c>
      <c r="F46" s="60">
        <f t="shared" si="2"/>
        <v>5497.8561248939986</v>
      </c>
      <c r="G46" s="60">
        <f t="shared" si="2"/>
        <v>5657.2939525159245</v>
      </c>
      <c r="H46" s="60">
        <f t="shared" si="2"/>
        <v>5821.3554771388863</v>
      </c>
    </row>
    <row r="47" spans="1:8">
      <c r="A47" s="3"/>
      <c r="B47" s="2" t="s">
        <v>145</v>
      </c>
      <c r="C47" s="61">
        <v>128030</v>
      </c>
      <c r="D47" s="60">
        <f>C47*1.029</f>
        <v>131742.87</v>
      </c>
      <c r="E47" s="60">
        <f t="shared" si="2"/>
        <v>135563.41322999998</v>
      </c>
      <c r="F47" s="60">
        <f t="shared" si="2"/>
        <v>139494.75221366997</v>
      </c>
      <c r="G47" s="60">
        <f t="shared" si="2"/>
        <v>143540.1000278664</v>
      </c>
      <c r="H47" s="60">
        <f t="shared" si="2"/>
        <v>147702.76292867452</v>
      </c>
    </row>
    <row r="48" spans="1:8">
      <c r="A48" s="3" t="s">
        <v>16</v>
      </c>
      <c r="B48" s="2" t="s">
        <v>146</v>
      </c>
      <c r="C48" s="61">
        <v>47305</v>
      </c>
      <c r="D48" s="60">
        <f>C48*1.033</f>
        <v>48866.064999999995</v>
      </c>
      <c r="E48" s="60">
        <f>D48*1.033</f>
        <v>50478.645144999988</v>
      </c>
      <c r="F48" s="60">
        <f>E48*1.033</f>
        <v>52144.440434784985</v>
      </c>
      <c r="G48" s="60">
        <f>F48*1.033</f>
        <v>53865.206969132887</v>
      </c>
      <c r="H48" s="60">
        <f>G48*1.033</f>
        <v>55642.758799114265</v>
      </c>
    </row>
    <row r="49" spans="1:8">
      <c r="A49" s="3"/>
      <c r="B49" s="2" t="s">
        <v>147</v>
      </c>
      <c r="C49" s="61">
        <v>36413</v>
      </c>
      <c r="D49" s="60">
        <f t="shared" ref="D49:H64" si="3">C49*1.033</f>
        <v>37614.628999999994</v>
      </c>
      <c r="E49" s="60">
        <f t="shared" si="3"/>
        <v>38855.911756999987</v>
      </c>
      <c r="F49" s="60">
        <f t="shared" si="3"/>
        <v>40138.156844980986</v>
      </c>
      <c r="G49" s="60">
        <f t="shared" si="3"/>
        <v>41462.716020865351</v>
      </c>
      <c r="H49" s="60">
        <f t="shared" si="3"/>
        <v>42830.985649553906</v>
      </c>
    </row>
    <row r="50" spans="1:8">
      <c r="A50" s="3"/>
      <c r="B50" s="2" t="s">
        <v>148</v>
      </c>
      <c r="C50" s="61">
        <v>28491</v>
      </c>
      <c r="D50" s="60">
        <f t="shared" si="3"/>
        <v>29431.202999999998</v>
      </c>
      <c r="E50" s="60">
        <f t="shared" si="3"/>
        <v>30402.432698999994</v>
      </c>
      <c r="F50" s="60">
        <f t="shared" si="3"/>
        <v>31405.712978066989</v>
      </c>
      <c r="G50" s="60">
        <f t="shared" si="3"/>
        <v>32442.101506343199</v>
      </c>
      <c r="H50" s="60">
        <f t="shared" si="3"/>
        <v>33512.690856052519</v>
      </c>
    </row>
    <row r="51" spans="1:8">
      <c r="A51" s="3"/>
      <c r="B51" s="2" t="s">
        <v>149</v>
      </c>
      <c r="C51" s="61">
        <v>38800</v>
      </c>
      <c r="D51" s="60">
        <f t="shared" si="3"/>
        <v>40080.399999999994</v>
      </c>
      <c r="E51" s="60">
        <f t="shared" si="3"/>
        <v>41403.053199999988</v>
      </c>
      <c r="F51" s="60">
        <f t="shared" si="3"/>
        <v>42769.353955599981</v>
      </c>
      <c r="G51" s="60">
        <f t="shared" si="3"/>
        <v>44180.742636134775</v>
      </c>
      <c r="H51" s="60">
        <f t="shared" si="3"/>
        <v>45638.70714312722</v>
      </c>
    </row>
    <row r="52" spans="1:8">
      <c r="A52" s="3"/>
      <c r="B52" s="2" t="s">
        <v>150</v>
      </c>
      <c r="C52" s="61">
        <v>16199</v>
      </c>
      <c r="D52" s="60">
        <f t="shared" si="3"/>
        <v>16733.566999999999</v>
      </c>
      <c r="E52" s="60">
        <f t="shared" si="3"/>
        <v>17285.774710999998</v>
      </c>
      <c r="F52" s="60">
        <f t="shared" si="3"/>
        <v>17856.205276462995</v>
      </c>
      <c r="G52" s="60">
        <f t="shared" si="3"/>
        <v>18445.460050586273</v>
      </c>
      <c r="H52" s="60">
        <f t="shared" si="3"/>
        <v>19054.160232255617</v>
      </c>
    </row>
    <row r="53" spans="1:8">
      <c r="A53" s="3"/>
      <c r="B53" s="2" t="s">
        <v>151</v>
      </c>
      <c r="C53" s="61">
        <v>12688</v>
      </c>
      <c r="D53" s="60">
        <f t="shared" si="3"/>
        <v>13106.704</v>
      </c>
      <c r="E53" s="60">
        <f t="shared" si="3"/>
        <v>13539.225231999999</v>
      </c>
      <c r="F53" s="60">
        <f t="shared" si="3"/>
        <v>13986.019664655998</v>
      </c>
      <c r="G53" s="60">
        <f t="shared" si="3"/>
        <v>14447.558313589645</v>
      </c>
      <c r="H53" s="60">
        <f t="shared" si="3"/>
        <v>14924.327737938102</v>
      </c>
    </row>
    <row r="54" spans="1:8">
      <c r="A54" s="3"/>
      <c r="B54" s="2" t="s">
        <v>152</v>
      </c>
      <c r="C54" s="61">
        <v>81345</v>
      </c>
      <c r="D54" s="60">
        <f t="shared" si="3"/>
        <v>84029.384999999995</v>
      </c>
      <c r="E54" s="60">
        <f t="shared" si="3"/>
        <v>86802.354704999991</v>
      </c>
      <c r="F54" s="60">
        <f t="shared" si="3"/>
        <v>89666.832410264979</v>
      </c>
      <c r="G54" s="60">
        <f t="shared" si="3"/>
        <v>92625.837879803716</v>
      </c>
      <c r="H54" s="60">
        <f t="shared" si="3"/>
        <v>95682.490529837232</v>
      </c>
    </row>
    <row r="55" spans="1:8">
      <c r="A55" s="3"/>
      <c r="B55" s="2" t="s">
        <v>153</v>
      </c>
      <c r="C55" s="61">
        <v>19880</v>
      </c>
      <c r="D55" s="60">
        <f t="shared" si="3"/>
        <v>20536.039999999997</v>
      </c>
      <c r="E55" s="60">
        <f t="shared" si="3"/>
        <v>21213.729319999995</v>
      </c>
      <c r="F55" s="60">
        <f t="shared" si="3"/>
        <v>21913.782387559993</v>
      </c>
      <c r="G55" s="60">
        <f t="shared" si="3"/>
        <v>22636.93720634947</v>
      </c>
      <c r="H55" s="60">
        <f t="shared" si="3"/>
        <v>23383.956134159002</v>
      </c>
    </row>
    <row r="56" spans="1:8">
      <c r="A56" s="3"/>
      <c r="B56" s="2" t="s">
        <v>154</v>
      </c>
      <c r="C56" s="61">
        <v>31256</v>
      </c>
      <c r="D56" s="60">
        <f t="shared" si="3"/>
        <v>32287.447999999997</v>
      </c>
      <c r="E56" s="60">
        <f t="shared" si="3"/>
        <v>33352.933783999993</v>
      </c>
      <c r="F56" s="60">
        <f t="shared" si="3"/>
        <v>34453.580598871988</v>
      </c>
      <c r="G56" s="60">
        <f t="shared" si="3"/>
        <v>35590.548758634759</v>
      </c>
      <c r="H56" s="60">
        <f t="shared" si="3"/>
        <v>36765.036867669703</v>
      </c>
    </row>
    <row r="57" spans="1:8">
      <c r="A57" s="3"/>
      <c r="B57" s="2" t="s">
        <v>155</v>
      </c>
      <c r="C57" s="61">
        <v>45075</v>
      </c>
      <c r="D57" s="60">
        <f t="shared" si="3"/>
        <v>46562.474999999999</v>
      </c>
      <c r="E57" s="60">
        <f t="shared" si="3"/>
        <v>48099.036674999996</v>
      </c>
      <c r="F57" s="60">
        <f t="shared" si="3"/>
        <v>49686.304885274993</v>
      </c>
      <c r="G57" s="60">
        <f t="shared" si="3"/>
        <v>51325.952946489066</v>
      </c>
      <c r="H57" s="60">
        <f t="shared" si="3"/>
        <v>53019.709393723198</v>
      </c>
    </row>
    <row r="58" spans="1:8">
      <c r="A58" s="3"/>
      <c r="B58" s="2" t="s">
        <v>156</v>
      </c>
      <c r="C58" s="61">
        <v>26228</v>
      </c>
      <c r="D58" s="60">
        <f t="shared" si="3"/>
        <v>27093.523999999998</v>
      </c>
      <c r="E58" s="60">
        <f t="shared" si="3"/>
        <v>27987.610291999994</v>
      </c>
      <c r="F58" s="60">
        <f t="shared" si="3"/>
        <v>28911.201431635993</v>
      </c>
      <c r="G58" s="60">
        <f t="shared" si="3"/>
        <v>29865.271078879978</v>
      </c>
      <c r="H58" s="60">
        <f t="shared" si="3"/>
        <v>30850.825024483016</v>
      </c>
    </row>
    <row r="59" spans="1:8">
      <c r="A59" s="3"/>
      <c r="B59" s="2" t="s">
        <v>157</v>
      </c>
      <c r="C59" s="61">
        <v>58401</v>
      </c>
      <c r="D59" s="60">
        <f t="shared" si="3"/>
        <v>60328.232999999993</v>
      </c>
      <c r="E59" s="60">
        <f t="shared" si="3"/>
        <v>62319.064688999984</v>
      </c>
      <c r="F59" s="60">
        <f t="shared" si="3"/>
        <v>64375.593823736977</v>
      </c>
      <c r="G59" s="60">
        <f t="shared" si="3"/>
        <v>66499.988419920293</v>
      </c>
      <c r="H59" s="60">
        <f t="shared" si="3"/>
        <v>68694.488037777657</v>
      </c>
    </row>
    <row r="60" spans="1:8">
      <c r="A60" s="3"/>
      <c r="B60" s="2" t="s">
        <v>158</v>
      </c>
      <c r="C60" s="61">
        <v>38493</v>
      </c>
      <c r="D60" s="60">
        <f t="shared" si="3"/>
        <v>39763.269</v>
      </c>
      <c r="E60" s="60">
        <f t="shared" si="3"/>
        <v>41075.456876999997</v>
      </c>
      <c r="F60" s="60">
        <f t="shared" si="3"/>
        <v>42430.946953940991</v>
      </c>
      <c r="G60" s="60">
        <f t="shared" si="3"/>
        <v>43831.168203421039</v>
      </c>
      <c r="H60" s="60">
        <f t="shared" si="3"/>
        <v>45277.596754133927</v>
      </c>
    </row>
    <row r="61" spans="1:8">
      <c r="A61" s="3"/>
      <c r="B61" s="2" t="s">
        <v>159</v>
      </c>
      <c r="C61" s="61">
        <v>125970</v>
      </c>
      <c r="D61" s="60">
        <f t="shared" si="3"/>
        <v>130127.01</v>
      </c>
      <c r="E61" s="60">
        <f t="shared" si="3"/>
        <v>134421.20132999998</v>
      </c>
      <c r="F61" s="60">
        <f t="shared" si="3"/>
        <v>138857.10097388996</v>
      </c>
      <c r="G61" s="60">
        <f t="shared" si="3"/>
        <v>143439.38530602833</v>
      </c>
      <c r="H61" s="60">
        <f t="shared" si="3"/>
        <v>148172.88502112727</v>
      </c>
    </row>
    <row r="62" spans="1:8">
      <c r="A62" s="3" t="s">
        <v>17</v>
      </c>
      <c r="B62" s="2" t="s">
        <v>160</v>
      </c>
      <c r="C62" s="61">
        <v>36764</v>
      </c>
      <c r="D62" s="60">
        <f t="shared" si="3"/>
        <v>37977.212</v>
      </c>
      <c r="E62" s="60">
        <f t="shared" si="3"/>
        <v>39230.459995999998</v>
      </c>
      <c r="F62" s="60">
        <f t="shared" si="3"/>
        <v>40525.065175867996</v>
      </c>
      <c r="G62" s="60">
        <f t="shared" si="3"/>
        <v>41862.392326671637</v>
      </c>
      <c r="H62" s="60">
        <f t="shared" si="3"/>
        <v>43243.851273451801</v>
      </c>
    </row>
    <row r="63" spans="1:8">
      <c r="A63" s="3"/>
      <c r="B63" s="2" t="s">
        <v>161</v>
      </c>
      <c r="C63" s="61">
        <v>23433</v>
      </c>
      <c r="D63" s="60">
        <f t="shared" si="3"/>
        <v>24206.288999999997</v>
      </c>
      <c r="E63" s="60">
        <f t="shared" si="3"/>
        <v>25005.096536999994</v>
      </c>
      <c r="F63" s="60">
        <f t="shared" si="3"/>
        <v>25830.264722720993</v>
      </c>
      <c r="G63" s="60">
        <f t="shared" si="3"/>
        <v>26682.663458570783</v>
      </c>
      <c r="H63" s="60">
        <f t="shared" si="3"/>
        <v>27563.191352703616</v>
      </c>
    </row>
    <row r="64" spans="1:8">
      <c r="A64" s="3"/>
      <c r="B64" s="2" t="s">
        <v>162</v>
      </c>
      <c r="C64" s="61">
        <v>92165</v>
      </c>
      <c r="D64" s="60">
        <f t="shared" si="3"/>
        <v>95206.444999999992</v>
      </c>
      <c r="E64" s="60">
        <f t="shared" si="3"/>
        <v>98348.25768499999</v>
      </c>
      <c r="F64" s="60">
        <f t="shared" si="3"/>
        <v>101593.75018860499</v>
      </c>
      <c r="G64" s="60">
        <f t="shared" si="3"/>
        <v>104946.34394482894</v>
      </c>
      <c r="H64" s="60">
        <f t="shared" si="3"/>
        <v>108409.57329500829</v>
      </c>
    </row>
    <row r="65" spans="1:8">
      <c r="A65" s="3"/>
      <c r="B65" s="2" t="s">
        <v>163</v>
      </c>
      <c r="C65" s="61">
        <v>37952</v>
      </c>
      <c r="D65" s="60">
        <f t="shared" ref="D65:H80" si="4">C65*1.033</f>
        <v>39204.415999999997</v>
      </c>
      <c r="E65" s="60">
        <f t="shared" si="4"/>
        <v>40498.161727999992</v>
      </c>
      <c r="F65" s="60">
        <f t="shared" si="4"/>
        <v>41834.601065023991</v>
      </c>
      <c r="G65" s="60">
        <f t="shared" si="4"/>
        <v>43215.142900169776</v>
      </c>
      <c r="H65" s="60">
        <f t="shared" si="4"/>
        <v>44641.242615875373</v>
      </c>
    </row>
    <row r="66" spans="1:8">
      <c r="A66" s="3"/>
      <c r="B66" s="2" t="s">
        <v>164</v>
      </c>
      <c r="C66" s="61">
        <v>31797</v>
      </c>
      <c r="D66" s="60">
        <f t="shared" si="4"/>
        <v>32846.300999999999</v>
      </c>
      <c r="E66" s="60">
        <f t="shared" si="4"/>
        <v>33930.228932999999</v>
      </c>
      <c r="F66" s="60">
        <f t="shared" si="4"/>
        <v>35049.926487788995</v>
      </c>
      <c r="G66" s="60">
        <f t="shared" si="4"/>
        <v>36206.574061886029</v>
      </c>
      <c r="H66" s="60">
        <f t="shared" si="4"/>
        <v>37401.391005928264</v>
      </c>
    </row>
    <row r="67" spans="1:8">
      <c r="A67" s="3"/>
      <c r="B67" s="2" t="s">
        <v>165</v>
      </c>
      <c r="C67" s="61">
        <v>64790</v>
      </c>
      <c r="D67" s="60">
        <f t="shared" si="4"/>
        <v>66928.069999999992</v>
      </c>
      <c r="E67" s="60">
        <f t="shared" si="4"/>
        <v>69136.696309999985</v>
      </c>
      <c r="F67" s="60">
        <f t="shared" si="4"/>
        <v>71418.207288229984</v>
      </c>
      <c r="G67" s="60">
        <f t="shared" si="4"/>
        <v>73775.008128741567</v>
      </c>
      <c r="H67" s="60">
        <f t="shared" si="4"/>
        <v>76209.583396990027</v>
      </c>
    </row>
    <row r="68" spans="1:8">
      <c r="A68" s="3"/>
      <c r="B68" s="2" t="s">
        <v>166</v>
      </c>
      <c r="C68" s="61">
        <v>58573</v>
      </c>
      <c r="D68" s="60">
        <f t="shared" si="4"/>
        <v>60505.908999999992</v>
      </c>
      <c r="E68" s="60">
        <f t="shared" si="4"/>
        <v>62502.603996999984</v>
      </c>
      <c r="F68" s="60">
        <f t="shared" si="4"/>
        <v>64565.189928900982</v>
      </c>
      <c r="G68" s="60">
        <f t="shared" si="4"/>
        <v>66695.841196554713</v>
      </c>
      <c r="H68" s="60">
        <f t="shared" si="4"/>
        <v>68896.803956041011</v>
      </c>
    </row>
    <row r="69" spans="1:8">
      <c r="A69" s="3" t="s">
        <v>18</v>
      </c>
      <c r="B69" s="2" t="s">
        <v>167</v>
      </c>
      <c r="C69" s="61">
        <v>21449</v>
      </c>
      <c r="D69" s="60">
        <f t="shared" si="4"/>
        <v>22156.816999999999</v>
      </c>
      <c r="E69" s="60">
        <f t="shared" si="4"/>
        <v>22887.991960999996</v>
      </c>
      <c r="F69" s="60">
        <f t="shared" si="4"/>
        <v>23643.295695712994</v>
      </c>
      <c r="G69" s="60">
        <f t="shared" si="4"/>
        <v>24423.524453671522</v>
      </c>
      <c r="H69" s="60">
        <f t="shared" si="4"/>
        <v>25229.500760642681</v>
      </c>
    </row>
    <row r="70" spans="1:8">
      <c r="A70" s="3"/>
      <c r="B70" s="2" t="s">
        <v>168</v>
      </c>
      <c r="C70" s="61">
        <v>29063</v>
      </c>
      <c r="D70" s="60">
        <f t="shared" si="4"/>
        <v>30022.078999999998</v>
      </c>
      <c r="E70" s="60">
        <f t="shared" si="4"/>
        <v>31012.807606999995</v>
      </c>
      <c r="F70" s="60">
        <f t="shared" si="4"/>
        <v>32036.230258030992</v>
      </c>
      <c r="G70" s="60">
        <f t="shared" si="4"/>
        <v>33093.425856546011</v>
      </c>
      <c r="H70" s="60">
        <f t="shared" si="4"/>
        <v>34185.50890981203</v>
      </c>
    </row>
    <row r="71" spans="1:8">
      <c r="A71" s="3"/>
      <c r="B71" s="2" t="s">
        <v>169</v>
      </c>
      <c r="C71" s="61">
        <v>20919</v>
      </c>
      <c r="D71" s="60">
        <f t="shared" si="4"/>
        <v>21609.326999999997</v>
      </c>
      <c r="E71" s="60">
        <f t="shared" si="4"/>
        <v>22322.434790999996</v>
      </c>
      <c r="F71" s="60">
        <f t="shared" si="4"/>
        <v>23059.075139102995</v>
      </c>
      <c r="G71" s="60">
        <f t="shared" si="4"/>
        <v>23820.024618693391</v>
      </c>
      <c r="H71" s="60">
        <f t="shared" si="4"/>
        <v>24606.08543111027</v>
      </c>
    </row>
    <row r="72" spans="1:8">
      <c r="A72" s="3"/>
      <c r="B72" s="2" t="s">
        <v>170</v>
      </c>
      <c r="C72" s="61">
        <v>24796</v>
      </c>
      <c r="D72" s="60">
        <f t="shared" si="4"/>
        <v>25614.267999999996</v>
      </c>
      <c r="E72" s="60">
        <f t="shared" si="4"/>
        <v>26459.538843999995</v>
      </c>
      <c r="F72" s="60">
        <f t="shared" si="4"/>
        <v>27332.703625851991</v>
      </c>
      <c r="G72" s="60">
        <f t="shared" si="4"/>
        <v>28234.682845505104</v>
      </c>
      <c r="H72" s="60">
        <f t="shared" si="4"/>
        <v>29166.42737940677</v>
      </c>
    </row>
    <row r="73" spans="1:8">
      <c r="A73" s="3"/>
      <c r="B73" s="2" t="s">
        <v>171</v>
      </c>
      <c r="C73" s="61">
        <v>47836</v>
      </c>
      <c r="D73" s="60">
        <f t="shared" si="4"/>
        <v>49414.587999999996</v>
      </c>
      <c r="E73" s="60">
        <f t="shared" si="4"/>
        <v>51045.269403999991</v>
      </c>
      <c r="F73" s="60">
        <f t="shared" si="4"/>
        <v>52729.763294331984</v>
      </c>
      <c r="G73" s="60">
        <f t="shared" si="4"/>
        <v>54469.845483044934</v>
      </c>
      <c r="H73" s="60">
        <f t="shared" si="4"/>
        <v>56267.350383985409</v>
      </c>
    </row>
    <row r="74" spans="1:8">
      <c r="A74" s="3"/>
      <c r="B74" s="2" t="s">
        <v>172</v>
      </c>
      <c r="C74" s="61">
        <v>42704</v>
      </c>
      <c r="D74" s="60">
        <f t="shared" si="4"/>
        <v>44113.231999999996</v>
      </c>
      <c r="E74" s="60">
        <f t="shared" si="4"/>
        <v>45568.96865599999</v>
      </c>
      <c r="F74" s="60">
        <f t="shared" si="4"/>
        <v>47072.744621647988</v>
      </c>
      <c r="G74" s="60">
        <f t="shared" si="4"/>
        <v>48626.145194162367</v>
      </c>
      <c r="H74" s="60">
        <f t="shared" si="4"/>
        <v>50230.807985569721</v>
      </c>
    </row>
    <row r="75" spans="1:8">
      <c r="A75" s="3"/>
      <c r="B75" s="2" t="s">
        <v>173</v>
      </c>
      <c r="C75" s="61">
        <v>78199</v>
      </c>
      <c r="D75" s="60">
        <f t="shared" si="4"/>
        <v>80779.566999999995</v>
      </c>
      <c r="E75" s="60">
        <f t="shared" si="4"/>
        <v>83445.292710999987</v>
      </c>
      <c r="F75" s="60">
        <f t="shared" si="4"/>
        <v>86198.987370462986</v>
      </c>
      <c r="G75" s="60">
        <f t="shared" si="4"/>
        <v>89043.553953688257</v>
      </c>
      <c r="H75" s="60">
        <f t="shared" si="4"/>
        <v>91981.991234159956</v>
      </c>
    </row>
    <row r="76" spans="1:8">
      <c r="A76" s="3"/>
      <c r="B76" s="2" t="s">
        <v>174</v>
      </c>
      <c r="C76" s="61">
        <v>38016</v>
      </c>
      <c r="D76" s="60">
        <f t="shared" si="4"/>
        <v>39270.527999999998</v>
      </c>
      <c r="E76" s="60">
        <f t="shared" si="4"/>
        <v>40566.455423999992</v>
      </c>
      <c r="F76" s="60">
        <f t="shared" si="4"/>
        <v>41905.148452991991</v>
      </c>
      <c r="G76" s="60">
        <f t="shared" si="4"/>
        <v>43288.018351940722</v>
      </c>
      <c r="H76" s="60">
        <f t="shared" si="4"/>
        <v>44716.522957554764</v>
      </c>
    </row>
    <row r="77" spans="1:8">
      <c r="A77" s="3"/>
      <c r="B77" s="2" t="s">
        <v>175</v>
      </c>
      <c r="C77" s="61">
        <v>35639</v>
      </c>
      <c r="D77" s="60">
        <f t="shared" si="4"/>
        <v>36815.087</v>
      </c>
      <c r="E77" s="60">
        <f t="shared" si="4"/>
        <v>38029.984870999993</v>
      </c>
      <c r="F77" s="60">
        <f t="shared" si="4"/>
        <v>39284.974371742988</v>
      </c>
      <c r="G77" s="60">
        <f t="shared" si="4"/>
        <v>40581.378526010507</v>
      </c>
      <c r="H77" s="60">
        <f t="shared" si="4"/>
        <v>41920.564017368852</v>
      </c>
    </row>
    <row r="78" spans="1:8">
      <c r="A78" s="3"/>
      <c r="B78" s="2" t="s">
        <v>176</v>
      </c>
      <c r="C78" s="61">
        <v>34606</v>
      </c>
      <c r="D78" s="60">
        <f t="shared" si="4"/>
        <v>35747.998</v>
      </c>
      <c r="E78" s="60">
        <f t="shared" si="4"/>
        <v>36927.681934</v>
      </c>
      <c r="F78" s="60">
        <f t="shared" si="4"/>
        <v>38146.295437821995</v>
      </c>
      <c r="G78" s="60">
        <f t="shared" si="4"/>
        <v>39405.123187270117</v>
      </c>
      <c r="H78" s="60">
        <f t="shared" si="4"/>
        <v>40705.492252450029</v>
      </c>
    </row>
    <row r="79" spans="1:8">
      <c r="A79" s="3"/>
      <c r="B79" s="2" t="s">
        <v>177</v>
      </c>
      <c r="C79" s="61">
        <v>36145</v>
      </c>
      <c r="D79" s="60">
        <f t="shared" si="4"/>
        <v>37337.784999999996</v>
      </c>
      <c r="E79" s="60">
        <f t="shared" si="4"/>
        <v>38569.93190499999</v>
      </c>
      <c r="F79" s="60">
        <f t="shared" si="4"/>
        <v>39842.739657864986</v>
      </c>
      <c r="G79" s="60">
        <f t="shared" si="4"/>
        <v>41157.550066574528</v>
      </c>
      <c r="H79" s="60">
        <f t="shared" si="4"/>
        <v>42515.749218771482</v>
      </c>
    </row>
    <row r="80" spans="1:8">
      <c r="A80" s="3" t="s">
        <v>19</v>
      </c>
      <c r="B80" s="2" t="s">
        <v>178</v>
      </c>
      <c r="C80" s="61">
        <v>40179</v>
      </c>
      <c r="D80" s="60">
        <f t="shared" si="4"/>
        <v>41504.906999999999</v>
      </c>
      <c r="E80" s="60">
        <f t="shared" si="4"/>
        <v>42874.568930999994</v>
      </c>
      <c r="F80" s="60">
        <f t="shared" si="4"/>
        <v>44289.429705722992</v>
      </c>
      <c r="G80" s="60">
        <f t="shared" si="4"/>
        <v>45750.98088601185</v>
      </c>
      <c r="H80" s="60">
        <f t="shared" si="4"/>
        <v>47260.76325525024</v>
      </c>
    </row>
    <row r="81" spans="1:8">
      <c r="A81" s="3"/>
      <c r="B81" s="2" t="s">
        <v>179</v>
      </c>
      <c r="C81" s="61">
        <v>34281</v>
      </c>
      <c r="D81" s="60">
        <f t="shared" ref="D81:H96" si="5">C81*1.033</f>
        <v>35412.272999999994</v>
      </c>
      <c r="E81" s="60">
        <f t="shared" si="5"/>
        <v>36580.878008999993</v>
      </c>
      <c r="F81" s="60">
        <f t="shared" si="5"/>
        <v>37788.04698329699</v>
      </c>
      <c r="G81" s="60">
        <f t="shared" si="5"/>
        <v>39035.052533745788</v>
      </c>
      <c r="H81" s="60">
        <f t="shared" si="5"/>
        <v>40323.209267359394</v>
      </c>
    </row>
    <row r="82" spans="1:8">
      <c r="A82" s="3"/>
      <c r="B82" s="2" t="s">
        <v>180</v>
      </c>
      <c r="C82" s="61">
        <v>15519</v>
      </c>
      <c r="D82" s="60">
        <f t="shared" si="5"/>
        <v>16031.126999999999</v>
      </c>
      <c r="E82" s="60">
        <f t="shared" si="5"/>
        <v>16560.154190999998</v>
      </c>
      <c r="F82" s="60">
        <f t="shared" si="5"/>
        <v>17106.639279302995</v>
      </c>
      <c r="G82" s="60">
        <f t="shared" si="5"/>
        <v>17671.158375519994</v>
      </c>
      <c r="H82" s="60">
        <f t="shared" si="5"/>
        <v>18254.306601912151</v>
      </c>
    </row>
    <row r="83" spans="1:8">
      <c r="A83" s="3"/>
      <c r="B83" s="2" t="s">
        <v>181</v>
      </c>
      <c r="C83" s="61">
        <v>120490</v>
      </c>
      <c r="D83" s="60">
        <f t="shared" si="5"/>
        <v>124466.16999999998</v>
      </c>
      <c r="E83" s="60">
        <f t="shared" si="5"/>
        <v>128573.55360999997</v>
      </c>
      <c r="F83" s="60">
        <f t="shared" si="5"/>
        <v>132816.48087912996</v>
      </c>
      <c r="G83" s="60">
        <f t="shared" si="5"/>
        <v>137199.42474814123</v>
      </c>
      <c r="H83" s="60">
        <f t="shared" si="5"/>
        <v>141727.00576482987</v>
      </c>
    </row>
    <row r="84" spans="1:8">
      <c r="A84" s="3"/>
      <c r="B84" s="2" t="s">
        <v>119</v>
      </c>
      <c r="C84" s="61">
        <v>85177</v>
      </c>
      <c r="D84" s="60">
        <f t="shared" si="5"/>
        <v>87987.840999999986</v>
      </c>
      <c r="E84" s="60">
        <f t="shared" si="5"/>
        <v>90891.439752999984</v>
      </c>
      <c r="F84" s="60">
        <f t="shared" si="5"/>
        <v>93890.857264848979</v>
      </c>
      <c r="G84" s="60">
        <f t="shared" si="5"/>
        <v>96989.255554588992</v>
      </c>
      <c r="H84" s="60">
        <f t="shared" si="5"/>
        <v>100189.90098789042</v>
      </c>
    </row>
    <row r="85" spans="1:8">
      <c r="A85" s="3"/>
      <c r="B85" s="2" t="s">
        <v>182</v>
      </c>
      <c r="C85" s="61">
        <v>78276</v>
      </c>
      <c r="D85" s="60">
        <f t="shared" si="5"/>
        <v>80859.107999999993</v>
      </c>
      <c r="E85" s="60">
        <f t="shared" si="5"/>
        <v>83527.458563999986</v>
      </c>
      <c r="F85" s="60">
        <f t="shared" si="5"/>
        <v>86283.864696611985</v>
      </c>
      <c r="G85" s="60">
        <f t="shared" si="5"/>
        <v>89131.232231600166</v>
      </c>
      <c r="H85" s="60">
        <f t="shared" si="5"/>
        <v>92072.562895242969</v>
      </c>
    </row>
    <row r="86" spans="1:8">
      <c r="A86" s="3"/>
      <c r="B86" s="2" t="s">
        <v>183</v>
      </c>
      <c r="C86" s="61">
        <v>86764</v>
      </c>
      <c r="D86" s="60">
        <f t="shared" si="5"/>
        <v>89627.212</v>
      </c>
      <c r="E86" s="60">
        <f t="shared" si="5"/>
        <v>92584.909995999988</v>
      </c>
      <c r="F86" s="60">
        <f t="shared" si="5"/>
        <v>95640.212025867979</v>
      </c>
      <c r="G86" s="60">
        <f t="shared" si="5"/>
        <v>98796.339022721615</v>
      </c>
      <c r="H86" s="60">
        <f t="shared" si="5"/>
        <v>102056.61821047142</v>
      </c>
    </row>
    <row r="87" spans="1:8">
      <c r="A87" s="3"/>
      <c r="B87" s="2" t="s">
        <v>184</v>
      </c>
      <c r="C87" s="61">
        <v>59323</v>
      </c>
      <c r="D87" s="60">
        <f t="shared" si="5"/>
        <v>61280.658999999992</v>
      </c>
      <c r="E87" s="60">
        <f t="shared" si="5"/>
        <v>63302.920746999989</v>
      </c>
      <c r="F87" s="60">
        <f t="shared" si="5"/>
        <v>65391.917131650982</v>
      </c>
      <c r="G87" s="60">
        <f t="shared" si="5"/>
        <v>67549.850396995462</v>
      </c>
      <c r="H87" s="60">
        <f t="shared" si="5"/>
        <v>69778.99546009631</v>
      </c>
    </row>
    <row r="88" spans="1:8">
      <c r="A88" s="3"/>
      <c r="B88" s="2" t="s">
        <v>185</v>
      </c>
      <c r="C88" s="61">
        <v>40843</v>
      </c>
      <c r="D88" s="60">
        <f t="shared" si="5"/>
        <v>42190.818999999996</v>
      </c>
      <c r="E88" s="60">
        <f t="shared" si="5"/>
        <v>43583.116026999989</v>
      </c>
      <c r="F88" s="60">
        <f t="shared" si="5"/>
        <v>45021.358855890983</v>
      </c>
      <c r="G88" s="60">
        <f t="shared" si="5"/>
        <v>46507.063698135382</v>
      </c>
      <c r="H88" s="60">
        <f t="shared" si="5"/>
        <v>48041.796800173848</v>
      </c>
    </row>
    <row r="89" spans="1:8">
      <c r="A89" s="3"/>
      <c r="B89" s="2" t="s">
        <v>186</v>
      </c>
      <c r="C89" s="61">
        <v>23731</v>
      </c>
      <c r="D89" s="60">
        <f t="shared" si="5"/>
        <v>24514.123</v>
      </c>
      <c r="E89" s="60">
        <f t="shared" si="5"/>
        <v>25323.089058999998</v>
      </c>
      <c r="F89" s="60">
        <f t="shared" si="5"/>
        <v>26158.750997946994</v>
      </c>
      <c r="G89" s="60">
        <f t="shared" si="5"/>
        <v>27021.989780879241</v>
      </c>
      <c r="H89" s="60">
        <f t="shared" si="5"/>
        <v>27913.715443648252</v>
      </c>
    </row>
    <row r="90" spans="1:8">
      <c r="A90" s="3"/>
      <c r="B90" s="2" t="s">
        <v>187</v>
      </c>
      <c r="C90" s="61">
        <v>30793</v>
      </c>
      <c r="D90" s="60">
        <f t="shared" si="5"/>
        <v>31809.168999999998</v>
      </c>
      <c r="E90" s="60">
        <f t="shared" si="5"/>
        <v>32858.871576999998</v>
      </c>
      <c r="F90" s="60">
        <f t="shared" si="5"/>
        <v>33943.214339040998</v>
      </c>
      <c r="G90" s="60">
        <f t="shared" si="5"/>
        <v>35063.34041222935</v>
      </c>
      <c r="H90" s="60">
        <f t="shared" si="5"/>
        <v>36220.430645832916</v>
      </c>
    </row>
    <row r="91" spans="1:8">
      <c r="A91" s="3" t="s">
        <v>20</v>
      </c>
      <c r="B91" s="2" t="s">
        <v>188</v>
      </c>
      <c r="C91" s="61">
        <v>67705</v>
      </c>
      <c r="D91" s="60">
        <f t="shared" si="5"/>
        <v>69939.264999999999</v>
      </c>
      <c r="E91" s="60">
        <f t="shared" si="5"/>
        <v>72247.260744999992</v>
      </c>
      <c r="F91" s="60">
        <f t="shared" si="5"/>
        <v>74631.42034958498</v>
      </c>
      <c r="G91" s="60">
        <f t="shared" si="5"/>
        <v>77094.257221121283</v>
      </c>
      <c r="H91" s="60">
        <f t="shared" si="5"/>
        <v>79638.367709418279</v>
      </c>
    </row>
    <row r="92" spans="1:8">
      <c r="A92" s="3"/>
      <c r="B92" s="2" t="s">
        <v>189</v>
      </c>
      <c r="C92" s="61">
        <v>36670</v>
      </c>
      <c r="D92" s="60">
        <f t="shared" si="5"/>
        <v>37880.11</v>
      </c>
      <c r="E92" s="60">
        <f t="shared" si="5"/>
        <v>39130.153630000001</v>
      </c>
      <c r="F92" s="60">
        <f t="shared" si="5"/>
        <v>40421.448699789995</v>
      </c>
      <c r="G92" s="60">
        <f t="shared" si="5"/>
        <v>41755.356506883065</v>
      </c>
      <c r="H92" s="60">
        <f t="shared" si="5"/>
        <v>43133.283271610206</v>
      </c>
    </row>
    <row r="93" spans="1:8">
      <c r="A93" s="3"/>
      <c r="B93" s="2" t="s">
        <v>190</v>
      </c>
      <c r="C93" s="61">
        <v>35864</v>
      </c>
      <c r="D93" s="60">
        <f t="shared" si="5"/>
        <v>37047.511999999995</v>
      </c>
      <c r="E93" s="60">
        <f t="shared" si="5"/>
        <v>38270.079895999988</v>
      </c>
      <c r="F93" s="60">
        <f t="shared" si="5"/>
        <v>39532.992532567987</v>
      </c>
      <c r="G93" s="60">
        <f t="shared" si="5"/>
        <v>40837.581286142726</v>
      </c>
      <c r="H93" s="60">
        <f t="shared" si="5"/>
        <v>42185.221468585434</v>
      </c>
    </row>
    <row r="94" spans="1:8">
      <c r="A94" s="3"/>
      <c r="B94" s="2" t="s">
        <v>191</v>
      </c>
      <c r="C94" s="61">
        <v>16666</v>
      </c>
      <c r="D94" s="60">
        <f t="shared" si="5"/>
        <v>17215.977999999999</v>
      </c>
      <c r="E94" s="60">
        <f t="shared" si="5"/>
        <v>17784.105273999998</v>
      </c>
      <c r="F94" s="60">
        <f t="shared" si="5"/>
        <v>18370.980748041995</v>
      </c>
      <c r="G94" s="60">
        <f t="shared" si="5"/>
        <v>18977.223112727381</v>
      </c>
      <c r="H94" s="60">
        <f t="shared" si="5"/>
        <v>19603.471475447383</v>
      </c>
    </row>
    <row r="95" spans="1:8">
      <c r="A95" s="3"/>
      <c r="B95" s="2" t="s">
        <v>192</v>
      </c>
      <c r="C95" s="61">
        <v>66128</v>
      </c>
      <c r="D95" s="60">
        <f t="shared" si="5"/>
        <v>68310.223999999987</v>
      </c>
      <c r="E95" s="60">
        <f t="shared" si="5"/>
        <v>70564.461391999983</v>
      </c>
      <c r="F95" s="60">
        <f t="shared" si="5"/>
        <v>72893.08861793598</v>
      </c>
      <c r="G95" s="60">
        <f t="shared" si="5"/>
        <v>75298.560542327861</v>
      </c>
      <c r="H95" s="60">
        <f t="shared" si="5"/>
        <v>77783.413040224681</v>
      </c>
    </row>
    <row r="96" spans="1:8">
      <c r="A96" s="3"/>
      <c r="B96" s="2" t="s">
        <v>193</v>
      </c>
      <c r="C96" s="61">
        <v>25245</v>
      </c>
      <c r="D96" s="60">
        <f t="shared" si="5"/>
        <v>26078.084999999999</v>
      </c>
      <c r="E96" s="60">
        <f t="shared" si="5"/>
        <v>26938.661804999996</v>
      </c>
      <c r="F96" s="60">
        <f t="shared" si="5"/>
        <v>27827.637644564995</v>
      </c>
      <c r="G96" s="60">
        <f t="shared" si="5"/>
        <v>28745.949686835636</v>
      </c>
      <c r="H96" s="60">
        <f t="shared" si="5"/>
        <v>29694.566026501208</v>
      </c>
    </row>
    <row r="97" spans="1:8">
      <c r="A97" s="3"/>
      <c r="B97" s="2" t="s">
        <v>198</v>
      </c>
      <c r="C97" s="61">
        <v>74415</v>
      </c>
      <c r="D97" s="60">
        <f t="shared" ref="D97:H101" si="6">C97*1.033</f>
        <v>76870.694999999992</v>
      </c>
      <c r="E97" s="60">
        <f t="shared" si="6"/>
        <v>79407.427934999985</v>
      </c>
      <c r="F97" s="60">
        <f t="shared" si="6"/>
        <v>82027.87305685498</v>
      </c>
      <c r="G97" s="60">
        <f t="shared" si="6"/>
        <v>84734.792867731187</v>
      </c>
      <c r="H97" s="60">
        <f t="shared" si="6"/>
        <v>87531.041032366309</v>
      </c>
    </row>
    <row r="98" spans="1:8">
      <c r="A98" s="3"/>
      <c r="B98" s="2" t="s">
        <v>194</v>
      </c>
      <c r="C98" s="61">
        <v>30953</v>
      </c>
      <c r="D98" s="60">
        <f t="shared" si="6"/>
        <v>31974.448999999997</v>
      </c>
      <c r="E98" s="60">
        <f t="shared" si="6"/>
        <v>33029.605816999996</v>
      </c>
      <c r="F98" s="60">
        <f t="shared" si="6"/>
        <v>34119.582808960993</v>
      </c>
      <c r="G98" s="60">
        <f t="shared" si="6"/>
        <v>35245.5290416567</v>
      </c>
      <c r="H98" s="60">
        <f t="shared" si="6"/>
        <v>36408.63150003137</v>
      </c>
    </row>
    <row r="99" spans="1:8">
      <c r="A99" s="3"/>
      <c r="B99" s="2" t="s">
        <v>195</v>
      </c>
      <c r="C99" s="61">
        <v>31993</v>
      </c>
      <c r="D99" s="60">
        <f t="shared" si="6"/>
        <v>33048.769</v>
      </c>
      <c r="E99" s="60">
        <f t="shared" si="6"/>
        <v>34139.378377000001</v>
      </c>
      <c r="F99" s="60">
        <f t="shared" si="6"/>
        <v>35265.977863440996</v>
      </c>
      <c r="G99" s="60">
        <f t="shared" si="6"/>
        <v>36429.755132934544</v>
      </c>
      <c r="H99" s="60">
        <f t="shared" si="6"/>
        <v>37631.93705232138</v>
      </c>
    </row>
    <row r="100" spans="1:8">
      <c r="A100" s="3"/>
      <c r="B100" s="2" t="s">
        <v>196</v>
      </c>
      <c r="C100" s="61">
        <v>33285</v>
      </c>
      <c r="D100" s="60">
        <f t="shared" si="6"/>
        <v>34383.404999999999</v>
      </c>
      <c r="E100" s="60">
        <f t="shared" si="6"/>
        <v>35518.057364999993</v>
      </c>
      <c r="F100" s="60">
        <f t="shared" si="6"/>
        <v>36690.153258044993</v>
      </c>
      <c r="G100" s="60">
        <f t="shared" si="6"/>
        <v>37900.928315560472</v>
      </c>
      <c r="H100" s="60">
        <f t="shared" si="6"/>
        <v>39151.658949973964</v>
      </c>
    </row>
    <row r="101" spans="1:8">
      <c r="A101" s="3"/>
      <c r="B101" s="2" t="s">
        <v>197</v>
      </c>
      <c r="C101" s="61">
        <v>112511</v>
      </c>
      <c r="D101" s="60">
        <f t="shared" si="6"/>
        <v>116223.863</v>
      </c>
      <c r="E101" s="60">
        <f t="shared" si="6"/>
        <v>120059.25047899999</v>
      </c>
      <c r="F101" s="60">
        <f t="shared" si="6"/>
        <v>124021.20574480698</v>
      </c>
      <c r="G101" s="60">
        <f t="shared" si="6"/>
        <v>128113.9055343856</v>
      </c>
      <c r="H101" s="60">
        <f t="shared" si="6"/>
        <v>132341.66441702031</v>
      </c>
    </row>
    <row r="102" spans="1:8">
      <c r="A102" s="3" t="s">
        <v>199</v>
      </c>
      <c r="B102" s="2" t="s">
        <v>200</v>
      </c>
      <c r="C102" s="61">
        <v>8135</v>
      </c>
      <c r="D102" s="60">
        <f>C102*1.025</f>
        <v>8338.375</v>
      </c>
      <c r="E102" s="60">
        <f>D102*1.025</f>
        <v>8546.8343749999985</v>
      </c>
      <c r="F102" s="60">
        <f>E102*1.025</f>
        <v>8760.5052343749976</v>
      </c>
      <c r="G102" s="60">
        <f>F102*1.025</f>
        <v>8979.5178652343711</v>
      </c>
      <c r="H102" s="60">
        <f>G102*1.025</f>
        <v>9204.0058118652305</v>
      </c>
    </row>
    <row r="103" spans="1:8">
      <c r="A103" s="3"/>
      <c r="B103" s="2" t="s">
        <v>201</v>
      </c>
      <c r="C103" s="61">
        <v>25884</v>
      </c>
      <c r="D103" s="60">
        <f t="shared" ref="D103:H118" si="7">C103*1.025</f>
        <v>26531.1</v>
      </c>
      <c r="E103" s="60">
        <f t="shared" si="7"/>
        <v>27194.377499999995</v>
      </c>
      <c r="F103" s="60">
        <f t="shared" si="7"/>
        <v>27874.236937499991</v>
      </c>
      <c r="G103" s="60">
        <f t="shared" si="7"/>
        <v>28571.09286093749</v>
      </c>
      <c r="H103" s="60">
        <f t="shared" si="7"/>
        <v>29285.370182460923</v>
      </c>
    </row>
    <row r="104" spans="1:8">
      <c r="A104" s="3"/>
      <c r="B104" s="2" t="s">
        <v>202</v>
      </c>
      <c r="C104" s="61">
        <v>20926</v>
      </c>
      <c r="D104" s="60">
        <f t="shared" si="7"/>
        <v>21449.149999999998</v>
      </c>
      <c r="E104" s="60">
        <f t="shared" si="7"/>
        <v>21985.378749999996</v>
      </c>
      <c r="F104" s="60">
        <f t="shared" si="7"/>
        <v>22535.013218749995</v>
      </c>
      <c r="G104" s="60">
        <f t="shared" si="7"/>
        <v>23098.388549218744</v>
      </c>
      <c r="H104" s="60">
        <f t="shared" si="7"/>
        <v>23675.84826294921</v>
      </c>
    </row>
    <row r="105" spans="1:8">
      <c r="A105" s="3"/>
      <c r="B105" s="2" t="s">
        <v>203</v>
      </c>
      <c r="C105" s="61">
        <v>45835</v>
      </c>
      <c r="D105" s="60">
        <f t="shared" si="7"/>
        <v>46980.874999999993</v>
      </c>
      <c r="E105" s="60">
        <f t="shared" si="7"/>
        <v>48155.396874999991</v>
      </c>
      <c r="F105" s="60">
        <f t="shared" si="7"/>
        <v>49359.281796874988</v>
      </c>
      <c r="G105" s="60">
        <f t="shared" si="7"/>
        <v>50593.263841796856</v>
      </c>
      <c r="H105" s="60">
        <f t="shared" si="7"/>
        <v>51858.095437841774</v>
      </c>
    </row>
    <row r="106" spans="1:8">
      <c r="A106" s="3"/>
      <c r="B106" s="2" t="s">
        <v>204</v>
      </c>
      <c r="C106" s="61">
        <v>44279</v>
      </c>
      <c r="D106" s="60">
        <f t="shared" si="7"/>
        <v>45385.974999999999</v>
      </c>
      <c r="E106" s="60">
        <f t="shared" si="7"/>
        <v>46520.624374999992</v>
      </c>
      <c r="F106" s="60">
        <f t="shared" si="7"/>
        <v>47683.63998437499</v>
      </c>
      <c r="G106" s="60">
        <f t="shared" si="7"/>
        <v>48875.730983984358</v>
      </c>
      <c r="H106" s="60">
        <f t="shared" si="7"/>
        <v>50097.624258583965</v>
      </c>
    </row>
    <row r="107" spans="1:8">
      <c r="A107" s="3"/>
      <c r="B107" s="2" t="s">
        <v>205</v>
      </c>
      <c r="C107" s="61">
        <v>5403</v>
      </c>
      <c r="D107" s="60">
        <f t="shared" si="7"/>
        <v>5538.0749999999998</v>
      </c>
      <c r="E107" s="60">
        <f t="shared" si="7"/>
        <v>5676.5268749999996</v>
      </c>
      <c r="F107" s="60">
        <f t="shared" si="7"/>
        <v>5818.4400468749991</v>
      </c>
      <c r="G107" s="60">
        <f t="shared" si="7"/>
        <v>5963.9010480468733</v>
      </c>
      <c r="H107" s="60">
        <f t="shared" si="7"/>
        <v>6112.9985742480449</v>
      </c>
    </row>
    <row r="108" spans="1:8">
      <c r="A108" s="3"/>
      <c r="B108" s="2" t="s">
        <v>206</v>
      </c>
      <c r="C108" s="61">
        <v>31298</v>
      </c>
      <c r="D108" s="60">
        <f t="shared" si="7"/>
        <v>32080.449999999997</v>
      </c>
      <c r="E108" s="60">
        <f t="shared" si="7"/>
        <v>32882.461249999993</v>
      </c>
      <c r="F108" s="60">
        <f t="shared" si="7"/>
        <v>33704.522781249987</v>
      </c>
      <c r="G108" s="60">
        <f t="shared" si="7"/>
        <v>34547.135850781233</v>
      </c>
      <c r="H108" s="60">
        <f t="shared" si="7"/>
        <v>35410.814247050759</v>
      </c>
    </row>
    <row r="109" spans="1:8">
      <c r="A109" s="3"/>
      <c r="B109" s="2" t="s">
        <v>207</v>
      </c>
      <c r="C109" s="61">
        <v>51074</v>
      </c>
      <c r="D109" s="60">
        <f t="shared" si="7"/>
        <v>52350.85</v>
      </c>
      <c r="E109" s="60">
        <f t="shared" si="7"/>
        <v>53659.621249999997</v>
      </c>
      <c r="F109" s="60">
        <f t="shared" si="7"/>
        <v>55001.111781249994</v>
      </c>
      <c r="G109" s="60">
        <f t="shared" si="7"/>
        <v>56376.139575781242</v>
      </c>
      <c r="H109" s="60">
        <f t="shared" si="7"/>
        <v>57785.543065175771</v>
      </c>
    </row>
    <row r="110" spans="1:8">
      <c r="A110" s="3"/>
      <c r="B110" s="2" t="s">
        <v>208</v>
      </c>
      <c r="C110" s="61">
        <v>15623</v>
      </c>
      <c r="D110" s="60">
        <f t="shared" si="7"/>
        <v>16013.574999999999</v>
      </c>
      <c r="E110" s="60">
        <f t="shared" si="7"/>
        <v>16413.914374999997</v>
      </c>
      <c r="F110" s="60">
        <f t="shared" si="7"/>
        <v>16824.262234374994</v>
      </c>
      <c r="G110" s="60">
        <f t="shared" si="7"/>
        <v>17244.868790234366</v>
      </c>
      <c r="H110" s="60">
        <f t="shared" si="7"/>
        <v>17675.990509990224</v>
      </c>
    </row>
    <row r="111" spans="1:8">
      <c r="A111" s="3"/>
      <c r="B111" s="2" t="s">
        <v>209</v>
      </c>
      <c r="C111" s="61">
        <v>25453</v>
      </c>
      <c r="D111" s="60">
        <f t="shared" si="7"/>
        <v>26089.324999999997</v>
      </c>
      <c r="E111" s="60">
        <f t="shared" si="7"/>
        <v>26741.558124999996</v>
      </c>
      <c r="F111" s="60">
        <f t="shared" si="7"/>
        <v>27410.097078124993</v>
      </c>
      <c r="G111" s="60">
        <f t="shared" si="7"/>
        <v>28095.349505078117</v>
      </c>
      <c r="H111" s="60">
        <f t="shared" si="7"/>
        <v>28797.733242705068</v>
      </c>
    </row>
    <row r="112" spans="1:8">
      <c r="A112" s="3"/>
      <c r="B112" s="2" t="s">
        <v>210</v>
      </c>
      <c r="C112" s="61">
        <v>13955</v>
      </c>
      <c r="D112" s="60">
        <f t="shared" si="7"/>
        <v>14303.874999999998</v>
      </c>
      <c r="E112" s="60">
        <f t="shared" si="7"/>
        <v>14661.471874999997</v>
      </c>
      <c r="F112" s="60">
        <f t="shared" si="7"/>
        <v>15028.008671874995</v>
      </c>
      <c r="G112" s="60">
        <f t="shared" si="7"/>
        <v>15403.708888671868</v>
      </c>
      <c r="H112" s="60">
        <f t="shared" si="7"/>
        <v>15788.801610888664</v>
      </c>
    </row>
    <row r="113" spans="1:8">
      <c r="A113" s="3"/>
      <c r="B113" s="2" t="s">
        <v>211</v>
      </c>
      <c r="C113" s="61">
        <v>9175</v>
      </c>
      <c r="D113" s="60">
        <f t="shared" si="7"/>
        <v>9404.375</v>
      </c>
      <c r="E113" s="60">
        <f t="shared" si="7"/>
        <v>9639.484375</v>
      </c>
      <c r="F113" s="60">
        <f t="shared" si="7"/>
        <v>9880.4714843749989</v>
      </c>
      <c r="G113" s="60">
        <f t="shared" si="7"/>
        <v>10127.483271484372</v>
      </c>
      <c r="H113" s="60">
        <f t="shared" si="7"/>
        <v>10380.67035327148</v>
      </c>
    </row>
    <row r="114" spans="1:8">
      <c r="A114" s="3"/>
      <c r="B114" s="2" t="s">
        <v>212</v>
      </c>
      <c r="C114" s="61">
        <v>53206</v>
      </c>
      <c r="D114" s="60">
        <f t="shared" si="7"/>
        <v>54536.149999999994</v>
      </c>
      <c r="E114" s="60">
        <f t="shared" si="7"/>
        <v>55899.553749999992</v>
      </c>
      <c r="F114" s="60">
        <f t="shared" si="7"/>
        <v>57297.042593749989</v>
      </c>
      <c r="G114" s="60">
        <f t="shared" si="7"/>
        <v>58729.468658593731</v>
      </c>
      <c r="H114" s="60">
        <f t="shared" si="7"/>
        <v>60197.705375058569</v>
      </c>
    </row>
    <row r="115" spans="1:8">
      <c r="A115" s="3"/>
      <c r="B115" s="2" t="s">
        <v>213</v>
      </c>
      <c r="C115" s="61">
        <v>35558</v>
      </c>
      <c r="D115" s="60">
        <f t="shared" si="7"/>
        <v>36446.949999999997</v>
      </c>
      <c r="E115" s="60">
        <f t="shared" si="7"/>
        <v>37358.123749999992</v>
      </c>
      <c r="F115" s="60">
        <f t="shared" si="7"/>
        <v>38292.076843749986</v>
      </c>
      <c r="G115" s="60">
        <f t="shared" si="7"/>
        <v>39249.378764843736</v>
      </c>
      <c r="H115" s="60">
        <f t="shared" si="7"/>
        <v>40230.613233964825</v>
      </c>
    </row>
    <row r="116" spans="1:8">
      <c r="A116" s="3"/>
      <c r="B116" s="2" t="s">
        <v>214</v>
      </c>
      <c r="C116" s="61">
        <v>15305</v>
      </c>
      <c r="D116" s="60">
        <f t="shared" si="7"/>
        <v>15687.624999999998</v>
      </c>
      <c r="E116" s="60">
        <f t="shared" si="7"/>
        <v>16079.815624999997</v>
      </c>
      <c r="F116" s="60">
        <f t="shared" si="7"/>
        <v>16481.811015624997</v>
      </c>
      <c r="G116" s="60">
        <f t="shared" si="7"/>
        <v>16893.856291015622</v>
      </c>
      <c r="H116" s="60">
        <f t="shared" si="7"/>
        <v>17316.20269829101</v>
      </c>
    </row>
    <row r="117" spans="1:8">
      <c r="A117" s="3"/>
      <c r="B117" s="2" t="s">
        <v>215</v>
      </c>
      <c r="C117" s="61">
        <v>174369</v>
      </c>
      <c r="D117" s="60">
        <f t="shared" si="7"/>
        <v>178728.22499999998</v>
      </c>
      <c r="E117" s="60">
        <f t="shared" si="7"/>
        <v>183196.43062499995</v>
      </c>
      <c r="F117" s="60">
        <f t="shared" si="7"/>
        <v>187776.34139062493</v>
      </c>
      <c r="G117" s="60">
        <f t="shared" si="7"/>
        <v>192470.74992539053</v>
      </c>
      <c r="H117" s="60">
        <f t="shared" si="7"/>
        <v>197282.51867352528</v>
      </c>
    </row>
    <row r="118" spans="1:8">
      <c r="A118" s="3" t="s">
        <v>21</v>
      </c>
      <c r="B118" s="2" t="s">
        <v>216</v>
      </c>
      <c r="C118" s="61">
        <v>7168</v>
      </c>
      <c r="D118" s="60">
        <f t="shared" si="7"/>
        <v>7347.1999999999989</v>
      </c>
      <c r="E118" s="60">
        <f t="shared" si="7"/>
        <v>7530.8799999999983</v>
      </c>
      <c r="F118" s="60">
        <f t="shared" si="7"/>
        <v>7719.1519999999973</v>
      </c>
      <c r="G118" s="60">
        <f t="shared" si="7"/>
        <v>7912.1307999999963</v>
      </c>
      <c r="H118" s="60">
        <f t="shared" si="7"/>
        <v>8109.9340699999957</v>
      </c>
    </row>
    <row r="119" spans="1:8">
      <c r="A119" s="3"/>
      <c r="B119" s="2" t="s">
        <v>217</v>
      </c>
      <c r="C119" s="61">
        <v>24339</v>
      </c>
      <c r="D119" s="60">
        <f t="shared" ref="D119:H134" si="8">C119*1.025</f>
        <v>24947.474999999999</v>
      </c>
      <c r="E119" s="60">
        <f t="shared" si="8"/>
        <v>25571.161874999998</v>
      </c>
      <c r="F119" s="60">
        <f t="shared" si="8"/>
        <v>26210.440921874997</v>
      </c>
      <c r="G119" s="60">
        <f t="shared" si="8"/>
        <v>26865.701944921868</v>
      </c>
      <c r="H119" s="60">
        <f t="shared" si="8"/>
        <v>27537.344493544912</v>
      </c>
    </row>
    <row r="120" spans="1:8">
      <c r="A120" s="3"/>
      <c r="B120" s="2" t="s">
        <v>218</v>
      </c>
      <c r="C120" s="61">
        <v>7411</v>
      </c>
      <c r="D120" s="60">
        <f t="shared" si="8"/>
        <v>7596.2749999999996</v>
      </c>
      <c r="E120" s="60">
        <f t="shared" si="8"/>
        <v>7786.1818749999993</v>
      </c>
      <c r="F120" s="60">
        <f t="shared" si="8"/>
        <v>7980.8364218749985</v>
      </c>
      <c r="G120" s="60">
        <f t="shared" si="8"/>
        <v>8180.3573324218723</v>
      </c>
      <c r="H120" s="60">
        <f t="shared" si="8"/>
        <v>8384.8662657324185</v>
      </c>
    </row>
    <row r="121" spans="1:8">
      <c r="A121" s="3"/>
      <c r="B121" s="2" t="s">
        <v>219</v>
      </c>
      <c r="C121" s="61">
        <v>33394</v>
      </c>
      <c r="D121" s="60">
        <f t="shared" si="8"/>
        <v>34228.85</v>
      </c>
      <c r="E121" s="60">
        <f t="shared" si="8"/>
        <v>35084.571249999994</v>
      </c>
      <c r="F121" s="60">
        <f t="shared" si="8"/>
        <v>35961.68553124999</v>
      </c>
      <c r="G121" s="60">
        <f t="shared" si="8"/>
        <v>36860.727669531239</v>
      </c>
      <c r="H121" s="60">
        <f t="shared" si="8"/>
        <v>37782.245861269519</v>
      </c>
    </row>
    <row r="122" spans="1:8">
      <c r="A122" s="3"/>
      <c r="B122" s="2" t="s">
        <v>220</v>
      </c>
      <c r="C122" s="61">
        <v>33816</v>
      </c>
      <c r="D122" s="60">
        <f t="shared" si="8"/>
        <v>34661.399999999994</v>
      </c>
      <c r="E122" s="60">
        <f t="shared" si="8"/>
        <v>35527.93499999999</v>
      </c>
      <c r="F122" s="60">
        <f t="shared" si="8"/>
        <v>36416.13337499999</v>
      </c>
      <c r="G122" s="60">
        <f t="shared" si="8"/>
        <v>37326.536709374988</v>
      </c>
      <c r="H122" s="60">
        <f t="shared" si="8"/>
        <v>38259.700127109361</v>
      </c>
    </row>
    <row r="123" spans="1:8">
      <c r="A123" s="3"/>
      <c r="B123" s="2" t="s">
        <v>221</v>
      </c>
      <c r="C123" s="61">
        <v>10438</v>
      </c>
      <c r="D123" s="60">
        <f t="shared" si="8"/>
        <v>10698.949999999999</v>
      </c>
      <c r="E123" s="60">
        <f t="shared" si="8"/>
        <v>10966.423749999998</v>
      </c>
      <c r="F123" s="60">
        <f t="shared" si="8"/>
        <v>11240.584343749997</v>
      </c>
      <c r="G123" s="60">
        <f t="shared" si="8"/>
        <v>11521.598952343746</v>
      </c>
      <c r="H123" s="60">
        <f t="shared" si="8"/>
        <v>11809.638926152338</v>
      </c>
    </row>
    <row r="124" spans="1:8">
      <c r="A124" s="3"/>
      <c r="B124" s="2" t="s">
        <v>222</v>
      </c>
      <c r="C124" s="61">
        <v>14289</v>
      </c>
      <c r="D124" s="60">
        <f t="shared" si="8"/>
        <v>14646.224999999999</v>
      </c>
      <c r="E124" s="60">
        <f t="shared" si="8"/>
        <v>15012.380624999998</v>
      </c>
      <c r="F124" s="60">
        <f t="shared" si="8"/>
        <v>15387.690140624996</v>
      </c>
      <c r="G124" s="60">
        <f t="shared" si="8"/>
        <v>15772.382394140619</v>
      </c>
      <c r="H124" s="60">
        <f t="shared" si="8"/>
        <v>16166.691953994134</v>
      </c>
    </row>
    <row r="125" spans="1:8">
      <c r="A125" s="3"/>
      <c r="B125" s="2" t="s">
        <v>223</v>
      </c>
      <c r="C125" s="61">
        <v>20060</v>
      </c>
      <c r="D125" s="60">
        <f t="shared" si="8"/>
        <v>20561.5</v>
      </c>
      <c r="E125" s="60">
        <f t="shared" si="8"/>
        <v>21075.537499999999</v>
      </c>
      <c r="F125" s="60">
        <f t="shared" si="8"/>
        <v>21602.425937499997</v>
      </c>
      <c r="G125" s="60">
        <f t="shared" si="8"/>
        <v>22142.486585937495</v>
      </c>
      <c r="H125" s="60">
        <f t="shared" si="8"/>
        <v>22696.048750585931</v>
      </c>
    </row>
    <row r="126" spans="1:8">
      <c r="A126" s="3"/>
      <c r="B126" s="2" t="s">
        <v>224</v>
      </c>
      <c r="C126" s="61">
        <v>21347</v>
      </c>
      <c r="D126" s="60">
        <f t="shared" si="8"/>
        <v>21880.674999999999</v>
      </c>
      <c r="E126" s="60">
        <f t="shared" si="8"/>
        <v>22427.691874999997</v>
      </c>
      <c r="F126" s="60">
        <f t="shared" si="8"/>
        <v>22988.384171874994</v>
      </c>
      <c r="G126" s="60">
        <f t="shared" si="8"/>
        <v>23563.093776171867</v>
      </c>
      <c r="H126" s="60">
        <f t="shared" si="8"/>
        <v>24152.17112057616</v>
      </c>
    </row>
    <row r="127" spans="1:8">
      <c r="A127" s="3"/>
      <c r="B127" s="2" t="s">
        <v>225</v>
      </c>
      <c r="C127" s="61">
        <v>10863</v>
      </c>
      <c r="D127" s="60">
        <f t="shared" si="8"/>
        <v>11134.574999999999</v>
      </c>
      <c r="E127" s="60">
        <f t="shared" si="8"/>
        <v>11412.939374999998</v>
      </c>
      <c r="F127" s="60">
        <f t="shared" si="8"/>
        <v>11698.262859374998</v>
      </c>
      <c r="G127" s="60">
        <f t="shared" si="8"/>
        <v>11990.719430859372</v>
      </c>
      <c r="H127" s="60">
        <f t="shared" si="8"/>
        <v>12290.487416630855</v>
      </c>
    </row>
    <row r="128" spans="1:8">
      <c r="A128" s="3"/>
      <c r="B128" s="2" t="s">
        <v>226</v>
      </c>
      <c r="C128" s="61">
        <v>7581</v>
      </c>
      <c r="D128" s="60">
        <f t="shared" si="8"/>
        <v>7770.5249999999996</v>
      </c>
      <c r="E128" s="60">
        <f t="shared" si="8"/>
        <v>7964.7881249999991</v>
      </c>
      <c r="F128" s="60">
        <f t="shared" si="8"/>
        <v>8163.9078281249986</v>
      </c>
      <c r="G128" s="60">
        <f t="shared" si="8"/>
        <v>8368.005523828122</v>
      </c>
      <c r="H128" s="60">
        <f t="shared" si="8"/>
        <v>8577.2056619238247</v>
      </c>
    </row>
    <row r="129" spans="1:8">
      <c r="A129" s="3" t="s">
        <v>22</v>
      </c>
      <c r="B129" s="2" t="s">
        <v>227</v>
      </c>
      <c r="C129" s="61">
        <v>27623</v>
      </c>
      <c r="D129" s="60">
        <f t="shared" si="8"/>
        <v>28313.574999999997</v>
      </c>
      <c r="E129" s="60">
        <f t="shared" si="8"/>
        <v>29021.414374999993</v>
      </c>
      <c r="F129" s="60">
        <f t="shared" si="8"/>
        <v>29746.94973437499</v>
      </c>
      <c r="G129" s="60">
        <f t="shared" si="8"/>
        <v>30490.623477734363</v>
      </c>
      <c r="H129" s="60">
        <f t="shared" si="8"/>
        <v>31252.889064677718</v>
      </c>
    </row>
    <row r="130" spans="1:8">
      <c r="A130" s="3"/>
      <c r="B130" s="2" t="s">
        <v>228</v>
      </c>
      <c r="C130" s="61">
        <v>37445</v>
      </c>
      <c r="D130" s="60">
        <f t="shared" si="8"/>
        <v>38381.125</v>
      </c>
      <c r="E130" s="60">
        <f t="shared" si="8"/>
        <v>39340.653124999997</v>
      </c>
      <c r="F130" s="60">
        <f t="shared" si="8"/>
        <v>40324.169453124996</v>
      </c>
      <c r="G130" s="60">
        <f t="shared" si="8"/>
        <v>41332.273689453119</v>
      </c>
      <c r="H130" s="60">
        <f t="shared" si="8"/>
        <v>42365.58053168944</v>
      </c>
    </row>
    <row r="131" spans="1:8">
      <c r="A131" s="3"/>
      <c r="B131" s="2" t="s">
        <v>229</v>
      </c>
      <c r="C131" s="61">
        <v>13217</v>
      </c>
      <c r="D131" s="60">
        <f t="shared" si="8"/>
        <v>13547.424999999999</v>
      </c>
      <c r="E131" s="60">
        <f t="shared" si="8"/>
        <v>13886.110624999998</v>
      </c>
      <c r="F131" s="60">
        <f t="shared" si="8"/>
        <v>14233.263390624996</v>
      </c>
      <c r="G131" s="60">
        <f t="shared" si="8"/>
        <v>14589.094975390619</v>
      </c>
      <c r="H131" s="60">
        <f t="shared" si="8"/>
        <v>14953.822349775382</v>
      </c>
    </row>
    <row r="132" spans="1:8">
      <c r="A132" s="3"/>
      <c r="B132" s="2" t="s">
        <v>230</v>
      </c>
      <c r="C132" s="61">
        <v>27646</v>
      </c>
      <c r="D132" s="60">
        <f t="shared" si="8"/>
        <v>28337.149999999998</v>
      </c>
      <c r="E132" s="60">
        <f t="shared" si="8"/>
        <v>29045.578749999997</v>
      </c>
      <c r="F132" s="60">
        <f t="shared" si="8"/>
        <v>29771.718218749993</v>
      </c>
      <c r="G132" s="60">
        <f t="shared" si="8"/>
        <v>30516.01117421874</v>
      </c>
      <c r="H132" s="60">
        <f t="shared" si="8"/>
        <v>31278.911453574205</v>
      </c>
    </row>
    <row r="133" spans="1:8">
      <c r="A133" s="3"/>
      <c r="B133" s="2" t="s">
        <v>231</v>
      </c>
      <c r="C133" s="61">
        <v>34862</v>
      </c>
      <c r="D133" s="60">
        <f t="shared" si="8"/>
        <v>35733.549999999996</v>
      </c>
      <c r="E133" s="60">
        <f t="shared" si="8"/>
        <v>36626.888749999991</v>
      </c>
      <c r="F133" s="60">
        <f t="shared" si="8"/>
        <v>37542.560968749989</v>
      </c>
      <c r="G133" s="60">
        <f t="shared" si="8"/>
        <v>38481.124992968733</v>
      </c>
      <c r="H133" s="60">
        <f t="shared" si="8"/>
        <v>39443.15311779295</v>
      </c>
    </row>
    <row r="134" spans="1:8">
      <c r="A134" s="3"/>
      <c r="B134" s="2" t="s">
        <v>232</v>
      </c>
      <c r="C134" s="61">
        <v>25749</v>
      </c>
      <c r="D134" s="60">
        <f t="shared" si="8"/>
        <v>26392.724999999999</v>
      </c>
      <c r="E134" s="60">
        <f t="shared" si="8"/>
        <v>27052.543124999997</v>
      </c>
      <c r="F134" s="60">
        <f t="shared" si="8"/>
        <v>27728.856703124995</v>
      </c>
      <c r="G134" s="60">
        <f t="shared" si="8"/>
        <v>28422.078120703118</v>
      </c>
      <c r="H134" s="60">
        <f t="shared" si="8"/>
        <v>29132.630073720695</v>
      </c>
    </row>
    <row r="135" spans="1:8">
      <c r="A135" s="3"/>
      <c r="B135" s="2" t="s">
        <v>233</v>
      </c>
      <c r="C135" s="61">
        <v>10165</v>
      </c>
      <c r="D135" s="60">
        <f t="shared" ref="D135:H150" si="9">C135*1.025</f>
        <v>10419.125</v>
      </c>
      <c r="E135" s="60">
        <f t="shared" si="9"/>
        <v>10679.603125</v>
      </c>
      <c r="F135" s="60">
        <f t="shared" si="9"/>
        <v>10946.593203124999</v>
      </c>
      <c r="G135" s="60">
        <f t="shared" si="9"/>
        <v>11220.258033203123</v>
      </c>
      <c r="H135" s="60">
        <f t="shared" si="9"/>
        <v>11500.7644840332</v>
      </c>
    </row>
    <row r="136" spans="1:8">
      <c r="A136" s="3"/>
      <c r="B136" s="2" t="s">
        <v>234</v>
      </c>
      <c r="C136" s="61">
        <v>10328</v>
      </c>
      <c r="D136" s="60">
        <f t="shared" si="9"/>
        <v>10586.199999999999</v>
      </c>
      <c r="E136" s="60">
        <f t="shared" si="9"/>
        <v>10850.854999999998</v>
      </c>
      <c r="F136" s="60">
        <f t="shared" si="9"/>
        <v>11122.126374999996</v>
      </c>
      <c r="G136" s="60">
        <f t="shared" si="9"/>
        <v>11400.179534374995</v>
      </c>
      <c r="H136" s="60">
        <f t="shared" si="9"/>
        <v>11685.184022734369</v>
      </c>
    </row>
    <row r="137" spans="1:8">
      <c r="A137" s="3"/>
      <c r="B137" s="2" t="s">
        <v>235</v>
      </c>
      <c r="C137" s="61">
        <v>30514</v>
      </c>
      <c r="D137" s="60">
        <f t="shared" si="9"/>
        <v>31276.85</v>
      </c>
      <c r="E137" s="60">
        <f t="shared" si="9"/>
        <v>32058.771249999994</v>
      </c>
      <c r="F137" s="60">
        <f t="shared" si="9"/>
        <v>32860.24053124999</v>
      </c>
      <c r="G137" s="60">
        <f t="shared" si="9"/>
        <v>33681.746544531234</v>
      </c>
      <c r="H137" s="60">
        <f t="shared" si="9"/>
        <v>34523.790208144514</v>
      </c>
    </row>
    <row r="138" spans="1:8">
      <c r="A138" s="3"/>
      <c r="B138" s="2" t="s">
        <v>236</v>
      </c>
      <c r="C138" s="61">
        <v>9752</v>
      </c>
      <c r="D138" s="60">
        <f t="shared" si="9"/>
        <v>9995.7999999999993</v>
      </c>
      <c r="E138" s="60">
        <f t="shared" si="9"/>
        <v>10245.694999999998</v>
      </c>
      <c r="F138" s="60">
        <f t="shared" si="9"/>
        <v>10501.837374999997</v>
      </c>
      <c r="G138" s="60">
        <f t="shared" si="9"/>
        <v>10764.383309374996</v>
      </c>
      <c r="H138" s="60">
        <f t="shared" si="9"/>
        <v>11033.492892109371</v>
      </c>
    </row>
    <row r="139" spans="1:8">
      <c r="A139" s="3"/>
      <c r="B139" s="2" t="s">
        <v>237</v>
      </c>
      <c r="C139" s="61">
        <v>37317</v>
      </c>
      <c r="D139" s="60">
        <f t="shared" si="9"/>
        <v>38249.924999999996</v>
      </c>
      <c r="E139" s="60">
        <f t="shared" si="9"/>
        <v>39206.173124999994</v>
      </c>
      <c r="F139" s="60">
        <f t="shared" si="9"/>
        <v>40186.327453124992</v>
      </c>
      <c r="G139" s="60">
        <f t="shared" si="9"/>
        <v>41190.985639453116</v>
      </c>
      <c r="H139" s="60">
        <f t="shared" si="9"/>
        <v>42220.760280439441</v>
      </c>
    </row>
    <row r="140" spans="1:8">
      <c r="A140" s="3"/>
      <c r="B140" s="2" t="s">
        <v>238</v>
      </c>
      <c r="C140" s="61">
        <v>33165</v>
      </c>
      <c r="D140" s="60">
        <f t="shared" si="9"/>
        <v>33994.125</v>
      </c>
      <c r="E140" s="60">
        <f t="shared" si="9"/>
        <v>34843.978124999994</v>
      </c>
      <c r="F140" s="60">
        <f t="shared" si="9"/>
        <v>35715.07757812499</v>
      </c>
      <c r="G140" s="60">
        <f t="shared" si="9"/>
        <v>36607.95451757811</v>
      </c>
      <c r="H140" s="60">
        <f t="shared" si="9"/>
        <v>37523.153380517557</v>
      </c>
    </row>
    <row r="141" spans="1:8">
      <c r="A141" s="3"/>
      <c r="B141" s="2" t="s">
        <v>239</v>
      </c>
      <c r="C141" s="61">
        <v>10292</v>
      </c>
      <c r="D141" s="60">
        <f t="shared" si="9"/>
        <v>10549.3</v>
      </c>
      <c r="E141" s="60">
        <f t="shared" si="9"/>
        <v>10813.032499999998</v>
      </c>
      <c r="F141" s="60">
        <f t="shared" si="9"/>
        <v>11083.358312499997</v>
      </c>
      <c r="G141" s="60">
        <f t="shared" si="9"/>
        <v>11360.442270312496</v>
      </c>
      <c r="H141" s="60">
        <f t="shared" si="9"/>
        <v>11644.453327070309</v>
      </c>
    </row>
    <row r="142" spans="1:8">
      <c r="A142" s="3"/>
      <c r="B142" s="2" t="s">
        <v>240</v>
      </c>
      <c r="C142" s="61">
        <v>10513</v>
      </c>
      <c r="D142" s="60">
        <f t="shared" si="9"/>
        <v>10775.824999999999</v>
      </c>
      <c r="E142" s="60">
        <f t="shared" si="9"/>
        <v>11045.220624999998</v>
      </c>
      <c r="F142" s="60">
        <f t="shared" si="9"/>
        <v>11321.351140624996</v>
      </c>
      <c r="G142" s="60">
        <f t="shared" si="9"/>
        <v>11604.384919140621</v>
      </c>
      <c r="H142" s="60">
        <f t="shared" si="9"/>
        <v>11894.494542119135</v>
      </c>
    </row>
    <row r="143" spans="1:8">
      <c r="A143" s="3" t="s">
        <v>23</v>
      </c>
      <c r="B143" s="2" t="s">
        <v>241</v>
      </c>
      <c r="C143" s="61">
        <v>36905</v>
      </c>
      <c r="D143" s="60">
        <f t="shared" si="9"/>
        <v>37827.625</v>
      </c>
      <c r="E143" s="60">
        <f t="shared" si="9"/>
        <v>38773.315624999996</v>
      </c>
      <c r="F143" s="60">
        <f t="shared" si="9"/>
        <v>39742.648515624991</v>
      </c>
      <c r="G143" s="60">
        <f t="shared" si="9"/>
        <v>40736.21472851561</v>
      </c>
      <c r="H143" s="60">
        <f t="shared" si="9"/>
        <v>41754.620096728497</v>
      </c>
    </row>
    <row r="144" spans="1:8">
      <c r="A144" s="3"/>
      <c r="B144" s="2" t="s">
        <v>242</v>
      </c>
      <c r="C144" s="61">
        <v>54691</v>
      </c>
      <c r="D144" s="60">
        <f t="shared" si="9"/>
        <v>56058.274999999994</v>
      </c>
      <c r="E144" s="60">
        <f t="shared" si="9"/>
        <v>57459.73187499999</v>
      </c>
      <c r="F144" s="60">
        <f t="shared" si="9"/>
        <v>58896.225171874983</v>
      </c>
      <c r="G144" s="60">
        <f t="shared" si="9"/>
        <v>60368.63080117185</v>
      </c>
      <c r="H144" s="60">
        <f t="shared" si="9"/>
        <v>61877.846571201138</v>
      </c>
    </row>
    <row r="145" spans="1:8">
      <c r="A145" s="3"/>
      <c r="B145" s="2" t="s">
        <v>243</v>
      </c>
      <c r="C145" s="61">
        <v>16468</v>
      </c>
      <c r="D145" s="60">
        <f t="shared" si="9"/>
        <v>16879.699999999997</v>
      </c>
      <c r="E145" s="60">
        <f t="shared" si="9"/>
        <v>17301.692499999994</v>
      </c>
      <c r="F145" s="60">
        <f t="shared" si="9"/>
        <v>17734.234812499992</v>
      </c>
      <c r="G145" s="60">
        <f t="shared" si="9"/>
        <v>18177.59068281249</v>
      </c>
      <c r="H145" s="60">
        <f t="shared" si="9"/>
        <v>18632.030449882801</v>
      </c>
    </row>
    <row r="146" spans="1:8">
      <c r="A146" s="3"/>
      <c r="B146" s="2" t="s">
        <v>244</v>
      </c>
      <c r="C146" s="61">
        <v>49340</v>
      </c>
      <c r="D146" s="60">
        <f t="shared" si="9"/>
        <v>50573.499999999993</v>
      </c>
      <c r="E146" s="60">
        <f t="shared" si="9"/>
        <v>51837.837499999987</v>
      </c>
      <c r="F146" s="60">
        <f t="shared" si="9"/>
        <v>53133.78343749998</v>
      </c>
      <c r="G146" s="60">
        <f t="shared" si="9"/>
        <v>54462.128023437472</v>
      </c>
      <c r="H146" s="60">
        <f t="shared" si="9"/>
        <v>55823.681224023407</v>
      </c>
    </row>
    <row r="147" spans="1:8">
      <c r="A147" s="3"/>
      <c r="B147" s="2" t="s">
        <v>245</v>
      </c>
      <c r="C147" s="61">
        <v>31080</v>
      </c>
      <c r="D147" s="60">
        <f t="shared" si="9"/>
        <v>31856.999999999996</v>
      </c>
      <c r="E147" s="60">
        <f t="shared" si="9"/>
        <v>32653.424999999992</v>
      </c>
      <c r="F147" s="60">
        <f t="shared" si="9"/>
        <v>33469.760624999988</v>
      </c>
      <c r="G147" s="60">
        <f t="shared" si="9"/>
        <v>34306.504640624982</v>
      </c>
      <c r="H147" s="60">
        <f t="shared" si="9"/>
        <v>35164.167256640605</v>
      </c>
    </row>
    <row r="148" spans="1:8">
      <c r="A148" s="3"/>
      <c r="B148" s="2" t="s">
        <v>246</v>
      </c>
      <c r="C148" s="61">
        <v>49263</v>
      </c>
      <c r="D148" s="60">
        <f t="shared" si="9"/>
        <v>50494.574999999997</v>
      </c>
      <c r="E148" s="60">
        <f t="shared" si="9"/>
        <v>51756.939374999994</v>
      </c>
      <c r="F148" s="60">
        <f t="shared" si="9"/>
        <v>53050.862859374989</v>
      </c>
      <c r="G148" s="60">
        <f t="shared" si="9"/>
        <v>54377.134430859362</v>
      </c>
      <c r="H148" s="60">
        <f t="shared" si="9"/>
        <v>55736.562791630844</v>
      </c>
    </row>
    <row r="149" spans="1:8">
      <c r="A149" s="3"/>
      <c r="B149" s="2" t="s">
        <v>247</v>
      </c>
      <c r="C149" s="61">
        <v>12893</v>
      </c>
      <c r="D149" s="60">
        <f t="shared" si="9"/>
        <v>13215.324999999999</v>
      </c>
      <c r="E149" s="60">
        <f t="shared" si="9"/>
        <v>13545.708124999997</v>
      </c>
      <c r="F149" s="60">
        <f t="shared" si="9"/>
        <v>13884.350828124996</v>
      </c>
      <c r="G149" s="60">
        <f t="shared" si="9"/>
        <v>14231.45959882812</v>
      </c>
      <c r="H149" s="60">
        <f t="shared" si="9"/>
        <v>14587.246088798822</v>
      </c>
    </row>
    <row r="150" spans="1:8">
      <c r="A150" s="3"/>
      <c r="B150" s="2" t="s">
        <v>248</v>
      </c>
      <c r="C150" s="61">
        <v>8969</v>
      </c>
      <c r="D150" s="60">
        <f t="shared" si="9"/>
        <v>9193.2249999999985</v>
      </c>
      <c r="E150" s="60">
        <f t="shared" si="9"/>
        <v>9423.0556249999972</v>
      </c>
      <c r="F150" s="60">
        <f t="shared" si="9"/>
        <v>9658.6320156249967</v>
      </c>
      <c r="G150" s="60">
        <f t="shared" si="9"/>
        <v>9900.097816015621</v>
      </c>
      <c r="H150" s="60">
        <f t="shared" si="9"/>
        <v>10147.60026141601</v>
      </c>
    </row>
    <row r="151" spans="1:8">
      <c r="A151" s="3"/>
      <c r="B151" s="2" t="s">
        <v>249</v>
      </c>
      <c r="C151" s="61">
        <v>13600</v>
      </c>
      <c r="D151" s="60">
        <f t="shared" ref="D151:H153" si="10">C151*1.025</f>
        <v>13939.999999999998</v>
      </c>
      <c r="E151" s="60">
        <f t="shared" si="10"/>
        <v>14288.499999999996</v>
      </c>
      <c r="F151" s="60">
        <f t="shared" si="10"/>
        <v>14645.712499999994</v>
      </c>
      <c r="G151" s="60">
        <f t="shared" si="10"/>
        <v>15011.855312499993</v>
      </c>
      <c r="H151" s="60">
        <f t="shared" si="10"/>
        <v>15387.151695312492</v>
      </c>
    </row>
    <row r="152" spans="1:8">
      <c r="A152" s="3"/>
      <c r="B152" s="2" t="s">
        <v>250</v>
      </c>
      <c r="C152" s="61">
        <v>42292</v>
      </c>
      <c r="D152" s="60">
        <f t="shared" si="10"/>
        <v>43349.299999999996</v>
      </c>
      <c r="E152" s="60">
        <f t="shared" si="10"/>
        <v>44433.032499999994</v>
      </c>
      <c r="F152" s="60">
        <f t="shared" si="10"/>
        <v>45543.858312499993</v>
      </c>
      <c r="G152" s="60">
        <f t="shared" si="10"/>
        <v>46682.454770312492</v>
      </c>
      <c r="H152" s="60">
        <f t="shared" si="10"/>
        <v>47849.516139570303</v>
      </c>
    </row>
    <row r="153" spans="1:8">
      <c r="A153" s="3"/>
      <c r="B153" s="2" t="s">
        <v>251</v>
      </c>
      <c r="C153" s="61">
        <v>17136</v>
      </c>
      <c r="D153" s="60">
        <f t="shared" si="10"/>
        <v>17564.399999999998</v>
      </c>
      <c r="E153" s="60">
        <f t="shared" si="10"/>
        <v>18003.509999999995</v>
      </c>
      <c r="F153" s="60">
        <f t="shared" si="10"/>
        <v>18453.597749999994</v>
      </c>
      <c r="G153" s="60">
        <f t="shared" si="10"/>
        <v>18914.937693749991</v>
      </c>
      <c r="H153" s="60">
        <f t="shared" si="10"/>
        <v>19387.81113609374</v>
      </c>
    </row>
    <row r="154" spans="1:8">
      <c r="A154" s="3" t="s">
        <v>252</v>
      </c>
      <c r="B154" s="2" t="s">
        <v>119</v>
      </c>
      <c r="C154" s="61">
        <v>70423</v>
      </c>
      <c r="D154" s="60">
        <f>C154*1.042</f>
        <v>73380.766000000003</v>
      </c>
      <c r="E154" s="60">
        <f>D154*1.042</f>
        <v>76462.758172000002</v>
      </c>
      <c r="F154" s="60">
        <f>E154*1.042</f>
        <v>79674.194015223999</v>
      </c>
      <c r="G154" s="60">
        <f>F154*1.042</f>
        <v>83020.510163863408</v>
      </c>
      <c r="H154" s="60">
        <f>G154*1.042</f>
        <v>86507.371590745679</v>
      </c>
    </row>
    <row r="155" spans="1:8">
      <c r="A155" s="3"/>
      <c r="B155" s="2" t="s">
        <v>253</v>
      </c>
      <c r="C155" s="61">
        <v>30488</v>
      </c>
      <c r="D155" s="60">
        <f t="shared" ref="D155:H165" si="11">C155*1.042</f>
        <v>31768.496000000003</v>
      </c>
      <c r="E155" s="60">
        <f t="shared" si="11"/>
        <v>33102.772832000002</v>
      </c>
      <c r="F155" s="60">
        <f t="shared" si="11"/>
        <v>34493.089290944001</v>
      </c>
      <c r="G155" s="60">
        <f t="shared" si="11"/>
        <v>35941.799041163649</v>
      </c>
      <c r="H155" s="60">
        <f t="shared" si="11"/>
        <v>37451.354600892526</v>
      </c>
    </row>
    <row r="156" spans="1:8">
      <c r="A156" s="3"/>
      <c r="B156" s="2" t="s">
        <v>254</v>
      </c>
      <c r="C156" s="61">
        <v>213778</v>
      </c>
      <c r="D156" s="60">
        <f t="shared" si="11"/>
        <v>222756.67600000001</v>
      </c>
      <c r="E156" s="60">
        <f t="shared" si="11"/>
        <v>232112.45639200002</v>
      </c>
      <c r="F156" s="60">
        <f t="shared" si="11"/>
        <v>241861.17956046402</v>
      </c>
      <c r="G156" s="60">
        <f t="shared" si="11"/>
        <v>252019.34910200353</v>
      </c>
      <c r="H156" s="60">
        <f t="shared" si="11"/>
        <v>262604.16176428768</v>
      </c>
    </row>
    <row r="157" spans="1:8">
      <c r="A157" s="3"/>
      <c r="B157" s="2" t="s">
        <v>255</v>
      </c>
      <c r="C157" s="61">
        <v>129581</v>
      </c>
      <c r="D157" s="60">
        <f t="shared" si="11"/>
        <v>135023.402</v>
      </c>
      <c r="E157" s="60">
        <f t="shared" si="11"/>
        <v>140694.384884</v>
      </c>
      <c r="F157" s="60">
        <f t="shared" si="11"/>
        <v>146603.54904912799</v>
      </c>
      <c r="G157" s="60">
        <f t="shared" si="11"/>
        <v>152760.89810919136</v>
      </c>
      <c r="H157" s="60">
        <f t="shared" si="11"/>
        <v>159176.8558297774</v>
      </c>
    </row>
    <row r="158" spans="1:8">
      <c r="A158" s="3" t="s">
        <v>256</v>
      </c>
      <c r="B158" s="2" t="s">
        <v>257</v>
      </c>
      <c r="C158" s="61">
        <v>62499</v>
      </c>
      <c r="D158" s="60">
        <f t="shared" si="11"/>
        <v>65123.957999999999</v>
      </c>
      <c r="E158" s="60">
        <f t="shared" si="11"/>
        <v>67859.164235999997</v>
      </c>
      <c r="F158" s="60">
        <f t="shared" si="11"/>
        <v>70709.249133912002</v>
      </c>
      <c r="G158" s="60">
        <f t="shared" si="11"/>
        <v>73679.037597536313</v>
      </c>
      <c r="H158" s="60">
        <f t="shared" si="11"/>
        <v>76773.557176632836</v>
      </c>
    </row>
    <row r="159" spans="1:8">
      <c r="A159" s="3"/>
      <c r="B159" s="2" t="s">
        <v>258</v>
      </c>
      <c r="C159" s="61">
        <v>21413</v>
      </c>
      <c r="D159" s="60">
        <f t="shared" si="11"/>
        <v>22312.346000000001</v>
      </c>
      <c r="E159" s="60">
        <f t="shared" si="11"/>
        <v>23249.464532000002</v>
      </c>
      <c r="F159" s="60">
        <f t="shared" si="11"/>
        <v>24225.942042344002</v>
      </c>
      <c r="G159" s="60">
        <f t="shared" si="11"/>
        <v>25243.43160812245</v>
      </c>
      <c r="H159" s="60">
        <f t="shared" si="11"/>
        <v>26303.655735663593</v>
      </c>
    </row>
    <row r="160" spans="1:8">
      <c r="A160" s="3"/>
      <c r="B160" s="2" t="s">
        <v>259</v>
      </c>
      <c r="C160" s="61">
        <v>61244</v>
      </c>
      <c r="D160" s="60">
        <f t="shared" si="11"/>
        <v>63816.248</v>
      </c>
      <c r="E160" s="60">
        <f t="shared" si="11"/>
        <v>66496.530416000009</v>
      </c>
      <c r="F160" s="60">
        <f t="shared" si="11"/>
        <v>69289.384693472006</v>
      </c>
      <c r="G160" s="60">
        <f t="shared" si="11"/>
        <v>72199.538850597834</v>
      </c>
      <c r="H160" s="60">
        <f t="shared" si="11"/>
        <v>75231.919482322948</v>
      </c>
    </row>
    <row r="161" spans="1:8">
      <c r="A161" s="3"/>
      <c r="B161" s="2" t="s">
        <v>260</v>
      </c>
      <c r="C161" s="61">
        <v>89530</v>
      </c>
      <c r="D161" s="60">
        <f t="shared" si="11"/>
        <v>93290.260000000009</v>
      </c>
      <c r="E161" s="60">
        <f t="shared" si="11"/>
        <v>97208.450920000018</v>
      </c>
      <c r="F161" s="60">
        <f t="shared" si="11"/>
        <v>101291.20585864002</v>
      </c>
      <c r="G161" s="60">
        <f t="shared" si="11"/>
        <v>105545.43650470291</v>
      </c>
      <c r="H161" s="60">
        <f t="shared" si="11"/>
        <v>109978.34483790044</v>
      </c>
    </row>
    <row r="162" spans="1:8">
      <c r="A162" s="3"/>
      <c r="B162" s="2" t="s">
        <v>261</v>
      </c>
      <c r="C162" s="61">
        <v>448572</v>
      </c>
      <c r="D162" s="60">
        <f t="shared" si="11"/>
        <v>467412.02400000003</v>
      </c>
      <c r="E162" s="60">
        <f t="shared" si="11"/>
        <v>487043.32900800003</v>
      </c>
      <c r="F162" s="60">
        <f t="shared" si="11"/>
        <v>507499.14882633602</v>
      </c>
      <c r="G162" s="60">
        <f t="shared" si="11"/>
        <v>528814.11307704216</v>
      </c>
      <c r="H162" s="60">
        <f t="shared" si="11"/>
        <v>551024.30582627794</v>
      </c>
    </row>
    <row r="163" spans="1:8">
      <c r="A163" s="3"/>
      <c r="B163" s="2" t="s">
        <v>262</v>
      </c>
      <c r="C163" s="61">
        <v>53981</v>
      </c>
      <c r="D163" s="60">
        <f t="shared" si="11"/>
        <v>56248.202000000005</v>
      </c>
      <c r="E163" s="60">
        <f t="shared" si="11"/>
        <v>58610.626484000008</v>
      </c>
      <c r="F163" s="60">
        <f t="shared" si="11"/>
        <v>61072.272796328012</v>
      </c>
      <c r="G163" s="60">
        <f t="shared" si="11"/>
        <v>63637.308253773794</v>
      </c>
      <c r="H163" s="60">
        <f t="shared" si="11"/>
        <v>66310.0752004323</v>
      </c>
    </row>
    <row r="164" spans="1:8">
      <c r="A164" s="3"/>
      <c r="B164" s="2" t="s">
        <v>263</v>
      </c>
      <c r="C164" s="61">
        <v>130149</v>
      </c>
      <c r="D164" s="60">
        <f t="shared" si="11"/>
        <v>135615.258</v>
      </c>
      <c r="E164" s="60">
        <f t="shared" si="11"/>
        <v>141311.09883600002</v>
      </c>
      <c r="F164" s="60">
        <f t="shared" si="11"/>
        <v>147246.16498711202</v>
      </c>
      <c r="G164" s="60">
        <f t="shared" si="11"/>
        <v>153430.50391657071</v>
      </c>
      <c r="H164" s="60">
        <f t="shared" si="11"/>
        <v>159874.58508106667</v>
      </c>
    </row>
    <row r="165" spans="1:8">
      <c r="A165" s="3"/>
      <c r="B165" s="2" t="s">
        <v>264</v>
      </c>
      <c r="C165" s="61">
        <v>188576</v>
      </c>
      <c r="D165" s="60">
        <f t="shared" si="11"/>
        <v>196496.19200000001</v>
      </c>
      <c r="E165" s="60">
        <f t="shared" si="11"/>
        <v>204749.03206400003</v>
      </c>
      <c r="F165" s="60">
        <f t="shared" si="11"/>
        <v>213348.49141068803</v>
      </c>
      <c r="G165" s="60">
        <f>F165*1.042</f>
        <v>222309.12804993693</v>
      </c>
      <c r="H165" s="60">
        <f t="shared" si="11"/>
        <v>231646.11142803429</v>
      </c>
    </row>
    <row r="166" spans="1:8">
      <c r="A166" s="2"/>
      <c r="B166" s="2"/>
      <c r="C166" s="60">
        <f t="shared" ref="C166:H166" si="12">SUM(C2:C165)</f>
        <v>7068214</v>
      </c>
      <c r="D166" s="60">
        <f t="shared" si="12"/>
        <v>7297058.4159999983</v>
      </c>
      <c r="E166" s="60">
        <f t="shared" si="12"/>
        <v>7533547.7894599987</v>
      </c>
      <c r="F166" s="60">
        <f t="shared" si="12"/>
        <v>7777945.6097134817</v>
      </c>
      <c r="G166" s="60">
        <f t="shared" si="12"/>
        <v>8030524.7241867911</v>
      </c>
      <c r="H166" s="60">
        <f t="shared" si="12"/>
        <v>8291567.6801547874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66</vt:i4>
      </vt:variant>
    </vt:vector>
  </HeadingPairs>
  <TitlesOfParts>
    <vt:vector size="91" baseType="lpstr">
      <vt:lpstr>Title</vt:lpstr>
      <vt:lpstr>Menu</vt:lpstr>
      <vt:lpstr>Dashboard</vt:lpstr>
      <vt:lpstr>Country details</vt:lpstr>
      <vt:lpstr>Personnel</vt:lpstr>
      <vt:lpstr>Capital Costs</vt:lpstr>
      <vt:lpstr>Consumables</vt:lpstr>
      <vt:lpstr>Operations</vt:lpstr>
      <vt:lpstr>Meetings</vt:lpstr>
      <vt:lpstr>TAS</vt:lpstr>
      <vt:lpstr>Assumptions</vt:lpstr>
      <vt:lpstr>Parameters</vt:lpstr>
      <vt:lpstr>Economic Costs</vt:lpstr>
      <vt:lpstr>Disease Projections</vt:lpstr>
      <vt:lpstr>pop_calc</vt:lpstr>
      <vt:lpstr>Life_Years_Elimination</vt:lpstr>
      <vt:lpstr>Additional Calculations</vt:lpstr>
      <vt:lpstr>Uncertainty Analyses</vt:lpstr>
      <vt:lpstr>baseline</vt:lpstr>
      <vt:lpstr>new program</vt:lpstr>
      <vt:lpstr>Forecasts</vt:lpstr>
      <vt:lpstr>baseline_probs</vt:lpstr>
      <vt:lpstr>scenario_prob</vt:lpstr>
      <vt:lpstr>Notes</vt:lpstr>
      <vt:lpstr>SL Population</vt:lpstr>
      <vt:lpstr>adl_episode_duration</vt:lpstr>
      <vt:lpstr>age</vt:lpstr>
      <vt:lpstr>age_cycle</vt:lpstr>
      <vt:lpstr>alt_prog_effectiveness</vt:lpstr>
      <vt:lpstr>annual_adl_episodes</vt:lpstr>
      <vt:lpstr>annual_hydrocele_visits</vt:lpstr>
      <vt:lpstr>annual_lymphedema_visits</vt:lpstr>
      <vt:lpstr>Average_household_size</vt:lpstr>
      <vt:lpstr>avg_clinic_visit</vt:lpstr>
      <vt:lpstr>ccc_adl</vt:lpstr>
      <vt:lpstr>ccc_hydrocele</vt:lpstr>
      <vt:lpstr>ccc_le</vt:lpstr>
      <vt:lpstr>cost_adl</vt:lpstr>
      <vt:lpstr>cost_le</vt:lpstr>
      <vt:lpstr>costs_current_prog</vt:lpstr>
      <vt:lpstr>costs_wo_current_prog</vt:lpstr>
      <vt:lpstr>cycle</vt:lpstr>
      <vt:lpstr>discount_cost</vt:lpstr>
      <vt:lpstr>discount_effects</vt:lpstr>
      <vt:lpstr>disease_type</vt:lpstr>
      <vt:lpstr>exchange_rate</vt:lpstr>
      <vt:lpstr>hh_costs_adl</vt:lpstr>
      <vt:lpstr>hh_costs_hydrocele</vt:lpstr>
      <vt:lpstr>hh_costs_lymphedema</vt:lpstr>
      <vt:lpstr>inc_cost</vt:lpstr>
      <vt:lpstr>inc_effect</vt:lpstr>
      <vt:lpstr>mda_efficacy</vt:lpstr>
      <vt:lpstr>min_annual_wage</vt:lpstr>
      <vt:lpstr>min_daily_wage</vt:lpstr>
      <vt:lpstr>mortality_prob_no_rx</vt:lpstr>
      <vt:lpstr>mortality_prob_program</vt:lpstr>
      <vt:lpstr>pop_adl</vt:lpstr>
      <vt:lpstr>pop_hydrocele</vt:lpstr>
      <vt:lpstr>pop_lymphedema</vt:lpstr>
      <vt:lpstr>Population_over_65</vt:lpstr>
      <vt:lpstr>prob</vt:lpstr>
      <vt:lpstr>prob_adl_age</vt:lpstr>
      <vt:lpstr>prob_hydrocele_age</vt:lpstr>
      <vt:lpstr>prob_lf_death</vt:lpstr>
      <vt:lpstr>prob_lf_infection</vt:lpstr>
      <vt:lpstr>prob_lymphedema_age</vt:lpstr>
      <vt:lpstr>prod_loss_adl</vt:lpstr>
      <vt:lpstr>prod_loss_hydrocele</vt:lpstr>
      <vt:lpstr>prod_loss_lymphedema</vt:lpstr>
      <vt:lpstr>Productive_pop_based_on_starting_age</vt:lpstr>
      <vt:lpstr>start_age</vt:lpstr>
      <vt:lpstr>start_ageset</vt:lpstr>
      <vt:lpstr>study_perspective</vt:lpstr>
      <vt:lpstr>surg_cost_hydrocele</vt:lpstr>
      <vt:lpstr>tab_prod_loss_adl</vt:lpstr>
      <vt:lpstr>Target_Population</vt:lpstr>
      <vt:lpstr>tbl_prodloss_hydrocele</vt:lpstr>
      <vt:lpstr>tbl_prodloss_lymphedema</vt:lpstr>
      <vt:lpstr>time_horizon</vt:lpstr>
      <vt:lpstr>tot_population</vt:lpstr>
      <vt:lpstr>total_costs_current</vt:lpstr>
      <vt:lpstr>total_costs_govt</vt:lpstr>
      <vt:lpstr>Total_Population</vt:lpstr>
      <vt:lpstr>total_qalys_current</vt:lpstr>
      <vt:lpstr>total_qalys_govt</vt:lpstr>
      <vt:lpstr>util_adl</vt:lpstr>
      <vt:lpstr>util_healthy</vt:lpstr>
      <vt:lpstr>util_hydrocele</vt:lpstr>
      <vt:lpstr>util_lymphedema</vt:lpstr>
      <vt:lpstr>yearly_horizon</vt:lpstr>
      <vt:lpstr>yll</vt:lpstr>
    </vt:vector>
  </TitlesOfParts>
  <Manager/>
  <Company>Centers for Disease Control and Prevention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Ochieng, Walter (CDC/CGH/DGHP)</dc:creator>
  <cp:keywords/>
  <dc:description/>
  <cp:lastModifiedBy>Microsoft Office User</cp:lastModifiedBy>
  <dcterms:created xsi:type="dcterms:W3CDTF">2019-02-05T14:30:05Z</dcterms:created>
  <dcterms:modified xsi:type="dcterms:W3CDTF">2023-03-25T14:05:01Z</dcterms:modified>
  <cp:category/>
</cp:coreProperties>
</file>